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02eee3437eb7218/Documents/TrainingCourses/CQF/Credit Default Swaps/"/>
    </mc:Choice>
  </mc:AlternateContent>
  <xr:revisionPtr revIDLastSave="8068" documentId="8_{9C0392C1-04C3-4B41-96AB-356AF70200C9}" xr6:coauthVersionLast="47" xr6:coauthVersionMax="47" xr10:uidLastSave="{F3A81C61-A345-4544-B44C-8033DAB40377}"/>
  <bookViews>
    <workbookView xWindow="-108" yWindow="-108" windowWidth="23256" windowHeight="13896" xr2:uid="{00000000-000D-0000-FFFF-FFFF00000000}"/>
  </bookViews>
  <sheets>
    <sheet name="CDSCalibration" sheetId="12" r:id="rId1"/>
    <sheet name="CIR" sheetId="13" r:id="rId2"/>
    <sheet name="IndexBasis" sheetId="15" r:id="rId3"/>
    <sheet name="Proxy Regression" sheetId="9" r:id="rId4"/>
    <sheet name="Data" sheetId="10" r:id="rId5"/>
  </sheets>
  <functionGroups builtInGroupCount="19"/>
  <externalReferences>
    <externalReference r:id="rId6"/>
    <externalReference r:id="rId7"/>
  </externalReferences>
  <definedNames>
    <definedName name="_xlnm._FilterDatabase" localSheetId="4" hidden="1">Data!$B$1:$E$1073</definedName>
    <definedName name="AAD">[1]FullSimulation!$C$29</definedName>
    <definedName name="AvSpread" localSheetId="2">IndexBasis!$I$14</definedName>
    <definedName name="BasicFuncs">[1]FullSimulation!$C$25</definedName>
    <definedName name="BasketMaturity">[2]BasketPricer!$C$14</definedName>
    <definedName name="BasketSize">[2]BasketPricer!$C$15</definedName>
    <definedName name="BFactors">[1]IRCalibration!$L$9</definedName>
    <definedName name="CIR_a">CIR!$G$10</definedName>
    <definedName name="CIR_b">CIR!$G$11</definedName>
    <definedName name="CIR_h0">CIR!$G$13</definedName>
    <definedName name="CIR_vol">CIR!$G$12</definedName>
    <definedName name="CIRparams">CIR!$G$10:$G$13</definedName>
    <definedName name="CntrptySP">CIR!$D$19</definedName>
    <definedName name="CntrtyCurve">CIR!$C$10:$C$15</definedName>
    <definedName name="Collateral" localSheetId="0">CDSCalibration!$M$139</definedName>
    <definedName name="Collateral" localSheetId="3">'Proxy Regression'!#REF!</definedName>
    <definedName name="Collateralised">[1]FullSimulation!$C$17</definedName>
    <definedName name="CollateralisedExposure" localSheetId="0">CDSCalibration!$L$263</definedName>
    <definedName name="CollateralisedExposure" localSheetId="3">'Proxy Regression'!$L$17</definedName>
    <definedName name="ColSpread">CIR!#REF!</definedName>
    <definedName name="ConfLevel">'[1]FX Simulation'!$C$17</definedName>
    <definedName name="Contingent" localSheetId="1">CIR!#REF!</definedName>
    <definedName name="Contingent">'[1]xVA Calc'!$C$8</definedName>
    <definedName name="CreditCurve">#REF!</definedName>
    <definedName name="CurveTenors">CIR!$B$10:$B$15</definedName>
    <definedName name="DFcts">[1]IRCalibration!$G$9</definedName>
    <definedName name="DomesticIR">'[1]FX Simulation'!$C$9</definedName>
    <definedName name="DT">[1]FullSimulation!$E$11</definedName>
    <definedName name="Duration1">CIR!#REF!</definedName>
    <definedName name="Duration2">CIR!#REF!</definedName>
    <definedName name="EFV">[1]FullSimulation!$H$10</definedName>
    <definedName name="EndTime">[1]FullSimulation!$C$14</definedName>
    <definedName name="ENE">[1]FullSimulation!$G$10</definedName>
    <definedName name="EPE">[1]FullSimulation!$F$10</definedName>
    <definedName name="Exposure" localSheetId="0">CDSCalibration!$P$9</definedName>
    <definedName name="Exposure" localSheetId="3">'Proxy Regression'!#REF!</definedName>
    <definedName name="fiveyrspread">#REF!</definedName>
    <definedName name="FixedFreq">[1]FullSimulation!$C$15</definedName>
    <definedName name="FloatFreq">[1]FullSimulation!$C$16</definedName>
    <definedName name="ForeignIR">'[1]FX Simulation'!$C$10</definedName>
    <definedName name="FundingSprd">CIR!#REF!</definedName>
    <definedName name="FwdCS">CIR!#REF!</definedName>
    <definedName name="FwdFS">CIR!#REF!</definedName>
    <definedName name="FwdFX">'[1]FX Simulation'!$C$11</definedName>
    <definedName name="FwdRates">[1]IRCalibration!$H$9</definedName>
    <definedName name="FXDrift">'[1]FX Simulation'!$C$15</definedName>
    <definedName name="FXRate">'[1]FX Simulation'!$C$8</definedName>
    <definedName name="FXVol">'[1]FX Simulation'!$C$16</definedName>
    <definedName name="HazardRate" localSheetId="2">IndexBasis!$C$10</definedName>
    <definedName name="HazardRates" localSheetId="0">CDSCalibration!$H$10</definedName>
    <definedName name="HazardRates" localSheetId="3">'Proxy Regression'!#REF!</definedName>
    <definedName name="HazardRates">#REF!</definedName>
    <definedName name="HRs" localSheetId="0">CDSCalibration!$H$11:$H$18</definedName>
    <definedName name="HRs" localSheetId="2">[2]CDSCalibration!$H$11:$H$18</definedName>
    <definedName name="HRs">#REF!</definedName>
    <definedName name="InitialMargin">[1]FullSimulation!$C$21</definedName>
    <definedName name="Intercept">'Proxy Regression'!$I$18</definedName>
    <definedName name="IntRate" localSheetId="2">IndexBasis!$I$12</definedName>
    <definedName name="IRate" localSheetId="0">CDSCalibration!$C$11</definedName>
    <definedName name="IRate" localSheetId="3">'Proxy Regression'!#REF!</definedName>
    <definedName name="IRate">#REF!</definedName>
    <definedName name="IRBump">[1]IRCalibration!$C$18</definedName>
    <definedName name="IRVol">[1]IRCalibration!$C$22</definedName>
    <definedName name="LGD">CIR!$C$16</definedName>
    <definedName name="LGDown">CIR!#REF!</definedName>
    <definedName name="Maturity" localSheetId="2">IndexBasis!$I$13</definedName>
    <definedName name="Maturity">#REF!</definedName>
    <definedName name="MeanRvs">[1]IRCalibration!$C$21</definedName>
    <definedName name="Method" localSheetId="0">CDSCalibration!$C$13</definedName>
    <definedName name="Method" localSheetId="2">[2]CDSCalibration!$C$13</definedName>
    <definedName name="Method">#REF!</definedName>
    <definedName name="MPR">[1]FullSimulation!$C$18</definedName>
    <definedName name="MTMVals" localSheetId="0">CDSCalibration!$N$10</definedName>
    <definedName name="MTMVals" localSheetId="3">'Proxy Regression'!#REF!</definedName>
    <definedName name="MTMVals">#REF!</definedName>
    <definedName name="NumRegs">[1]FullSimulation!$C$24</definedName>
    <definedName name="NumSteps" localSheetId="1">CIR!#REF!</definedName>
    <definedName name="NumSteps">CIR!#REF!</definedName>
    <definedName name="OwnCurve">CIR!#REF!</definedName>
    <definedName name="OwnSP">CIR!#REF!</definedName>
    <definedName name="Param1">[1]SimulationPath!$B$54</definedName>
    <definedName name="Param2">[1]SimulationPath!$B$55</definedName>
    <definedName name="ParSwapRate">[1]IRCalibration!$C$24</definedName>
    <definedName name="PathNum" localSheetId="0">CDSCalibration!$E$15</definedName>
    <definedName name="PathNum" localSheetId="3">'Proxy Regression'!#REF!</definedName>
    <definedName name="PayRec">[1]SimulationPath!$C$8</definedName>
    <definedName name="PFEQuantile">[1]FullSimulation!$C$28</definedName>
    <definedName name="ProductType">[1]FullSimulation!$C$10</definedName>
    <definedName name="Rate">[1]FullSimulation!$C$12</definedName>
    <definedName name="Rec">#REF!</definedName>
    <definedName name="Recovery" localSheetId="0">CDSCalibration!$C$12</definedName>
    <definedName name="Recovery" localSheetId="3">'Proxy Regression'!#REF!</definedName>
    <definedName name="RecoveryRate">#REF!</definedName>
    <definedName name="RecRate" localSheetId="2">IndexBasis!$I$11</definedName>
    <definedName name="RNDrift">'[1]FX Simulation'!$C$14</definedName>
    <definedName name="Seed">[1]FullSimulation!$C$26</definedName>
    <definedName name="ShowAnal">[1]FullSimulation!$C$22</definedName>
    <definedName name="Simulations">[1]FullSimulation!$C$23</definedName>
    <definedName name="solver_adj" localSheetId="0" hidden="1">CDSCalibration!$H$11:$H$18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CDSCalibration!$N$19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preads" localSheetId="0">CDSCalibration!$F$11:$F$18</definedName>
    <definedName name="Spreads" localSheetId="2">[2]CDSCalibration!$F$11:$F$18</definedName>
    <definedName name="Spreads">#REF!</definedName>
    <definedName name="StartTime">[1]FullSimulation!$C$13</definedName>
    <definedName name="Tenors" localSheetId="0">CDSCalibration!$E$11:$E$18</definedName>
    <definedName name="Tenors" localSheetId="2">[2]CDSCalibration!$E$11:$E$18</definedName>
    <definedName name="Tenors">#REF!</definedName>
    <definedName name="Threshold1">[1]FullSimulation!$C$19</definedName>
    <definedName name="Threshold2">[1]FullSimulation!$C$20</definedName>
    <definedName name="TradeFXRate">'[1]FX Simulation'!$C$12</definedName>
    <definedName name="WWRcorr">[1]FullSimulation!$C$27</definedName>
    <definedName name="ZCRate">[1]IRCalibration!$C$9:$C$17</definedName>
    <definedName name="ZCTime">[1]IRCalibration!$B$9:$B$17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" i="12" l="1" a="1"/>
  <c r="F11" i="12" s="1"/>
  <c r="B135" i="15"/>
  <c r="C135" i="15" s="1"/>
  <c r="B134" i="15"/>
  <c r="C134" i="15" s="1"/>
  <c r="B133" i="15"/>
  <c r="C133" i="15" s="1"/>
  <c r="B132" i="15"/>
  <c r="C132" i="15" s="1"/>
  <c r="B131" i="15"/>
  <c r="C131" i="15" s="1"/>
  <c r="B130" i="15"/>
  <c r="C130" i="15" s="1"/>
  <c r="B129" i="15"/>
  <c r="C129" i="15" s="1"/>
  <c r="B128" i="15"/>
  <c r="C128" i="15" s="1"/>
  <c r="B127" i="15"/>
  <c r="C127" i="15" s="1"/>
  <c r="B126" i="15"/>
  <c r="C126" i="15" s="1"/>
  <c r="B125" i="15"/>
  <c r="C125" i="15" s="1"/>
  <c r="B124" i="15"/>
  <c r="C124" i="15" s="1"/>
  <c r="B123" i="15"/>
  <c r="C123" i="15" s="1"/>
  <c r="B122" i="15"/>
  <c r="C122" i="15" s="1"/>
  <c r="B121" i="15"/>
  <c r="C121" i="15" s="1"/>
  <c r="B120" i="15"/>
  <c r="C120" i="15" s="1"/>
  <c r="B119" i="15"/>
  <c r="C119" i="15" s="1"/>
  <c r="B118" i="15"/>
  <c r="C118" i="15" s="1"/>
  <c r="B117" i="15"/>
  <c r="C117" i="15" s="1"/>
  <c r="B116" i="15"/>
  <c r="C116" i="15" s="1"/>
  <c r="B115" i="15"/>
  <c r="C115" i="15" s="1"/>
  <c r="B114" i="15"/>
  <c r="C114" i="15" s="1"/>
  <c r="B113" i="15"/>
  <c r="C113" i="15" s="1"/>
  <c r="B112" i="15"/>
  <c r="C112" i="15" s="1"/>
  <c r="B111" i="15"/>
  <c r="C111" i="15" s="1"/>
  <c r="B110" i="15"/>
  <c r="C110" i="15" s="1"/>
  <c r="B109" i="15"/>
  <c r="C109" i="15" s="1"/>
  <c r="B108" i="15"/>
  <c r="C108" i="15" s="1"/>
  <c r="B107" i="15"/>
  <c r="C107" i="15" s="1"/>
  <c r="B106" i="15"/>
  <c r="C106" i="15" s="1"/>
  <c r="B105" i="15"/>
  <c r="C105" i="15" s="1"/>
  <c r="B104" i="15"/>
  <c r="C104" i="15" s="1"/>
  <c r="B103" i="15"/>
  <c r="C103" i="15" s="1"/>
  <c r="B102" i="15"/>
  <c r="C102" i="15" s="1"/>
  <c r="B101" i="15"/>
  <c r="C101" i="15" s="1"/>
  <c r="B100" i="15"/>
  <c r="C100" i="15" s="1"/>
  <c r="B99" i="15"/>
  <c r="C99" i="15" s="1"/>
  <c r="B98" i="15"/>
  <c r="C98" i="15" s="1"/>
  <c r="B97" i="15"/>
  <c r="C97" i="15" s="1"/>
  <c r="B96" i="15"/>
  <c r="C96" i="15" s="1"/>
  <c r="B95" i="15"/>
  <c r="C95" i="15" s="1"/>
  <c r="B94" i="15"/>
  <c r="C94" i="15" s="1"/>
  <c r="B93" i="15"/>
  <c r="C93" i="15" s="1"/>
  <c r="B92" i="15"/>
  <c r="C92" i="15" s="1"/>
  <c r="B91" i="15"/>
  <c r="C91" i="15" s="1"/>
  <c r="B90" i="15"/>
  <c r="C90" i="15" s="1"/>
  <c r="B89" i="15"/>
  <c r="C89" i="15" s="1"/>
  <c r="B88" i="15"/>
  <c r="C88" i="15" s="1"/>
  <c r="B87" i="15"/>
  <c r="C87" i="15" s="1"/>
  <c r="B86" i="15"/>
  <c r="C86" i="15" s="1"/>
  <c r="B85" i="15"/>
  <c r="C85" i="15" s="1"/>
  <c r="B84" i="15"/>
  <c r="C84" i="15" s="1"/>
  <c r="B83" i="15"/>
  <c r="C83" i="15" s="1"/>
  <c r="B82" i="15"/>
  <c r="C82" i="15" s="1"/>
  <c r="B81" i="15"/>
  <c r="C81" i="15" s="1"/>
  <c r="B80" i="15"/>
  <c r="C80" i="15" s="1"/>
  <c r="B79" i="15"/>
  <c r="C79" i="15" s="1"/>
  <c r="B78" i="15"/>
  <c r="C78" i="15" s="1"/>
  <c r="B77" i="15"/>
  <c r="C77" i="15" s="1"/>
  <c r="B76" i="15"/>
  <c r="C76" i="15" s="1"/>
  <c r="B75" i="15"/>
  <c r="C75" i="15" s="1"/>
  <c r="B74" i="15"/>
  <c r="C74" i="15" s="1"/>
  <c r="B73" i="15"/>
  <c r="C73" i="15" s="1"/>
  <c r="B72" i="15"/>
  <c r="C72" i="15" s="1"/>
  <c r="B71" i="15"/>
  <c r="C71" i="15" s="1"/>
  <c r="B70" i="15"/>
  <c r="C70" i="15" s="1"/>
  <c r="B69" i="15"/>
  <c r="C69" i="15" s="1"/>
  <c r="B68" i="15"/>
  <c r="C68" i="15" s="1"/>
  <c r="B67" i="15"/>
  <c r="C67" i="15" s="1"/>
  <c r="B66" i="15"/>
  <c r="C66" i="15" s="1"/>
  <c r="B65" i="15"/>
  <c r="C65" i="15" s="1"/>
  <c r="B64" i="15"/>
  <c r="C64" i="15" s="1"/>
  <c r="B63" i="15"/>
  <c r="C63" i="15" s="1"/>
  <c r="B62" i="15"/>
  <c r="C62" i="15" s="1"/>
  <c r="B61" i="15"/>
  <c r="C61" i="15" s="1"/>
  <c r="B60" i="15"/>
  <c r="C60" i="15" s="1"/>
  <c r="B59" i="15"/>
  <c r="C59" i="15" s="1"/>
  <c r="B58" i="15"/>
  <c r="C58" i="15" s="1"/>
  <c r="B57" i="15"/>
  <c r="C57" i="15" s="1"/>
  <c r="B56" i="15"/>
  <c r="C56" i="15" s="1"/>
  <c r="B55" i="15"/>
  <c r="C55" i="15" s="1"/>
  <c r="B54" i="15"/>
  <c r="C54" i="15" s="1"/>
  <c r="B53" i="15"/>
  <c r="C53" i="15" s="1"/>
  <c r="B52" i="15"/>
  <c r="C52" i="15" s="1"/>
  <c r="B51" i="15"/>
  <c r="C51" i="15" s="1"/>
  <c r="B50" i="15"/>
  <c r="C50" i="15" s="1"/>
  <c r="B49" i="15"/>
  <c r="C49" i="15" s="1"/>
  <c r="B48" i="15"/>
  <c r="C48" i="15" s="1"/>
  <c r="B47" i="15"/>
  <c r="C47" i="15" s="1"/>
  <c r="B46" i="15"/>
  <c r="C46" i="15" s="1"/>
  <c r="B45" i="15"/>
  <c r="C45" i="15" s="1"/>
  <c r="B44" i="15"/>
  <c r="C44" i="15" s="1"/>
  <c r="B43" i="15"/>
  <c r="C43" i="15" s="1"/>
  <c r="B42" i="15"/>
  <c r="C42" i="15" s="1"/>
  <c r="B41" i="15"/>
  <c r="C41" i="15" s="1"/>
  <c r="B40" i="15"/>
  <c r="C40" i="15" s="1"/>
  <c r="B39" i="15"/>
  <c r="C39" i="15" s="1"/>
  <c r="B38" i="15"/>
  <c r="C38" i="15" s="1"/>
  <c r="B37" i="15"/>
  <c r="C37" i="15" s="1"/>
  <c r="B36" i="15"/>
  <c r="C36" i="15" s="1"/>
  <c r="B35" i="15"/>
  <c r="C35" i="15" s="1"/>
  <c r="B34" i="15"/>
  <c r="C34" i="15" s="1"/>
  <c r="B33" i="15"/>
  <c r="C33" i="15" s="1"/>
  <c r="B32" i="15"/>
  <c r="C32" i="15" s="1"/>
  <c r="B31" i="15"/>
  <c r="C31" i="15" s="1"/>
  <c r="B30" i="15"/>
  <c r="C30" i="15" s="1"/>
  <c r="B29" i="15"/>
  <c r="C29" i="15" s="1"/>
  <c r="B28" i="15"/>
  <c r="C28" i="15" s="1"/>
  <c r="B27" i="15"/>
  <c r="C27" i="15" s="1"/>
  <c r="B26" i="15"/>
  <c r="C26" i="15" s="1"/>
  <c r="B25" i="15"/>
  <c r="C25" i="15" s="1"/>
  <c r="B24" i="15"/>
  <c r="C24" i="15" s="1"/>
  <c r="B23" i="15"/>
  <c r="C23" i="15" s="1"/>
  <c r="B22" i="15"/>
  <c r="C22" i="15" s="1"/>
  <c r="B21" i="15"/>
  <c r="C21" i="15" s="1"/>
  <c r="B20" i="15"/>
  <c r="C20" i="15" s="1"/>
  <c r="B19" i="15"/>
  <c r="C19" i="15" s="1"/>
  <c r="B18" i="15"/>
  <c r="C18" i="15" s="1"/>
  <c r="B17" i="15"/>
  <c r="C17" i="15" s="1"/>
  <c r="B16" i="15"/>
  <c r="C16" i="15" s="1"/>
  <c r="B15" i="15"/>
  <c r="C15" i="15" s="1"/>
  <c r="B14" i="15"/>
  <c r="C14" i="15" s="1"/>
  <c r="B13" i="15"/>
  <c r="C13" i="15" s="1"/>
  <c r="E13" i="15" s="1"/>
  <c r="B12" i="15"/>
  <c r="C12" i="15" s="1"/>
  <c r="B11" i="15"/>
  <c r="I14" i="15" l="1"/>
  <c r="K12" i="15" s="1"/>
  <c r="E39" i="15"/>
  <c r="D39" i="15"/>
  <c r="E55" i="15"/>
  <c r="D55" i="15"/>
  <c r="D17" i="15"/>
  <c r="E17" i="15"/>
  <c r="E25" i="15"/>
  <c r="D25" i="15"/>
  <c r="E33" i="15"/>
  <c r="D33" i="15"/>
  <c r="E41" i="15"/>
  <c r="D41" i="15"/>
  <c r="E49" i="15"/>
  <c r="D49" i="15"/>
  <c r="E57" i="15"/>
  <c r="D57" i="15"/>
  <c r="E65" i="15"/>
  <c r="D65" i="15"/>
  <c r="E73" i="15"/>
  <c r="D73" i="15"/>
  <c r="E81" i="15"/>
  <c r="D81" i="15"/>
  <c r="E89" i="15"/>
  <c r="D89" i="15"/>
  <c r="E97" i="15"/>
  <c r="D97" i="15"/>
  <c r="E105" i="15"/>
  <c r="D105" i="15"/>
  <c r="E113" i="15"/>
  <c r="D113" i="15"/>
  <c r="E121" i="15"/>
  <c r="D121" i="15"/>
  <c r="E129" i="15"/>
  <c r="D129" i="15"/>
  <c r="E18" i="15"/>
  <c r="D18" i="15"/>
  <c r="E26" i="15"/>
  <c r="D26" i="15"/>
  <c r="E34" i="15"/>
  <c r="D34" i="15"/>
  <c r="E42" i="15"/>
  <c r="D42" i="15"/>
  <c r="E50" i="15"/>
  <c r="D50" i="15"/>
  <c r="E58" i="15"/>
  <c r="D58" i="15"/>
  <c r="E66" i="15"/>
  <c r="D66" i="15"/>
  <c r="E74" i="15"/>
  <c r="D74" i="15"/>
  <c r="E82" i="15"/>
  <c r="D82" i="15"/>
  <c r="E90" i="15"/>
  <c r="D90" i="15"/>
  <c r="E98" i="15"/>
  <c r="D98" i="15"/>
  <c r="E106" i="15"/>
  <c r="D106" i="15"/>
  <c r="E114" i="15"/>
  <c r="D114" i="15"/>
  <c r="E122" i="15"/>
  <c r="D122" i="15"/>
  <c r="E130" i="15"/>
  <c r="D130" i="15"/>
  <c r="E23" i="15"/>
  <c r="D23" i="15"/>
  <c r="E27" i="15"/>
  <c r="D27" i="15"/>
  <c r="E51" i="15"/>
  <c r="D51" i="15"/>
  <c r="E75" i="15"/>
  <c r="D75" i="15"/>
  <c r="E91" i="15"/>
  <c r="D91" i="15"/>
  <c r="E107" i="15"/>
  <c r="D107" i="15"/>
  <c r="E123" i="15"/>
  <c r="D123" i="15"/>
  <c r="E20" i="15"/>
  <c r="D20" i="15"/>
  <c r="E28" i="15"/>
  <c r="D28" i="15"/>
  <c r="E36" i="15"/>
  <c r="D36" i="15"/>
  <c r="E44" i="15"/>
  <c r="D44" i="15"/>
  <c r="E52" i="15"/>
  <c r="D52" i="15"/>
  <c r="E60" i="15"/>
  <c r="D60" i="15"/>
  <c r="E68" i="15"/>
  <c r="D68" i="15"/>
  <c r="E76" i="15"/>
  <c r="D76" i="15"/>
  <c r="E84" i="15"/>
  <c r="D84" i="15"/>
  <c r="E92" i="15"/>
  <c r="D92" i="15"/>
  <c r="E100" i="15"/>
  <c r="D100" i="15"/>
  <c r="E108" i="15"/>
  <c r="D108" i="15"/>
  <c r="E116" i="15"/>
  <c r="D116" i="15"/>
  <c r="E124" i="15"/>
  <c r="D124" i="15"/>
  <c r="E132" i="15"/>
  <c r="D132" i="15"/>
  <c r="D19" i="15"/>
  <c r="E19" i="15"/>
  <c r="E43" i="15"/>
  <c r="D43" i="15"/>
  <c r="E67" i="15"/>
  <c r="D67" i="15"/>
  <c r="E29" i="15"/>
  <c r="D29" i="15"/>
  <c r="E37" i="15"/>
  <c r="D37" i="15"/>
  <c r="E45" i="15"/>
  <c r="D45" i="15"/>
  <c r="E53" i="15"/>
  <c r="D53" i="15"/>
  <c r="E61" i="15"/>
  <c r="D61" i="15"/>
  <c r="E69" i="15"/>
  <c r="D69" i="15"/>
  <c r="E77" i="15"/>
  <c r="D77" i="15"/>
  <c r="E85" i="15"/>
  <c r="D85" i="15"/>
  <c r="E93" i="15"/>
  <c r="D93" i="15"/>
  <c r="E101" i="15"/>
  <c r="D101" i="15"/>
  <c r="E109" i="15"/>
  <c r="D109" i="15"/>
  <c r="E117" i="15"/>
  <c r="D117" i="15"/>
  <c r="E125" i="15"/>
  <c r="D125" i="15"/>
  <c r="E133" i="15"/>
  <c r="D133" i="15"/>
  <c r="D15" i="15"/>
  <c r="E15" i="15"/>
  <c r="E12" i="15"/>
  <c r="D12" i="15"/>
  <c r="E35" i="15"/>
  <c r="D35" i="15"/>
  <c r="E59" i="15"/>
  <c r="D59" i="15"/>
  <c r="E83" i="15"/>
  <c r="D83" i="15"/>
  <c r="E99" i="15"/>
  <c r="D99" i="15"/>
  <c r="E115" i="15"/>
  <c r="D115" i="15"/>
  <c r="E131" i="15"/>
  <c r="D131" i="15"/>
  <c r="D21" i="15"/>
  <c r="E21" i="15"/>
  <c r="E14" i="15"/>
  <c r="D14" i="15"/>
  <c r="D22" i="15"/>
  <c r="E22" i="15"/>
  <c r="E30" i="15"/>
  <c r="D30" i="15"/>
  <c r="E38" i="15"/>
  <c r="D38" i="15"/>
  <c r="E46" i="15"/>
  <c r="D46" i="15"/>
  <c r="E54" i="15"/>
  <c r="D54" i="15"/>
  <c r="E62" i="15"/>
  <c r="D62" i="15"/>
  <c r="E70" i="15"/>
  <c r="D70" i="15"/>
  <c r="E78" i="15"/>
  <c r="D78" i="15"/>
  <c r="E86" i="15"/>
  <c r="D86" i="15"/>
  <c r="E94" i="15"/>
  <c r="D94" i="15"/>
  <c r="E102" i="15"/>
  <c r="D102" i="15"/>
  <c r="E110" i="15"/>
  <c r="D110" i="15"/>
  <c r="E118" i="15"/>
  <c r="D118" i="15"/>
  <c r="E126" i="15"/>
  <c r="D126" i="15"/>
  <c r="E134" i="15"/>
  <c r="D134" i="15"/>
  <c r="E31" i="15"/>
  <c r="D31" i="15"/>
  <c r="E47" i="15"/>
  <c r="D47" i="15"/>
  <c r="E63" i="15"/>
  <c r="D63" i="15"/>
  <c r="E71" i="15"/>
  <c r="D71" i="15"/>
  <c r="E79" i="15"/>
  <c r="D79" i="15"/>
  <c r="E87" i="15"/>
  <c r="D87" i="15"/>
  <c r="E95" i="15"/>
  <c r="D95" i="15"/>
  <c r="E103" i="15"/>
  <c r="D103" i="15"/>
  <c r="E111" i="15"/>
  <c r="D111" i="15"/>
  <c r="E119" i="15"/>
  <c r="D119" i="15"/>
  <c r="E127" i="15"/>
  <c r="D127" i="15"/>
  <c r="E135" i="15"/>
  <c r="D135" i="15"/>
  <c r="E16" i="15"/>
  <c r="D16" i="15"/>
  <c r="E24" i="15"/>
  <c r="D24" i="15"/>
  <c r="E32" i="15"/>
  <c r="D32" i="15"/>
  <c r="E40" i="15"/>
  <c r="D40" i="15"/>
  <c r="E48" i="15"/>
  <c r="D48" i="15"/>
  <c r="E56" i="15"/>
  <c r="D56" i="15"/>
  <c r="E64" i="15"/>
  <c r="D64" i="15"/>
  <c r="E72" i="15"/>
  <c r="D72" i="15"/>
  <c r="E80" i="15"/>
  <c r="D80" i="15"/>
  <c r="E88" i="15"/>
  <c r="D88" i="15"/>
  <c r="E96" i="15"/>
  <c r="D96" i="15"/>
  <c r="E104" i="15"/>
  <c r="D104" i="15"/>
  <c r="E112" i="15"/>
  <c r="D112" i="15"/>
  <c r="E120" i="15"/>
  <c r="D120" i="15"/>
  <c r="E128" i="15"/>
  <c r="D128" i="15"/>
  <c r="C11" i="15"/>
  <c r="D13" i="15"/>
  <c r="C10" i="13" a="1"/>
  <c r="C14" i="13" s="1"/>
  <c r="L12" i="15" l="1"/>
  <c r="M12" i="15" s="1"/>
  <c r="E11" i="15"/>
  <c r="J21" i="15" s="1"/>
  <c r="D11" i="15"/>
  <c r="C15" i="13"/>
  <c r="C11" i="13"/>
  <c r="C12" i="13"/>
  <c r="C13" i="13"/>
  <c r="C10" i="13"/>
  <c r="F13" i="13" s="1"/>
  <c r="C29" i="13" a="1"/>
  <c r="C31" i="13" a="1"/>
  <c r="C51" i="13" a="1"/>
  <c r="C57" i="13" a="1"/>
  <c r="C26" i="13" a="1"/>
  <c r="C34" i="13" a="1"/>
  <c r="C28" i="13" a="1"/>
  <c r="C38" i="13" a="1"/>
  <c r="C24" i="13" a="1"/>
  <c r="C45" i="13" a="1"/>
  <c r="C56" i="13" a="1"/>
  <c r="C23" i="13" a="1"/>
  <c r="C55" i="13" a="1"/>
  <c r="C46" i="13" a="1"/>
  <c r="C30" i="13" a="1"/>
  <c r="C35" i="13" a="1"/>
  <c r="C36" i="13" a="1"/>
  <c r="C21" i="13" a="1"/>
  <c r="C53" i="13" a="1"/>
  <c r="C27" i="13" a="1"/>
  <c r="C41" i="13" a="1"/>
  <c r="C48" i="13" a="1"/>
  <c r="C42" i="13" a="1"/>
  <c r="C43" i="13" a="1"/>
  <c r="C33" i="13" a="1"/>
  <c r="C54" i="13" a="1"/>
  <c r="C37" i="13" a="1"/>
  <c r="C39" i="13" a="1"/>
  <c r="C44" i="13" a="1"/>
  <c r="C49" i="13" a="1"/>
  <c r="C40" i="13" a="1"/>
  <c r="C50" i="13" a="1"/>
  <c r="C47" i="13" a="1"/>
  <c r="C19" i="13" a="1"/>
  <c r="C59" i="13" a="1"/>
  <c r="C32" i="13" a="1"/>
  <c r="C52" i="13" a="1"/>
  <c r="C20" i="13" a="1"/>
  <c r="C58" i="13" a="1"/>
  <c r="C25" i="13" a="1"/>
  <c r="C22" i="13" a="1"/>
  <c r="K21" i="15" l="1"/>
  <c r="I21" i="15" s="1"/>
  <c r="K22" i="15"/>
  <c r="K13" i="15" s="1"/>
  <c r="C19" i="13"/>
  <c r="D19" i="13" s="1"/>
  <c r="C56" i="13"/>
  <c r="D56" i="13" s="1"/>
  <c r="C52" i="13"/>
  <c r="D52" i="13" s="1"/>
  <c r="C48" i="13"/>
  <c r="D48" i="13" s="1"/>
  <c r="C44" i="13"/>
  <c r="D44" i="13" s="1"/>
  <c r="C40" i="13"/>
  <c r="D40" i="13" s="1"/>
  <c r="C36" i="13"/>
  <c r="D36" i="13" s="1"/>
  <c r="C32" i="13"/>
  <c r="D32" i="13" s="1"/>
  <c r="C26" i="13"/>
  <c r="D26" i="13" s="1"/>
  <c r="C22" i="13"/>
  <c r="D22" i="13" s="1"/>
  <c r="C59" i="13"/>
  <c r="D59" i="13" s="1"/>
  <c r="C57" i="13"/>
  <c r="D57" i="13" s="1"/>
  <c r="C55" i="13"/>
  <c r="D55" i="13" s="1"/>
  <c r="C53" i="13"/>
  <c r="D53" i="13" s="1"/>
  <c r="C51" i="13"/>
  <c r="D51" i="13" s="1"/>
  <c r="C49" i="13"/>
  <c r="D49" i="13" s="1"/>
  <c r="C47" i="13"/>
  <c r="D47" i="13" s="1"/>
  <c r="C45" i="13"/>
  <c r="D45" i="13" s="1"/>
  <c r="C43" i="13"/>
  <c r="D43" i="13" s="1"/>
  <c r="C41" i="13"/>
  <c r="D41" i="13" s="1"/>
  <c r="C39" i="13"/>
  <c r="D39" i="13" s="1"/>
  <c r="C37" i="13"/>
  <c r="D37" i="13" s="1"/>
  <c r="C35" i="13"/>
  <c r="D35" i="13" s="1"/>
  <c r="C33" i="13"/>
  <c r="D33" i="13" s="1"/>
  <c r="C31" i="13"/>
  <c r="D31" i="13" s="1"/>
  <c r="C29" i="13"/>
  <c r="D29" i="13" s="1"/>
  <c r="C27" i="13"/>
  <c r="D27" i="13" s="1"/>
  <c r="C25" i="13"/>
  <c r="D25" i="13" s="1"/>
  <c r="C23" i="13"/>
  <c r="D23" i="13" s="1"/>
  <c r="C21" i="13"/>
  <c r="D21" i="13" s="1"/>
  <c r="C58" i="13"/>
  <c r="D58" i="13" s="1"/>
  <c r="C54" i="13"/>
  <c r="D54" i="13" s="1"/>
  <c r="C50" i="13"/>
  <c r="D50" i="13" s="1"/>
  <c r="C46" i="13"/>
  <c r="D46" i="13" s="1"/>
  <c r="C42" i="13"/>
  <c r="D42" i="13" s="1"/>
  <c r="C38" i="13"/>
  <c r="D38" i="13" s="1"/>
  <c r="C34" i="13"/>
  <c r="D34" i="13" s="1"/>
  <c r="C30" i="13"/>
  <c r="D30" i="13" s="1"/>
  <c r="C28" i="13"/>
  <c r="D28" i="13" s="1"/>
  <c r="C24" i="13"/>
  <c r="D24" i="13" s="1"/>
  <c r="C20" i="13"/>
  <c r="D20" i="13" s="1"/>
  <c r="F11" i="13"/>
  <c r="F12" i="13" s="1"/>
  <c r="G10" i="13" a="1"/>
  <c r="L13" i="15" l="1"/>
  <c r="M13" i="15" s="1"/>
  <c r="K14" i="15" s="1"/>
  <c r="G10" i="13"/>
  <c r="G16" i="13" s="1"/>
  <c r="E57" i="13" a="1"/>
  <c r="E36" i="13" a="1"/>
  <c r="E26" i="13" a="1"/>
  <c r="E32" i="13" a="1"/>
  <c r="E58" i="13" a="1"/>
  <c r="E53" i="13" a="1"/>
  <c r="E48" i="13" a="1"/>
  <c r="E44" i="13" a="1"/>
  <c r="E19" i="13" a="1"/>
  <c r="E45" i="13" a="1"/>
  <c r="E55" i="13" a="1"/>
  <c r="E38" i="13" a="1"/>
  <c r="E33" i="13" a="1"/>
  <c r="E49" i="13" a="1"/>
  <c r="E21" i="13" a="1"/>
  <c r="E39" i="13" a="1"/>
  <c r="E27" i="13" a="1"/>
  <c r="E25" i="13" a="1"/>
  <c r="E37" i="13" a="1"/>
  <c r="E59" i="13" a="1"/>
  <c r="E47" i="13" a="1"/>
  <c r="E56" i="13" a="1"/>
  <c r="E23" i="13" a="1"/>
  <c r="E35" i="13" a="1"/>
  <c r="E42" i="13" a="1"/>
  <c r="E24" i="13" a="1"/>
  <c r="E52" i="13" a="1"/>
  <c r="E54" i="13" a="1"/>
  <c r="E30" i="13" a="1"/>
  <c r="E31" i="13" a="1"/>
  <c r="E29" i="13" a="1"/>
  <c r="E28" i="13" a="1"/>
  <c r="E22" i="13" a="1"/>
  <c r="E51" i="13" a="1"/>
  <c r="E50" i="13" a="1"/>
  <c r="E20" i="13" a="1"/>
  <c r="E34" i="13" a="1"/>
  <c r="E40" i="13" a="1"/>
  <c r="E41" i="13" a="1"/>
  <c r="E46" i="13" a="1"/>
  <c r="E43" i="13" a="1"/>
  <c r="L14" i="15" l="1"/>
  <c r="M14" i="15" s="1"/>
  <c r="K15" i="15" s="1"/>
  <c r="E37" i="13"/>
  <c r="E38" i="13"/>
  <c r="E32" i="13"/>
  <c r="E40" i="13"/>
  <c r="E46" i="13"/>
  <c r="E20" i="13"/>
  <c r="E24" i="13"/>
  <c r="E26" i="13"/>
  <c r="E44" i="13"/>
  <c r="E52" i="13"/>
  <c r="E53" i="13"/>
  <c r="E35" i="13"/>
  <c r="E21" i="13"/>
  <c r="E49" i="13"/>
  <c r="E23" i="13"/>
  <c r="E39" i="13"/>
  <c r="E36" i="13"/>
  <c r="E25" i="13"/>
  <c r="E54" i="13"/>
  <c r="E22" i="13"/>
  <c r="E55" i="13"/>
  <c r="E31" i="13"/>
  <c r="E33" i="13"/>
  <c r="E34" i="13"/>
  <c r="E41" i="13"/>
  <c r="E48" i="13"/>
  <c r="E19" i="13"/>
  <c r="E29" i="13"/>
  <c r="E58" i="13"/>
  <c r="E47" i="13"/>
  <c r="E30" i="13"/>
  <c r="E50" i="13"/>
  <c r="E42" i="13"/>
  <c r="E57" i="13"/>
  <c r="E43" i="13"/>
  <c r="E56" i="13"/>
  <c r="E27" i="13"/>
  <c r="E45" i="13"/>
  <c r="E59" i="13"/>
  <c r="E28" i="13"/>
  <c r="E51" i="13"/>
  <c r="L15" i="15" l="1"/>
  <c r="M15" i="15" s="1"/>
  <c r="K16" i="15" s="1"/>
  <c r="F37" i="13"/>
  <c r="F29" i="13"/>
  <c r="F49" i="13"/>
  <c r="F48" i="13"/>
  <c r="F42" i="13"/>
  <c r="F24" i="13"/>
  <c r="F35" i="13"/>
  <c r="F46" i="13"/>
  <c r="F58" i="13"/>
  <c r="F40" i="13"/>
  <c r="F21" i="13"/>
  <c r="F47" i="13"/>
  <c r="F57" i="13"/>
  <c r="F50" i="13"/>
  <c r="F36" i="13"/>
  <c r="F59" i="13"/>
  <c r="F43" i="13"/>
  <c r="F31" i="13"/>
  <c r="F20" i="13"/>
  <c r="F55" i="13"/>
  <c r="F27" i="13"/>
  <c r="F25" i="13"/>
  <c r="F52" i="13"/>
  <c r="F41" i="13"/>
  <c r="F45" i="13"/>
  <c r="F32" i="13"/>
  <c r="F23" i="13"/>
  <c r="F54" i="13"/>
  <c r="F33" i="13"/>
  <c r="F44" i="13"/>
  <c r="F30" i="13"/>
  <c r="F26" i="13"/>
  <c r="F34" i="13"/>
  <c r="F28" i="13"/>
  <c r="F39" i="13"/>
  <c r="F53" i="13"/>
  <c r="F22" i="13"/>
  <c r="F51" i="13"/>
  <c r="F56" i="13"/>
  <c r="F38" i="13"/>
  <c r="E162" i="12"/>
  <c r="E163" i="12" s="1"/>
  <c r="F161" i="12"/>
  <c r="E122" i="12"/>
  <c r="F122" i="12" s="1"/>
  <c r="F121" i="12"/>
  <c r="E102" i="12"/>
  <c r="E103" i="12" s="1"/>
  <c r="F103" i="12" s="1"/>
  <c r="F101" i="12"/>
  <c r="E82" i="12"/>
  <c r="E83" i="12" s="1"/>
  <c r="E84" i="12" s="1"/>
  <c r="F84" i="12" s="1"/>
  <c r="F81" i="12"/>
  <c r="E62" i="12"/>
  <c r="E63" i="12" s="1"/>
  <c r="E64" i="12" s="1"/>
  <c r="F61" i="12"/>
  <c r="E42" i="12"/>
  <c r="F42" i="12" s="1"/>
  <c r="F41" i="12"/>
  <c r="E22" i="12"/>
  <c r="E23" i="12" s="1"/>
  <c r="I21" i="12"/>
  <c r="J21" i="12" s="1"/>
  <c r="F21" i="12"/>
  <c r="I18" i="12"/>
  <c r="I17" i="12"/>
  <c r="I16" i="12"/>
  <c r="I15" i="12"/>
  <c r="I14" i="12"/>
  <c r="I13" i="12"/>
  <c r="I12" i="12"/>
  <c r="I11" i="12"/>
  <c r="L11" i="12" s="1"/>
  <c r="H161" i="12" a="1"/>
  <c r="H41" i="12" a="1"/>
  <c r="H42" i="12" a="1"/>
  <c r="H84" i="12" a="1"/>
  <c r="H162" i="12" a="1"/>
  <c r="G101" i="12" a="1"/>
  <c r="G23" i="12" a="1"/>
  <c r="G22" i="12" a="1"/>
  <c r="H61" i="12" a="1"/>
  <c r="H21" i="12" a="1"/>
  <c r="G122" i="12" a="1"/>
  <c r="H64" i="12" a="1"/>
  <c r="G21" i="12" a="1"/>
  <c r="G62" i="12" a="1"/>
  <c r="G42" i="12" a="1"/>
  <c r="G41" i="12" a="1"/>
  <c r="G84" i="12" a="1"/>
  <c r="G64" i="12" a="1"/>
  <c r="G102" i="12" a="1"/>
  <c r="G82" i="12" a="1"/>
  <c r="G63" i="12" a="1"/>
  <c r="H101" i="12" a="1"/>
  <c r="H121" i="12" a="1"/>
  <c r="H23" i="12" a="1"/>
  <c r="G162" i="12" a="1"/>
  <c r="G61" i="12" a="1"/>
  <c r="H81" i="12" a="1"/>
  <c r="G83" i="12" a="1"/>
  <c r="H63" i="12" a="1"/>
  <c r="H62" i="12" a="1"/>
  <c r="H122" i="12" a="1"/>
  <c r="H163" i="12" a="1"/>
  <c r="H83" i="12" a="1"/>
  <c r="G121" i="12" a="1"/>
  <c r="H82" i="12" a="1"/>
  <c r="G103" i="12" a="1"/>
  <c r="H103" i="12" a="1"/>
  <c r="G161" i="12" a="1"/>
  <c r="G81" i="12" a="1"/>
  <c r="G163" i="12" a="1"/>
  <c r="H102" i="12" a="1"/>
  <c r="H22" i="12" a="1"/>
  <c r="L16" i="15" l="1"/>
  <c r="M16" i="15" s="1"/>
  <c r="K17" i="15" s="1"/>
  <c r="M11" i="12"/>
  <c r="E85" i="12"/>
  <c r="E86" i="12" s="1"/>
  <c r="F102" i="12"/>
  <c r="F162" i="12"/>
  <c r="F82" i="12"/>
  <c r="E123" i="12"/>
  <c r="E124" i="12" s="1"/>
  <c r="F22" i="12"/>
  <c r="F83" i="12"/>
  <c r="H41" i="12"/>
  <c r="H62" i="12"/>
  <c r="G102" i="12"/>
  <c r="L102" i="12" s="1"/>
  <c r="M102" i="12" s="1"/>
  <c r="H21" i="12"/>
  <c r="G22" i="12"/>
  <c r="L22" i="12" s="1"/>
  <c r="M22" i="12" s="1"/>
  <c r="H64" i="12"/>
  <c r="H82" i="12"/>
  <c r="G23" i="12"/>
  <c r="L23" i="12" s="1"/>
  <c r="M23" i="12" s="1"/>
  <c r="H42" i="12"/>
  <c r="H61" i="12"/>
  <c r="G81" i="12"/>
  <c r="L81" i="12" s="1"/>
  <c r="M81" i="12" s="1"/>
  <c r="H23" i="12"/>
  <c r="G41" i="12"/>
  <c r="L41" i="12" s="1"/>
  <c r="M41" i="12" s="1"/>
  <c r="G21" i="12"/>
  <c r="L21" i="12" s="1"/>
  <c r="M21" i="12" s="1"/>
  <c r="H22" i="12"/>
  <c r="I22" i="12" s="1"/>
  <c r="G62" i="12"/>
  <c r="L62" i="12" s="1"/>
  <c r="M62" i="12" s="1"/>
  <c r="G63" i="12"/>
  <c r="L63" i="12" s="1"/>
  <c r="M63" i="12" s="1"/>
  <c r="G64" i="12"/>
  <c r="L64" i="12" s="1"/>
  <c r="M64" i="12" s="1"/>
  <c r="G42" i="12"/>
  <c r="L42" i="12" s="1"/>
  <c r="M42" i="12" s="1"/>
  <c r="G61" i="12"/>
  <c r="L61" i="12" s="1"/>
  <c r="M61" i="12" s="1"/>
  <c r="H63" i="12"/>
  <c r="G83" i="12"/>
  <c r="L83" i="12" s="1"/>
  <c r="M83" i="12" s="1"/>
  <c r="G121" i="12"/>
  <c r="L121" i="12" s="1"/>
  <c r="M121" i="12" s="1"/>
  <c r="H81" i="12"/>
  <c r="G82" i="12"/>
  <c r="L82" i="12" s="1"/>
  <c r="M82" i="12" s="1"/>
  <c r="H84" i="12"/>
  <c r="G101" i="12"/>
  <c r="L101" i="12" s="1"/>
  <c r="M101" i="12" s="1"/>
  <c r="H103" i="12"/>
  <c r="H122" i="12"/>
  <c r="H83" i="12"/>
  <c r="H102" i="12"/>
  <c r="H121" i="12"/>
  <c r="G162" i="12"/>
  <c r="L162" i="12" s="1"/>
  <c r="M162" i="12" s="1"/>
  <c r="G84" i="12"/>
  <c r="L84" i="12" s="1"/>
  <c r="M84" i="12" s="1"/>
  <c r="H101" i="12"/>
  <c r="G103" i="12"/>
  <c r="L103" i="12" s="1"/>
  <c r="M103" i="12" s="1"/>
  <c r="G122" i="12"/>
  <c r="L122" i="12" s="1"/>
  <c r="M122" i="12" s="1"/>
  <c r="G161" i="12"/>
  <c r="L161" i="12" s="1"/>
  <c r="M161" i="12" s="1"/>
  <c r="H163" i="12"/>
  <c r="H162" i="12"/>
  <c r="H161" i="12"/>
  <c r="G163" i="12"/>
  <c r="L163" i="12" s="1"/>
  <c r="M163" i="12" s="1"/>
  <c r="F23" i="12"/>
  <c r="E24" i="12"/>
  <c r="F64" i="12"/>
  <c r="E65" i="12"/>
  <c r="E43" i="12"/>
  <c r="F62" i="12"/>
  <c r="F63" i="12"/>
  <c r="E104" i="12"/>
  <c r="F163" i="12"/>
  <c r="E164" i="12"/>
  <c r="G164" i="12" a="1"/>
  <c r="G86" i="12" a="1"/>
  <c r="H85" i="12" a="1"/>
  <c r="G124" i="12" a="1"/>
  <c r="H86" i="12" a="1"/>
  <c r="G43" i="12" a="1"/>
  <c r="G24" i="12" a="1"/>
  <c r="H24" i="12" a="1"/>
  <c r="H65" i="12" a="1"/>
  <c r="G65" i="12" a="1"/>
  <c r="H164" i="12" a="1"/>
  <c r="H104" i="12" a="1"/>
  <c r="H123" i="12" a="1"/>
  <c r="G85" i="12" a="1"/>
  <c r="G123" i="12" a="1"/>
  <c r="G104" i="12" a="1"/>
  <c r="H43" i="12" a="1"/>
  <c r="H124" i="12" a="1"/>
  <c r="L17" i="15" l="1"/>
  <c r="M17" i="15" s="1"/>
  <c r="I15" i="15"/>
  <c r="F85" i="12"/>
  <c r="F123" i="12"/>
  <c r="G85" i="12"/>
  <c r="L85" i="12" s="1"/>
  <c r="M85" i="12" s="1"/>
  <c r="H85" i="12"/>
  <c r="G123" i="12"/>
  <c r="L123" i="12" s="1"/>
  <c r="M123" i="12" s="1"/>
  <c r="H123" i="12"/>
  <c r="I23" i="12"/>
  <c r="J23" i="12" s="1"/>
  <c r="G65" i="12"/>
  <c r="L65" i="12" s="1"/>
  <c r="M65" i="12" s="1"/>
  <c r="H65" i="12"/>
  <c r="H86" i="12"/>
  <c r="G86" i="12"/>
  <c r="L86" i="12" s="1"/>
  <c r="M86" i="12" s="1"/>
  <c r="G164" i="12"/>
  <c r="L164" i="12" s="1"/>
  <c r="M164" i="12" s="1"/>
  <c r="H164" i="12"/>
  <c r="G104" i="12"/>
  <c r="L104" i="12" s="1"/>
  <c r="M104" i="12" s="1"/>
  <c r="H104" i="12"/>
  <c r="H124" i="12"/>
  <c r="G124" i="12"/>
  <c r="L124" i="12" s="1"/>
  <c r="M124" i="12" s="1"/>
  <c r="G43" i="12"/>
  <c r="L43" i="12" s="1"/>
  <c r="M43" i="12" s="1"/>
  <c r="H43" i="12"/>
  <c r="G24" i="12"/>
  <c r="L24" i="12" s="1"/>
  <c r="M24" i="12" s="1"/>
  <c r="H24" i="12"/>
  <c r="F65" i="12"/>
  <c r="E66" i="12"/>
  <c r="E87" i="12"/>
  <c r="F86" i="12"/>
  <c r="J22" i="12"/>
  <c r="E165" i="12"/>
  <c r="F164" i="12"/>
  <c r="E105" i="12"/>
  <c r="F104" i="12"/>
  <c r="E125" i="12"/>
  <c r="F124" i="12"/>
  <c r="E44" i="12"/>
  <c r="F43" i="12"/>
  <c r="E25" i="12"/>
  <c r="F24" i="12"/>
  <c r="K22" i="12"/>
  <c r="G165" i="12" a="1"/>
  <c r="G125" i="12" a="1"/>
  <c r="H125" i="12" a="1"/>
  <c r="H25" i="12" a="1"/>
  <c r="G25" i="12" a="1"/>
  <c r="H44" i="12" a="1"/>
  <c r="G105" i="12" a="1"/>
  <c r="G66" i="12" a="1"/>
  <c r="G44" i="12" a="1"/>
  <c r="H87" i="12" a="1"/>
  <c r="G87" i="12" a="1"/>
  <c r="H105" i="12" a="1"/>
  <c r="H66" i="12" a="1"/>
  <c r="H165" i="12" a="1"/>
  <c r="I16" i="15" l="1"/>
  <c r="J22" i="15" s="1"/>
  <c r="I22" i="15" s="1"/>
  <c r="I17" i="15"/>
  <c r="I24" i="12"/>
  <c r="K24" i="12" s="1"/>
  <c r="K23" i="12"/>
  <c r="H87" i="12"/>
  <c r="G87" i="12"/>
  <c r="L87" i="12" s="1"/>
  <c r="M87" i="12" s="1"/>
  <c r="H66" i="12"/>
  <c r="G66" i="12"/>
  <c r="L66" i="12" s="1"/>
  <c r="M66" i="12" s="1"/>
  <c r="G25" i="12"/>
  <c r="L25" i="12" s="1"/>
  <c r="M25" i="12" s="1"/>
  <c r="H25" i="12"/>
  <c r="H125" i="12"/>
  <c r="G125" i="12"/>
  <c r="L125" i="12" s="1"/>
  <c r="M125" i="12" s="1"/>
  <c r="H44" i="12"/>
  <c r="G44" i="12"/>
  <c r="L44" i="12" s="1"/>
  <c r="M44" i="12" s="1"/>
  <c r="H105" i="12"/>
  <c r="G105" i="12"/>
  <c r="L105" i="12" s="1"/>
  <c r="M105" i="12" s="1"/>
  <c r="G165" i="12"/>
  <c r="L165" i="12" s="1"/>
  <c r="M165" i="12" s="1"/>
  <c r="H165" i="12"/>
  <c r="F87" i="12"/>
  <c r="E88" i="12"/>
  <c r="E67" i="12"/>
  <c r="F66" i="12"/>
  <c r="E26" i="12"/>
  <c r="F25" i="12"/>
  <c r="F125" i="12"/>
  <c r="E126" i="12"/>
  <c r="E45" i="12"/>
  <c r="F44" i="12"/>
  <c r="E106" i="12"/>
  <c r="F105" i="12"/>
  <c r="E166" i="12"/>
  <c r="F165" i="12"/>
  <c r="G45" i="12" a="1"/>
  <c r="G67" i="12" a="1"/>
  <c r="H126" i="12" a="1"/>
  <c r="G106" i="12" a="1"/>
  <c r="G26" i="12" a="1"/>
  <c r="H26" i="12" a="1"/>
  <c r="G88" i="12" a="1"/>
  <c r="H106" i="12" a="1"/>
  <c r="G166" i="12" a="1"/>
  <c r="H166" i="12" a="1"/>
  <c r="H67" i="12" a="1"/>
  <c r="G126" i="12" a="1"/>
  <c r="H88" i="12" a="1"/>
  <c r="H45" i="12" a="1"/>
  <c r="I25" i="12" l="1"/>
  <c r="K25" i="12" s="1"/>
  <c r="J24" i="12"/>
  <c r="G88" i="12"/>
  <c r="L88" i="12" s="1"/>
  <c r="M88" i="12" s="1"/>
  <c r="H88" i="12"/>
  <c r="G166" i="12"/>
  <c r="L166" i="12" s="1"/>
  <c r="M166" i="12" s="1"/>
  <c r="H166" i="12"/>
  <c r="G45" i="12"/>
  <c r="L45" i="12" s="1"/>
  <c r="M45" i="12" s="1"/>
  <c r="H45" i="12"/>
  <c r="H26" i="12"/>
  <c r="G26" i="12"/>
  <c r="L26" i="12" s="1"/>
  <c r="M26" i="12" s="1"/>
  <c r="G126" i="12"/>
  <c r="L126" i="12" s="1"/>
  <c r="M126" i="12" s="1"/>
  <c r="H126" i="12"/>
  <c r="H106" i="12"/>
  <c r="G106" i="12"/>
  <c r="L106" i="12" s="1"/>
  <c r="M106" i="12" s="1"/>
  <c r="H67" i="12"/>
  <c r="G67" i="12"/>
  <c r="L67" i="12" s="1"/>
  <c r="M67" i="12" s="1"/>
  <c r="F88" i="12"/>
  <c r="E89" i="12"/>
  <c r="E167" i="12"/>
  <c r="F166" i="12"/>
  <c r="F45" i="12"/>
  <c r="E46" i="12"/>
  <c r="E27" i="12"/>
  <c r="F26" i="12"/>
  <c r="F126" i="12"/>
  <c r="E127" i="12"/>
  <c r="F106" i="12"/>
  <c r="E107" i="12"/>
  <c r="E68" i="12"/>
  <c r="F67" i="12"/>
  <c r="H127" i="12" a="1"/>
  <c r="H46" i="12" a="1"/>
  <c r="G107" i="12" a="1"/>
  <c r="H68" i="12" a="1"/>
  <c r="G27" i="12" a="1"/>
  <c r="H167" i="12" a="1"/>
  <c r="G127" i="12" a="1"/>
  <c r="H27" i="12" a="1"/>
  <c r="H89" i="12" a="1"/>
  <c r="G89" i="12" a="1"/>
  <c r="H107" i="12" a="1"/>
  <c r="G167" i="12" a="1"/>
  <c r="G68" i="12" a="1"/>
  <c r="G46" i="12" a="1"/>
  <c r="I26" i="12" l="1"/>
  <c r="K26" i="12" s="1"/>
  <c r="J25" i="12"/>
  <c r="G127" i="12"/>
  <c r="L127" i="12" s="1"/>
  <c r="M127" i="12" s="1"/>
  <c r="H127" i="12"/>
  <c r="G46" i="12"/>
  <c r="L46" i="12" s="1"/>
  <c r="M46" i="12" s="1"/>
  <c r="H46" i="12"/>
  <c r="G89" i="12"/>
  <c r="L89" i="12" s="1"/>
  <c r="M89" i="12" s="1"/>
  <c r="H89" i="12"/>
  <c r="H68" i="12"/>
  <c r="G68" i="12"/>
  <c r="L68" i="12" s="1"/>
  <c r="M68" i="12" s="1"/>
  <c r="G107" i="12"/>
  <c r="L107" i="12" s="1"/>
  <c r="M107" i="12" s="1"/>
  <c r="H107" i="12"/>
  <c r="H27" i="12"/>
  <c r="G27" i="12"/>
  <c r="L27" i="12" s="1"/>
  <c r="M27" i="12" s="1"/>
  <c r="H167" i="12"/>
  <c r="G167" i="12"/>
  <c r="L167" i="12" s="1"/>
  <c r="M167" i="12" s="1"/>
  <c r="E128" i="12"/>
  <c r="F127" i="12"/>
  <c r="F46" i="12"/>
  <c r="E47" i="12"/>
  <c r="E90" i="12"/>
  <c r="F89" i="12"/>
  <c r="F68" i="12"/>
  <c r="E69" i="12"/>
  <c r="F107" i="12"/>
  <c r="E108" i="12"/>
  <c r="F27" i="12"/>
  <c r="E28" i="12"/>
  <c r="E168" i="12"/>
  <c r="F167" i="12"/>
  <c r="H108" i="12" a="1"/>
  <c r="G168" i="12" a="1"/>
  <c r="G90" i="12" a="1"/>
  <c r="G47" i="12" a="1"/>
  <c r="H128" i="12" a="1"/>
  <c r="H28" i="12" a="1"/>
  <c r="H69" i="12" a="1"/>
  <c r="G108" i="12" a="1"/>
  <c r="G69" i="12" a="1"/>
  <c r="G28" i="12" a="1"/>
  <c r="H47" i="12" a="1"/>
  <c r="H90" i="12" a="1"/>
  <c r="G128" i="12" a="1"/>
  <c r="H168" i="12" a="1"/>
  <c r="I27" i="12" l="1"/>
  <c r="K27" i="12" s="1"/>
  <c r="J26" i="12"/>
  <c r="H168" i="12"/>
  <c r="G168" i="12"/>
  <c r="L168" i="12" s="1"/>
  <c r="M168" i="12" s="1"/>
  <c r="G108" i="12"/>
  <c r="L108" i="12" s="1"/>
  <c r="M108" i="12" s="1"/>
  <c r="H108" i="12"/>
  <c r="H90" i="12"/>
  <c r="G90" i="12"/>
  <c r="L90" i="12" s="1"/>
  <c r="M90" i="12" s="1"/>
  <c r="H128" i="12"/>
  <c r="G128" i="12"/>
  <c r="L128" i="12" s="1"/>
  <c r="M128" i="12" s="1"/>
  <c r="H69" i="12"/>
  <c r="G69" i="12"/>
  <c r="L69" i="12" s="1"/>
  <c r="M69" i="12" s="1"/>
  <c r="G47" i="12"/>
  <c r="L47" i="12" s="1"/>
  <c r="M47" i="12" s="1"/>
  <c r="H47" i="12"/>
  <c r="G28" i="12"/>
  <c r="L28" i="12" s="1"/>
  <c r="M28" i="12" s="1"/>
  <c r="H28" i="12"/>
  <c r="F168" i="12"/>
  <c r="E169" i="12"/>
  <c r="E109" i="12"/>
  <c r="F108" i="12"/>
  <c r="E91" i="12"/>
  <c r="F90" i="12"/>
  <c r="E129" i="12"/>
  <c r="F128" i="12"/>
  <c r="E70" i="12"/>
  <c r="F69" i="12"/>
  <c r="E48" i="12"/>
  <c r="F47" i="12"/>
  <c r="F28" i="12"/>
  <c r="E29" i="12"/>
  <c r="G109" i="12" a="1"/>
  <c r="H129" i="12" a="1"/>
  <c r="G129" i="12" a="1"/>
  <c r="G169" i="12" a="1"/>
  <c r="H91" i="12" a="1"/>
  <c r="H48" i="12" a="1"/>
  <c r="H29" i="12" a="1"/>
  <c r="H70" i="12" a="1"/>
  <c r="G29" i="12" a="1"/>
  <c r="G48" i="12" a="1"/>
  <c r="H109" i="12" a="1"/>
  <c r="G91" i="12" a="1"/>
  <c r="H169" i="12" a="1"/>
  <c r="G70" i="12" a="1"/>
  <c r="J27" i="12" l="1"/>
  <c r="I28" i="12"/>
  <c r="K28" i="12" s="1"/>
  <c r="G169" i="12"/>
  <c r="L169" i="12" s="1"/>
  <c r="M169" i="12" s="1"/>
  <c r="H169" i="12"/>
  <c r="H48" i="12"/>
  <c r="G48" i="12"/>
  <c r="L48" i="12" s="1"/>
  <c r="M48" i="12" s="1"/>
  <c r="H129" i="12"/>
  <c r="G129" i="12"/>
  <c r="L129" i="12" s="1"/>
  <c r="M129" i="12" s="1"/>
  <c r="H109" i="12"/>
  <c r="G109" i="12"/>
  <c r="L109" i="12" s="1"/>
  <c r="M109" i="12" s="1"/>
  <c r="G29" i="12"/>
  <c r="L29" i="12" s="1"/>
  <c r="M29" i="12" s="1"/>
  <c r="H29" i="12"/>
  <c r="H70" i="12"/>
  <c r="G70" i="12"/>
  <c r="L70" i="12" s="1"/>
  <c r="M70" i="12" s="1"/>
  <c r="H91" i="12"/>
  <c r="G91" i="12"/>
  <c r="L91" i="12" s="1"/>
  <c r="M91" i="12" s="1"/>
  <c r="F169" i="12"/>
  <c r="E170" i="12"/>
  <c r="E49" i="12"/>
  <c r="F48" i="12"/>
  <c r="F129" i="12"/>
  <c r="E130" i="12"/>
  <c r="E110" i="12"/>
  <c r="F109" i="12"/>
  <c r="E30" i="12"/>
  <c r="F29" i="12"/>
  <c r="F70" i="12"/>
  <c r="E71" i="12"/>
  <c r="F91" i="12"/>
  <c r="E92" i="12"/>
  <c r="G130" i="12" a="1"/>
  <c r="H71" i="12" a="1"/>
  <c r="G170" i="12" a="1"/>
  <c r="H30" i="12" a="1"/>
  <c r="H130" i="12" a="1"/>
  <c r="G71" i="12" a="1"/>
  <c r="G92" i="12" a="1"/>
  <c r="G30" i="12" a="1"/>
  <c r="G110" i="12" a="1"/>
  <c r="H170" i="12" a="1"/>
  <c r="H110" i="12" a="1"/>
  <c r="H92" i="12" a="1"/>
  <c r="G49" i="12" a="1"/>
  <c r="H49" i="12" a="1"/>
  <c r="I29" i="12" l="1"/>
  <c r="K29" i="12" s="1"/>
  <c r="J28" i="12"/>
  <c r="H30" i="12"/>
  <c r="G30" i="12"/>
  <c r="L30" i="12" s="1"/>
  <c r="M30" i="12" s="1"/>
  <c r="G92" i="12"/>
  <c r="L92" i="12" s="1"/>
  <c r="M92" i="12" s="1"/>
  <c r="H92" i="12"/>
  <c r="H110" i="12"/>
  <c r="G110" i="12"/>
  <c r="L110" i="12" s="1"/>
  <c r="M110" i="12" s="1"/>
  <c r="H49" i="12"/>
  <c r="G49" i="12"/>
  <c r="L49" i="12" s="1"/>
  <c r="M49" i="12" s="1"/>
  <c r="G71" i="12"/>
  <c r="L71" i="12" s="1"/>
  <c r="M71" i="12" s="1"/>
  <c r="H71" i="12"/>
  <c r="G130" i="12"/>
  <c r="L130" i="12" s="1"/>
  <c r="M130" i="12" s="1"/>
  <c r="H130" i="12"/>
  <c r="G170" i="12"/>
  <c r="L170" i="12" s="1"/>
  <c r="M170" i="12" s="1"/>
  <c r="H170" i="12"/>
  <c r="E31" i="12"/>
  <c r="F30" i="12"/>
  <c r="F92" i="12"/>
  <c r="E93" i="12"/>
  <c r="F110" i="12"/>
  <c r="E111" i="12"/>
  <c r="F49" i="12"/>
  <c r="E50" i="12"/>
  <c r="F71" i="12"/>
  <c r="E72" i="12"/>
  <c r="F130" i="12"/>
  <c r="E131" i="12"/>
  <c r="E171" i="12"/>
  <c r="F170" i="12"/>
  <c r="G31" i="12" a="1"/>
  <c r="H131" i="12" a="1"/>
  <c r="H72" i="12" a="1"/>
  <c r="G50" i="12" a="1"/>
  <c r="G131" i="12" a="1"/>
  <c r="G171" i="12" a="1"/>
  <c r="H93" i="12" a="1"/>
  <c r="H171" i="12" a="1"/>
  <c r="G93" i="12" a="1"/>
  <c r="H111" i="12" a="1"/>
  <c r="H31" i="12" a="1"/>
  <c r="G111" i="12" a="1"/>
  <c r="G72" i="12" a="1"/>
  <c r="H50" i="12" a="1"/>
  <c r="J29" i="12" l="1"/>
  <c r="I30" i="12"/>
  <c r="J30" i="12" s="1"/>
  <c r="G50" i="12"/>
  <c r="L50" i="12" s="1"/>
  <c r="M50" i="12" s="1"/>
  <c r="H50" i="12"/>
  <c r="G93" i="12"/>
  <c r="L93" i="12" s="1"/>
  <c r="M93" i="12" s="1"/>
  <c r="H93" i="12"/>
  <c r="G31" i="12"/>
  <c r="L31" i="12" s="1"/>
  <c r="M31" i="12" s="1"/>
  <c r="H31" i="12"/>
  <c r="H171" i="12"/>
  <c r="G171" i="12"/>
  <c r="L171" i="12" s="1"/>
  <c r="M171" i="12" s="1"/>
  <c r="G111" i="12"/>
  <c r="L111" i="12" s="1"/>
  <c r="M111" i="12" s="1"/>
  <c r="H111" i="12"/>
  <c r="G131" i="12"/>
  <c r="L131" i="12" s="1"/>
  <c r="M131" i="12" s="1"/>
  <c r="H131" i="12"/>
  <c r="G72" i="12"/>
  <c r="L72" i="12" s="1"/>
  <c r="M72" i="12" s="1"/>
  <c r="H72" i="12"/>
  <c r="E51" i="12"/>
  <c r="F50" i="12"/>
  <c r="E94" i="12"/>
  <c r="F93" i="12"/>
  <c r="F31" i="12"/>
  <c r="E32" i="12"/>
  <c r="E172" i="12"/>
  <c r="F171" i="12"/>
  <c r="F111" i="12"/>
  <c r="E112" i="12"/>
  <c r="E132" i="12"/>
  <c r="F131" i="12"/>
  <c r="E73" i="12"/>
  <c r="F72" i="12"/>
  <c r="G32" i="12" a="1"/>
  <c r="G51" i="12" a="1"/>
  <c r="G73" i="12" a="1"/>
  <c r="G172" i="12" a="1"/>
  <c r="H172" i="12" a="1"/>
  <c r="H51" i="12" a="1"/>
  <c r="G132" i="12" a="1"/>
  <c r="H94" i="12" a="1"/>
  <c r="H73" i="12" a="1"/>
  <c r="H132" i="12" a="1"/>
  <c r="H112" i="12" a="1"/>
  <c r="G112" i="12" a="1"/>
  <c r="H32" i="12" a="1"/>
  <c r="G94" i="12" a="1"/>
  <c r="K30" i="12" l="1"/>
  <c r="I31" i="12"/>
  <c r="K31" i="12" s="1"/>
  <c r="H51" i="12"/>
  <c r="G51" i="12"/>
  <c r="L51" i="12" s="1"/>
  <c r="M51" i="12" s="1"/>
  <c r="G112" i="12"/>
  <c r="L112" i="12" s="1"/>
  <c r="M112" i="12" s="1"/>
  <c r="H112" i="12"/>
  <c r="H73" i="12"/>
  <c r="G73" i="12"/>
  <c r="L73" i="12" s="1"/>
  <c r="M73" i="12" s="1"/>
  <c r="H172" i="12"/>
  <c r="G172" i="12"/>
  <c r="L172" i="12" s="1"/>
  <c r="M172" i="12" s="1"/>
  <c r="H94" i="12"/>
  <c r="G94" i="12"/>
  <c r="L94" i="12" s="1"/>
  <c r="M94" i="12" s="1"/>
  <c r="H132" i="12"/>
  <c r="G132" i="12"/>
  <c r="L132" i="12" s="1"/>
  <c r="M132" i="12" s="1"/>
  <c r="G32" i="12"/>
  <c r="L32" i="12" s="1"/>
  <c r="M32" i="12" s="1"/>
  <c r="H32" i="12"/>
  <c r="E52" i="12"/>
  <c r="F51" i="12"/>
  <c r="E113" i="12"/>
  <c r="F112" i="12"/>
  <c r="E74" i="12"/>
  <c r="F73" i="12"/>
  <c r="F172" i="12"/>
  <c r="E173" i="12"/>
  <c r="E95" i="12"/>
  <c r="F94" i="12"/>
  <c r="E133" i="12"/>
  <c r="F132" i="12"/>
  <c r="E33" i="12"/>
  <c r="F32" i="12"/>
  <c r="H173" i="12" a="1"/>
  <c r="H95" i="12" a="1"/>
  <c r="H33" i="12" a="1"/>
  <c r="G133" i="12" a="1"/>
  <c r="H74" i="12" a="1"/>
  <c r="G95" i="12" a="1"/>
  <c r="G52" i="12" a="1"/>
  <c r="G173" i="12" a="1"/>
  <c r="H52" i="12" a="1"/>
  <c r="G74" i="12" a="1"/>
  <c r="H133" i="12" a="1"/>
  <c r="H113" i="12" a="1"/>
  <c r="G33" i="12" a="1"/>
  <c r="G113" i="12" a="1"/>
  <c r="J31" i="12" l="1"/>
  <c r="I32" i="12"/>
  <c r="K32" i="12" s="1"/>
  <c r="H113" i="12"/>
  <c r="G113" i="12"/>
  <c r="L113" i="12" s="1"/>
  <c r="M113" i="12" s="1"/>
  <c r="H52" i="12"/>
  <c r="G52" i="12"/>
  <c r="L52" i="12" s="1"/>
  <c r="M52" i="12" s="1"/>
  <c r="H133" i="12"/>
  <c r="G133" i="12"/>
  <c r="L133" i="12" s="1"/>
  <c r="M133" i="12" s="1"/>
  <c r="G173" i="12"/>
  <c r="L173" i="12" s="1"/>
  <c r="M173" i="12" s="1"/>
  <c r="H173" i="12"/>
  <c r="H33" i="12"/>
  <c r="G33" i="12"/>
  <c r="L33" i="12" s="1"/>
  <c r="M33" i="12" s="1"/>
  <c r="H95" i="12"/>
  <c r="G95" i="12"/>
  <c r="L95" i="12" s="1"/>
  <c r="M95" i="12" s="1"/>
  <c r="H74" i="12"/>
  <c r="G74" i="12"/>
  <c r="L74" i="12" s="1"/>
  <c r="M74" i="12" s="1"/>
  <c r="E114" i="12"/>
  <c r="F113" i="12"/>
  <c r="E53" i="12"/>
  <c r="F52" i="12"/>
  <c r="F133" i="12"/>
  <c r="E134" i="12"/>
  <c r="F173" i="12"/>
  <c r="E174" i="12"/>
  <c r="E34" i="12"/>
  <c r="F33" i="12"/>
  <c r="F95" i="12"/>
  <c r="E96" i="12"/>
  <c r="F74" i="12"/>
  <c r="E75" i="12"/>
  <c r="H53" i="12" a="1"/>
  <c r="H96" i="12" a="1"/>
  <c r="G75" i="12" a="1"/>
  <c r="G53" i="12" a="1"/>
  <c r="H134" i="12" a="1"/>
  <c r="H34" i="12" a="1"/>
  <c r="G134" i="12" a="1"/>
  <c r="G96" i="12" a="1"/>
  <c r="H174" i="12" a="1"/>
  <c r="H75" i="12" a="1"/>
  <c r="G114" i="12" a="1"/>
  <c r="G174" i="12" a="1"/>
  <c r="G34" i="12" a="1"/>
  <c r="H114" i="12" a="1"/>
  <c r="J32" i="12" l="1"/>
  <c r="I33" i="12"/>
  <c r="K33" i="12" s="1"/>
  <c r="H114" i="12"/>
  <c r="G114" i="12"/>
  <c r="L114" i="12" s="1"/>
  <c r="M114" i="12" s="1"/>
  <c r="G75" i="12"/>
  <c r="L75" i="12" s="1"/>
  <c r="M75" i="12" s="1"/>
  <c r="H75" i="12"/>
  <c r="G174" i="12"/>
  <c r="L174" i="12" s="1"/>
  <c r="M174" i="12" s="1"/>
  <c r="H174" i="12"/>
  <c r="G96" i="12"/>
  <c r="L96" i="12" s="1"/>
  <c r="M96" i="12" s="1"/>
  <c r="H96" i="12"/>
  <c r="H34" i="12"/>
  <c r="G34" i="12"/>
  <c r="L34" i="12" s="1"/>
  <c r="M34" i="12" s="1"/>
  <c r="G134" i="12"/>
  <c r="L134" i="12" s="1"/>
  <c r="M134" i="12" s="1"/>
  <c r="H134" i="12"/>
  <c r="H53" i="12"/>
  <c r="G53" i="12"/>
  <c r="L53" i="12" s="1"/>
  <c r="M53" i="12" s="1"/>
  <c r="F114" i="12"/>
  <c r="E115" i="12"/>
  <c r="F75" i="12"/>
  <c r="E76" i="12"/>
  <c r="E175" i="12"/>
  <c r="F174" i="12"/>
  <c r="F96" i="12"/>
  <c r="E97" i="12"/>
  <c r="F34" i="12"/>
  <c r="E35" i="12"/>
  <c r="F134" i="12"/>
  <c r="E135" i="12"/>
  <c r="F53" i="12"/>
  <c r="E54" i="12"/>
  <c r="H97" i="12" a="1"/>
  <c r="H135" i="12" a="1"/>
  <c r="G115" i="12" a="1"/>
  <c r="H54" i="12" a="1"/>
  <c r="H175" i="12" a="1"/>
  <c r="H115" i="12" a="1"/>
  <c r="G135" i="12" a="1"/>
  <c r="G97" i="12" a="1"/>
  <c r="G76" i="12" a="1"/>
  <c r="H35" i="12" a="1"/>
  <c r="H76" i="12" a="1"/>
  <c r="G54" i="12" a="1"/>
  <c r="G175" i="12" a="1"/>
  <c r="G35" i="12" a="1"/>
  <c r="J33" i="12" l="1"/>
  <c r="I34" i="12"/>
  <c r="K34" i="12" s="1"/>
  <c r="G76" i="12"/>
  <c r="L76" i="12" s="1"/>
  <c r="M76" i="12" s="1"/>
  <c r="H76" i="12"/>
  <c r="G115" i="12"/>
  <c r="L115" i="12" s="1"/>
  <c r="M115" i="12" s="1"/>
  <c r="H115" i="12"/>
  <c r="G54" i="12"/>
  <c r="L54" i="12" s="1"/>
  <c r="M54" i="12" s="1"/>
  <c r="H54" i="12"/>
  <c r="G35" i="12"/>
  <c r="L35" i="12" s="1"/>
  <c r="M35" i="12" s="1"/>
  <c r="H35" i="12"/>
  <c r="G135" i="12"/>
  <c r="L135" i="12" s="1"/>
  <c r="M135" i="12" s="1"/>
  <c r="H135" i="12"/>
  <c r="G97" i="12"/>
  <c r="L97" i="12" s="1"/>
  <c r="M97" i="12" s="1"/>
  <c r="H97" i="12"/>
  <c r="H175" i="12"/>
  <c r="G175" i="12"/>
  <c r="L175" i="12" s="1"/>
  <c r="M175" i="12" s="1"/>
  <c r="E77" i="12"/>
  <c r="F76" i="12"/>
  <c r="F115" i="12"/>
  <c r="E116" i="12"/>
  <c r="E55" i="12"/>
  <c r="F54" i="12"/>
  <c r="E36" i="12"/>
  <c r="F35" i="12"/>
  <c r="E136" i="12"/>
  <c r="F135" i="12"/>
  <c r="E98" i="12"/>
  <c r="F97" i="12"/>
  <c r="E176" i="12"/>
  <c r="F175" i="12"/>
  <c r="H176" i="12" a="1"/>
  <c r="H116" i="12" a="1"/>
  <c r="H98" i="12" a="1"/>
  <c r="H55" i="12" a="1"/>
  <c r="G136" i="12" a="1"/>
  <c r="G36" i="12" a="1"/>
  <c r="G176" i="12" a="1"/>
  <c r="H136" i="12" a="1"/>
  <c r="G55" i="12" a="1"/>
  <c r="H77" i="12" a="1"/>
  <c r="G77" i="12" a="1"/>
  <c r="G116" i="12" a="1"/>
  <c r="G98" i="12" a="1"/>
  <c r="H36" i="12" a="1"/>
  <c r="I35" i="12" l="1"/>
  <c r="K35" i="12" s="1"/>
  <c r="J34" i="12"/>
  <c r="H36" i="12"/>
  <c r="G36" i="12"/>
  <c r="L36" i="12" s="1"/>
  <c r="M36" i="12" s="1"/>
  <c r="H55" i="12"/>
  <c r="G55" i="12"/>
  <c r="L55" i="12" s="1"/>
  <c r="M55" i="12" s="1"/>
  <c r="G116" i="12"/>
  <c r="L116" i="12" s="1"/>
  <c r="M116" i="12" s="1"/>
  <c r="H116" i="12"/>
  <c r="H98" i="12"/>
  <c r="G98" i="12"/>
  <c r="L98" i="12" s="1"/>
  <c r="M98" i="12" s="1"/>
  <c r="G176" i="12"/>
  <c r="L176" i="12" s="1"/>
  <c r="M176" i="12" s="1"/>
  <c r="H176" i="12"/>
  <c r="H136" i="12"/>
  <c r="G136" i="12"/>
  <c r="L136" i="12" s="1"/>
  <c r="M136" i="12" s="1"/>
  <c r="H77" i="12"/>
  <c r="G77" i="12"/>
  <c r="L77" i="12" s="1"/>
  <c r="M77" i="12" s="1"/>
  <c r="E37" i="12"/>
  <c r="F36" i="12"/>
  <c r="E56" i="12"/>
  <c r="F55" i="12"/>
  <c r="E117" i="12"/>
  <c r="F116" i="12"/>
  <c r="E99" i="12"/>
  <c r="F98" i="12"/>
  <c r="F176" i="12"/>
  <c r="E177" i="12"/>
  <c r="E137" i="12"/>
  <c r="F136" i="12"/>
  <c r="E78" i="12"/>
  <c r="F77" i="12"/>
  <c r="H177" i="12" a="1"/>
  <c r="G37" i="12" a="1"/>
  <c r="G99" i="12" a="1"/>
  <c r="H117" i="12" a="1"/>
  <c r="H99" i="12" a="1"/>
  <c r="G137" i="12" a="1"/>
  <c r="G56" i="12" a="1"/>
  <c r="G78" i="12" a="1"/>
  <c r="H37" i="12" a="1"/>
  <c r="H137" i="12" a="1"/>
  <c r="H56" i="12" a="1"/>
  <c r="G177" i="12" a="1"/>
  <c r="G117" i="12" a="1"/>
  <c r="H78" i="12" a="1"/>
  <c r="J35" i="12" l="1"/>
  <c r="I36" i="12"/>
  <c r="K36" i="12" s="1"/>
  <c r="H56" i="12"/>
  <c r="G56" i="12"/>
  <c r="L56" i="12" s="1"/>
  <c r="M56" i="12" s="1"/>
  <c r="G177" i="12"/>
  <c r="L177" i="12" s="1"/>
  <c r="M177" i="12" s="1"/>
  <c r="H177" i="12"/>
  <c r="H99" i="12"/>
  <c r="G99" i="12"/>
  <c r="L99" i="12" s="1"/>
  <c r="M99" i="12" s="1"/>
  <c r="H117" i="12"/>
  <c r="G117" i="12"/>
  <c r="L117" i="12" s="1"/>
  <c r="M117" i="12" s="1"/>
  <c r="H37" i="12"/>
  <c r="G37" i="12"/>
  <c r="L37" i="12" s="1"/>
  <c r="M37" i="12" s="1"/>
  <c r="H137" i="12"/>
  <c r="G137" i="12"/>
  <c r="L137" i="12" s="1"/>
  <c r="M137" i="12" s="1"/>
  <c r="H78" i="12"/>
  <c r="G78" i="12"/>
  <c r="L78" i="12" s="1"/>
  <c r="M78" i="12" s="1"/>
  <c r="E57" i="12"/>
  <c r="F56" i="12"/>
  <c r="E178" i="12"/>
  <c r="F177" i="12"/>
  <c r="F99" i="12"/>
  <c r="E100" i="12"/>
  <c r="E118" i="12"/>
  <c r="F117" i="12"/>
  <c r="E38" i="12"/>
  <c r="F37" i="12"/>
  <c r="F137" i="12"/>
  <c r="E138" i="12"/>
  <c r="F78" i="12"/>
  <c r="E79" i="12"/>
  <c r="G178" i="12" a="1"/>
  <c r="G118" i="12" a="1"/>
  <c r="G100" i="12" a="1"/>
  <c r="G38" i="12" a="1"/>
  <c r="H138" i="12" a="1"/>
  <c r="H178" i="12" a="1"/>
  <c r="G79" i="12" a="1"/>
  <c r="H79" i="12" a="1"/>
  <c r="G138" i="12" a="1"/>
  <c r="H100" i="12" a="1"/>
  <c r="H38" i="12" a="1"/>
  <c r="H118" i="12" a="1"/>
  <c r="G57" i="12" a="1"/>
  <c r="H57" i="12" a="1"/>
  <c r="J36" i="12" l="1"/>
  <c r="I37" i="12"/>
  <c r="K37" i="12" s="1"/>
  <c r="H178" i="12"/>
  <c r="G178" i="12"/>
  <c r="L178" i="12" s="1"/>
  <c r="M178" i="12" s="1"/>
  <c r="G79" i="12"/>
  <c r="L79" i="12" s="1"/>
  <c r="M79" i="12" s="1"/>
  <c r="H79" i="12"/>
  <c r="G138" i="12"/>
  <c r="L138" i="12" s="1"/>
  <c r="M138" i="12" s="1"/>
  <c r="H138" i="12"/>
  <c r="G100" i="12"/>
  <c r="L100" i="12" s="1"/>
  <c r="M100" i="12" s="1"/>
  <c r="H100" i="12"/>
  <c r="H38" i="12"/>
  <c r="G38" i="12"/>
  <c r="L38" i="12" s="1"/>
  <c r="M38" i="12" s="1"/>
  <c r="H118" i="12"/>
  <c r="G118" i="12"/>
  <c r="L118" i="12" s="1"/>
  <c r="M118" i="12" s="1"/>
  <c r="G57" i="12"/>
  <c r="L57" i="12" s="1"/>
  <c r="M57" i="12" s="1"/>
  <c r="H57" i="12"/>
  <c r="E179" i="12"/>
  <c r="F178" i="12"/>
  <c r="F79" i="12"/>
  <c r="E80" i="12"/>
  <c r="E139" i="12"/>
  <c r="F138" i="12"/>
  <c r="F100" i="12"/>
  <c r="F38" i="12"/>
  <c r="E39" i="12"/>
  <c r="F118" i="12"/>
  <c r="E119" i="12"/>
  <c r="F57" i="12"/>
  <c r="E58" i="12"/>
  <c r="G139" i="12" a="1"/>
  <c r="H139" i="12" a="1"/>
  <c r="H179" i="12" a="1"/>
  <c r="G80" i="12" a="1"/>
  <c r="G39" i="12" a="1"/>
  <c r="G58" i="12" a="1"/>
  <c r="H58" i="12" a="1"/>
  <c r="G179" i="12" a="1"/>
  <c r="H119" i="12" a="1"/>
  <c r="H39" i="12" a="1"/>
  <c r="H80" i="12" a="1"/>
  <c r="G119" i="12" a="1"/>
  <c r="J37" i="12" l="1"/>
  <c r="I38" i="12"/>
  <c r="K38" i="12" s="1"/>
  <c r="G58" i="12"/>
  <c r="L58" i="12" s="1"/>
  <c r="M58" i="12" s="1"/>
  <c r="H58" i="12"/>
  <c r="G39" i="12"/>
  <c r="L39" i="12" s="1"/>
  <c r="M39" i="12" s="1"/>
  <c r="H39" i="12"/>
  <c r="G80" i="12"/>
  <c r="L80" i="12" s="1"/>
  <c r="M80" i="12" s="1"/>
  <c r="H80" i="12"/>
  <c r="G119" i="12"/>
  <c r="L119" i="12" s="1"/>
  <c r="M119" i="12" s="1"/>
  <c r="H119" i="12"/>
  <c r="H139" i="12"/>
  <c r="G139" i="12"/>
  <c r="L139" i="12" s="1"/>
  <c r="M139" i="12" s="1"/>
  <c r="H179" i="12"/>
  <c r="G179" i="12"/>
  <c r="L179" i="12" s="1"/>
  <c r="M179" i="12" s="1"/>
  <c r="F58" i="12"/>
  <c r="E59" i="12"/>
  <c r="E40" i="12"/>
  <c r="F39" i="12"/>
  <c r="F80" i="12"/>
  <c r="F119" i="12"/>
  <c r="E120" i="12"/>
  <c r="E140" i="12"/>
  <c r="F139" i="12"/>
  <c r="F179" i="12"/>
  <c r="E180" i="12"/>
  <c r="G180" i="12" a="1"/>
  <c r="G140" i="12" a="1"/>
  <c r="H59" i="12" a="1"/>
  <c r="G120" i="12" a="1"/>
  <c r="H120" i="12" a="1"/>
  <c r="H180" i="12" a="1"/>
  <c r="H40" i="12" a="1"/>
  <c r="G59" i="12" a="1"/>
  <c r="H140" i="12" a="1"/>
  <c r="G40" i="12" a="1"/>
  <c r="I39" i="12" l="1"/>
  <c r="K39" i="12" s="1"/>
  <c r="J38" i="12"/>
  <c r="H140" i="12"/>
  <c r="G140" i="12"/>
  <c r="L140" i="12" s="1"/>
  <c r="M140" i="12" s="1"/>
  <c r="G59" i="12"/>
  <c r="L59" i="12" s="1"/>
  <c r="M59" i="12" s="1"/>
  <c r="H59" i="12"/>
  <c r="G180" i="12"/>
  <c r="L180" i="12" s="1"/>
  <c r="M180" i="12" s="1"/>
  <c r="H180" i="12"/>
  <c r="G120" i="12"/>
  <c r="L120" i="12" s="1"/>
  <c r="M120" i="12" s="1"/>
  <c r="H120" i="12"/>
  <c r="H40" i="12"/>
  <c r="G40" i="12"/>
  <c r="L40" i="12" s="1"/>
  <c r="M40" i="12" s="1"/>
  <c r="F140" i="12"/>
  <c r="E141" i="12"/>
  <c r="E60" i="12"/>
  <c r="F59" i="12"/>
  <c r="F180" i="12"/>
  <c r="E181" i="12"/>
  <c r="F120" i="12"/>
  <c r="F40" i="12"/>
  <c r="G141" i="12" a="1"/>
  <c r="G60" i="12" a="1"/>
  <c r="H60" i="12" a="1"/>
  <c r="G181" i="12" a="1"/>
  <c r="H181" i="12" a="1"/>
  <c r="H141" i="12" a="1"/>
  <c r="J39" i="12" l="1"/>
  <c r="I40" i="12"/>
  <c r="I41" i="12" s="1"/>
  <c r="I42" i="12" s="1"/>
  <c r="K42" i="12" s="1"/>
  <c r="G181" i="12"/>
  <c r="L181" i="12" s="1"/>
  <c r="M181" i="12" s="1"/>
  <c r="H181" i="12"/>
  <c r="G141" i="12"/>
  <c r="L141" i="12" s="1"/>
  <c r="M141" i="12" s="1"/>
  <c r="H141" i="12"/>
  <c r="H60" i="12"/>
  <c r="G60" i="12"/>
  <c r="L60" i="12" s="1"/>
  <c r="M60" i="12" s="1"/>
  <c r="E182" i="12"/>
  <c r="F181" i="12"/>
  <c r="F141" i="12"/>
  <c r="E142" i="12"/>
  <c r="F60" i="12"/>
  <c r="H182" i="12" a="1"/>
  <c r="G142" i="12" a="1"/>
  <c r="G182" i="12" a="1"/>
  <c r="H142" i="12" a="1"/>
  <c r="J41" i="12" l="1"/>
  <c r="K41" i="12"/>
  <c r="J40" i="12"/>
  <c r="K40" i="12"/>
  <c r="G142" i="12"/>
  <c r="L142" i="12" s="1"/>
  <c r="M142" i="12" s="1"/>
  <c r="H142" i="12"/>
  <c r="H182" i="12"/>
  <c r="G182" i="12"/>
  <c r="L182" i="12" s="1"/>
  <c r="M182" i="12" s="1"/>
  <c r="E143" i="12"/>
  <c r="F142" i="12"/>
  <c r="J42" i="12"/>
  <c r="I43" i="12"/>
  <c r="K43" i="12" s="1"/>
  <c r="E183" i="12"/>
  <c r="F182" i="12"/>
  <c r="H143" i="12" a="1"/>
  <c r="G143" i="12" a="1"/>
  <c r="G183" i="12" a="1"/>
  <c r="H183" i="12" a="1"/>
  <c r="H183" i="12" l="1"/>
  <c r="G183" i="12"/>
  <c r="L183" i="12" s="1"/>
  <c r="M183" i="12" s="1"/>
  <c r="H143" i="12"/>
  <c r="G143" i="12"/>
  <c r="L143" i="12" s="1"/>
  <c r="M143" i="12" s="1"/>
  <c r="J43" i="12"/>
  <c r="I44" i="12"/>
  <c r="K44" i="12" s="1"/>
  <c r="F183" i="12"/>
  <c r="E184" i="12"/>
  <c r="F143" i="12"/>
  <c r="E144" i="12"/>
  <c r="G184" i="12" a="1"/>
  <c r="G144" i="12" a="1"/>
  <c r="H184" i="12" a="1"/>
  <c r="H144" i="12" a="1"/>
  <c r="G184" i="12" l="1"/>
  <c r="L184" i="12" s="1"/>
  <c r="M184" i="12" s="1"/>
  <c r="H184" i="12"/>
  <c r="G144" i="12"/>
  <c r="L144" i="12" s="1"/>
  <c r="M144" i="12" s="1"/>
  <c r="H144" i="12"/>
  <c r="F184" i="12"/>
  <c r="E185" i="12"/>
  <c r="F144" i="12"/>
  <c r="E145" i="12"/>
  <c r="J44" i="12"/>
  <c r="I45" i="12"/>
  <c r="K45" i="12" s="1"/>
  <c r="G185" i="12" a="1"/>
  <c r="H145" i="12" a="1"/>
  <c r="G145" i="12" a="1"/>
  <c r="H185" i="12" a="1"/>
  <c r="G185" i="12" l="1"/>
  <c r="L185" i="12" s="1"/>
  <c r="M185" i="12" s="1"/>
  <c r="H185" i="12"/>
  <c r="G145" i="12"/>
  <c r="L145" i="12" s="1"/>
  <c r="M145" i="12" s="1"/>
  <c r="H145" i="12"/>
  <c r="J45" i="12"/>
  <c r="I46" i="12"/>
  <c r="K46" i="12" s="1"/>
  <c r="E186" i="12"/>
  <c r="F185" i="12"/>
  <c r="E146" i="12"/>
  <c r="F145" i="12"/>
  <c r="G186" i="12" a="1"/>
  <c r="H146" i="12" a="1"/>
  <c r="G146" i="12" a="1"/>
  <c r="H186" i="12" a="1"/>
  <c r="H146" i="12" l="1"/>
  <c r="G146" i="12"/>
  <c r="L146" i="12" s="1"/>
  <c r="M146" i="12" s="1"/>
  <c r="H186" i="12"/>
  <c r="G186" i="12"/>
  <c r="L186" i="12" s="1"/>
  <c r="M186" i="12" s="1"/>
  <c r="E147" i="12"/>
  <c r="F146" i="12"/>
  <c r="J46" i="12"/>
  <c r="I47" i="12"/>
  <c r="K47" i="12" s="1"/>
  <c r="E187" i="12"/>
  <c r="F186" i="12"/>
  <c r="H147" i="12" a="1"/>
  <c r="G187" i="12" a="1"/>
  <c r="G147" i="12" a="1"/>
  <c r="H187" i="12" a="1"/>
  <c r="H147" i="12" l="1"/>
  <c r="G147" i="12"/>
  <c r="L147" i="12" s="1"/>
  <c r="M147" i="12" s="1"/>
  <c r="H187" i="12"/>
  <c r="G187" i="12"/>
  <c r="L187" i="12" s="1"/>
  <c r="M187" i="12" s="1"/>
  <c r="J47" i="12"/>
  <c r="I48" i="12"/>
  <c r="K48" i="12" s="1"/>
  <c r="F147" i="12"/>
  <c r="E148" i="12"/>
  <c r="F187" i="12"/>
  <c r="E188" i="12"/>
  <c r="H188" i="12" a="1"/>
  <c r="G188" i="12" a="1"/>
  <c r="H148" i="12" a="1"/>
  <c r="G148" i="12" a="1"/>
  <c r="G148" i="12" l="1"/>
  <c r="L148" i="12" s="1"/>
  <c r="M148" i="12" s="1"/>
  <c r="H148" i="12"/>
  <c r="G188" i="12"/>
  <c r="L188" i="12" s="1"/>
  <c r="M188" i="12" s="1"/>
  <c r="H188" i="12"/>
  <c r="F148" i="12"/>
  <c r="E149" i="12"/>
  <c r="F188" i="12"/>
  <c r="E189" i="12"/>
  <c r="J48" i="12"/>
  <c r="I49" i="12"/>
  <c r="G149" i="12" a="1"/>
  <c r="H189" i="12" a="1"/>
  <c r="G189" i="12" a="1"/>
  <c r="H149" i="12" a="1"/>
  <c r="G149" i="12" l="1"/>
  <c r="L149" i="12" s="1"/>
  <c r="M149" i="12" s="1"/>
  <c r="H149" i="12"/>
  <c r="H189" i="12"/>
  <c r="G189" i="12"/>
  <c r="L189" i="12" s="1"/>
  <c r="M189" i="12" s="1"/>
  <c r="J49" i="12"/>
  <c r="I50" i="12"/>
  <c r="K50" i="12" s="1"/>
  <c r="K49" i="12"/>
  <c r="E150" i="12"/>
  <c r="F149" i="12"/>
  <c r="E190" i="12"/>
  <c r="F189" i="12"/>
  <c r="G150" i="12" a="1"/>
  <c r="G190" i="12" a="1"/>
  <c r="H150" i="12" a="1"/>
  <c r="H190" i="12" a="1"/>
  <c r="H150" i="12" l="1"/>
  <c r="G150" i="12"/>
  <c r="L150" i="12" s="1"/>
  <c r="M150" i="12" s="1"/>
  <c r="G190" i="12"/>
  <c r="L190" i="12" s="1"/>
  <c r="M190" i="12" s="1"/>
  <c r="H190" i="12"/>
  <c r="E151" i="12"/>
  <c r="F150" i="12"/>
  <c r="F190" i="12"/>
  <c r="E191" i="12"/>
  <c r="J50" i="12"/>
  <c r="I51" i="12"/>
  <c r="H151" i="12" a="1"/>
  <c r="H191" i="12" a="1"/>
  <c r="G191" i="12" a="1"/>
  <c r="G151" i="12" a="1"/>
  <c r="G191" i="12" l="1"/>
  <c r="L191" i="12" s="1"/>
  <c r="M191" i="12" s="1"/>
  <c r="H191" i="12"/>
  <c r="H151" i="12"/>
  <c r="G151" i="12"/>
  <c r="L151" i="12" s="1"/>
  <c r="M151" i="12" s="1"/>
  <c r="E192" i="12"/>
  <c r="F191" i="12"/>
  <c r="J51" i="12"/>
  <c r="I52" i="12"/>
  <c r="K52" i="12" s="1"/>
  <c r="F151" i="12"/>
  <c r="E152" i="12"/>
  <c r="K51" i="12"/>
  <c r="H192" i="12" a="1"/>
  <c r="G192" i="12" a="1"/>
  <c r="H152" i="12" a="1"/>
  <c r="G152" i="12" a="1"/>
  <c r="G152" i="12" l="1"/>
  <c r="L152" i="12" s="1"/>
  <c r="M152" i="12" s="1"/>
  <c r="H152" i="12"/>
  <c r="H192" i="12"/>
  <c r="G192" i="12"/>
  <c r="L192" i="12" s="1"/>
  <c r="M192" i="12" s="1"/>
  <c r="F152" i="12"/>
  <c r="E153" i="12"/>
  <c r="J52" i="12"/>
  <c r="I53" i="12"/>
  <c r="K53" i="12" s="1"/>
  <c r="F192" i="12"/>
  <c r="E193" i="12"/>
  <c r="H153" i="12" a="1"/>
  <c r="G153" i="12" a="1"/>
  <c r="G193" i="12" a="1"/>
  <c r="H193" i="12" a="1"/>
  <c r="G193" i="12" l="1"/>
  <c r="L193" i="12" s="1"/>
  <c r="M193" i="12" s="1"/>
  <c r="H193" i="12"/>
  <c r="G153" i="12"/>
  <c r="L153" i="12" s="1"/>
  <c r="M153" i="12" s="1"/>
  <c r="H153" i="12"/>
  <c r="F193" i="12"/>
  <c r="E194" i="12"/>
  <c r="E154" i="12"/>
  <c r="F153" i="12"/>
  <c r="J53" i="12"/>
  <c r="I54" i="12"/>
  <c r="H194" i="12" a="1"/>
  <c r="G154" i="12" a="1"/>
  <c r="G194" i="12" a="1"/>
  <c r="H154" i="12" a="1"/>
  <c r="H154" i="12" l="1"/>
  <c r="G154" i="12"/>
  <c r="L154" i="12" s="1"/>
  <c r="M154" i="12" s="1"/>
  <c r="G194" i="12"/>
  <c r="L194" i="12" s="1"/>
  <c r="M194" i="12" s="1"/>
  <c r="H194" i="12"/>
  <c r="J54" i="12"/>
  <c r="I55" i="12"/>
  <c r="K55" i="12" s="1"/>
  <c r="E155" i="12"/>
  <c r="F154" i="12"/>
  <c r="K54" i="12"/>
  <c r="E195" i="12"/>
  <c r="F194" i="12"/>
  <c r="G195" i="12" a="1"/>
  <c r="G155" i="12" a="1"/>
  <c r="H195" i="12" a="1"/>
  <c r="H155" i="12" a="1"/>
  <c r="H155" i="12" l="1"/>
  <c r="G155" i="12"/>
  <c r="L155" i="12" s="1"/>
  <c r="M155" i="12" s="1"/>
  <c r="H195" i="12"/>
  <c r="G195" i="12"/>
  <c r="L195" i="12" s="1"/>
  <c r="M195" i="12" s="1"/>
  <c r="F155" i="12"/>
  <c r="E156" i="12"/>
  <c r="E196" i="12"/>
  <c r="F195" i="12"/>
  <c r="J55" i="12"/>
  <c r="I56" i="12"/>
  <c r="G156" i="12" a="1"/>
  <c r="G196" i="12" a="1"/>
  <c r="H156" i="12" a="1"/>
  <c r="H196" i="12" a="1"/>
  <c r="H196" i="12" l="1"/>
  <c r="G196" i="12"/>
  <c r="L196" i="12" s="1"/>
  <c r="M196" i="12" s="1"/>
  <c r="G156" i="12"/>
  <c r="L156" i="12" s="1"/>
  <c r="M156" i="12" s="1"/>
  <c r="H156" i="12"/>
  <c r="J56" i="12"/>
  <c r="I57" i="12"/>
  <c r="K57" i="12" s="1"/>
  <c r="F196" i="12"/>
  <c r="E197" i="12"/>
  <c r="F156" i="12"/>
  <c r="E157" i="12"/>
  <c r="K56" i="12"/>
  <c r="G157" i="12" a="1"/>
  <c r="H157" i="12" a="1"/>
  <c r="G197" i="12" a="1"/>
  <c r="H197" i="12" a="1"/>
  <c r="G197" i="12" l="1"/>
  <c r="L197" i="12" s="1"/>
  <c r="M197" i="12" s="1"/>
  <c r="H197" i="12"/>
  <c r="G157" i="12"/>
  <c r="L157" i="12" s="1"/>
  <c r="M157" i="12" s="1"/>
  <c r="H157" i="12"/>
  <c r="F197" i="12"/>
  <c r="E198" i="12"/>
  <c r="E158" i="12"/>
  <c r="F157" i="12"/>
  <c r="J57" i="12"/>
  <c r="I58" i="12"/>
  <c r="G198" i="12" a="1"/>
  <c r="H158" i="12" a="1"/>
  <c r="G158" i="12" a="1"/>
  <c r="H198" i="12" a="1"/>
  <c r="G198" i="12" l="1"/>
  <c r="L198" i="12" s="1"/>
  <c r="M198" i="12" s="1"/>
  <c r="H198" i="12"/>
  <c r="H158" i="12"/>
  <c r="G158" i="12"/>
  <c r="L158" i="12" s="1"/>
  <c r="M158" i="12" s="1"/>
  <c r="E199" i="12"/>
  <c r="F198" i="12"/>
  <c r="J58" i="12"/>
  <c r="I59" i="12"/>
  <c r="E159" i="12"/>
  <c r="F158" i="12"/>
  <c r="K58" i="12"/>
  <c r="H159" i="12" a="1"/>
  <c r="H199" i="12" a="1"/>
  <c r="G199" i="12" a="1"/>
  <c r="G159" i="12" a="1"/>
  <c r="H159" i="12" l="1"/>
  <c r="G159" i="12"/>
  <c r="L159" i="12" s="1"/>
  <c r="M159" i="12" s="1"/>
  <c r="H199" i="12"/>
  <c r="G199" i="12"/>
  <c r="L199" i="12" s="1"/>
  <c r="M199" i="12" s="1"/>
  <c r="F159" i="12"/>
  <c r="E160" i="12"/>
  <c r="J59" i="12"/>
  <c r="I60" i="12"/>
  <c r="K60" i="12" s="1"/>
  <c r="E200" i="12"/>
  <c r="F199" i="12"/>
  <c r="K59" i="12"/>
  <c r="G160" i="12" a="1"/>
  <c r="H160" i="12" a="1"/>
  <c r="H200" i="12" a="1"/>
  <c r="G200" i="12" a="1"/>
  <c r="G160" i="12" l="1"/>
  <c r="L160" i="12" s="1"/>
  <c r="M160" i="12" s="1"/>
  <c r="H160" i="12"/>
  <c r="H200" i="12"/>
  <c r="G200" i="12"/>
  <c r="L200" i="12" s="1"/>
  <c r="M200" i="12" s="1"/>
  <c r="J60" i="12"/>
  <c r="I61" i="12"/>
  <c r="K61" i="12" s="1"/>
  <c r="F160" i="12"/>
  <c r="F200" i="12"/>
  <c r="E201" i="12"/>
  <c r="G201" i="12" a="1"/>
  <c r="H201" i="12" a="1"/>
  <c r="G201" i="12" l="1"/>
  <c r="L201" i="12" s="1"/>
  <c r="M201" i="12" s="1"/>
  <c r="H201" i="12"/>
  <c r="F201" i="12"/>
  <c r="E202" i="12"/>
  <c r="J61" i="12"/>
  <c r="I62" i="12"/>
  <c r="K62" i="12" s="1"/>
  <c r="G202" i="12" a="1"/>
  <c r="H202" i="12" a="1"/>
  <c r="G202" i="12" l="1"/>
  <c r="L202" i="12" s="1"/>
  <c r="M202" i="12" s="1"/>
  <c r="H202" i="12"/>
  <c r="E203" i="12"/>
  <c r="F202" i="12"/>
  <c r="J62" i="12"/>
  <c r="I63" i="12"/>
  <c r="K63" i="12" s="1"/>
  <c r="G203" i="12" a="1"/>
  <c r="H203" i="12" a="1"/>
  <c r="H203" i="12" l="1"/>
  <c r="G203" i="12"/>
  <c r="L203" i="12" s="1"/>
  <c r="M203" i="12" s="1"/>
  <c r="J63" i="12"/>
  <c r="I64" i="12"/>
  <c r="K64" i="12" s="1"/>
  <c r="E204" i="12"/>
  <c r="F203" i="12"/>
  <c r="H204" i="12" a="1"/>
  <c r="G204" i="12" a="1"/>
  <c r="H204" i="12" l="1"/>
  <c r="G204" i="12"/>
  <c r="L204" i="12" s="1"/>
  <c r="M204" i="12" s="1"/>
  <c r="J64" i="12"/>
  <c r="I65" i="12"/>
  <c r="F204" i="12"/>
  <c r="E205" i="12"/>
  <c r="G205" i="12" a="1"/>
  <c r="H205" i="12" a="1"/>
  <c r="G205" i="12" l="1"/>
  <c r="L205" i="12" s="1"/>
  <c r="M205" i="12" s="1"/>
  <c r="H205" i="12"/>
  <c r="J65" i="12"/>
  <c r="I66" i="12"/>
  <c r="K66" i="12" s="1"/>
  <c r="K65" i="12"/>
  <c r="F205" i="12"/>
  <c r="E206" i="12"/>
  <c r="H206" i="12" a="1"/>
  <c r="G206" i="12" a="1"/>
  <c r="G206" i="12" l="1"/>
  <c r="L206" i="12" s="1"/>
  <c r="M206" i="12" s="1"/>
  <c r="H206" i="12"/>
  <c r="E207" i="12"/>
  <c r="F206" i="12"/>
  <c r="J66" i="12"/>
  <c r="I67" i="12"/>
  <c r="K67" i="12" s="1"/>
  <c r="G207" i="12" a="1"/>
  <c r="H207" i="12" a="1"/>
  <c r="H207" i="12" l="1"/>
  <c r="G207" i="12"/>
  <c r="L207" i="12" s="1"/>
  <c r="M207" i="12" s="1"/>
  <c r="J67" i="12"/>
  <c r="I68" i="12"/>
  <c r="K68" i="12" s="1"/>
  <c r="E208" i="12"/>
  <c r="F207" i="12"/>
  <c r="G208" i="12" a="1"/>
  <c r="H208" i="12" a="1"/>
  <c r="H208" i="12" l="1"/>
  <c r="G208" i="12"/>
  <c r="L208" i="12" s="1"/>
  <c r="M208" i="12" s="1"/>
  <c r="J68" i="12"/>
  <c r="I69" i="12"/>
  <c r="K69" i="12" s="1"/>
  <c r="F208" i="12"/>
  <c r="E209" i="12"/>
  <c r="G209" i="12" a="1"/>
  <c r="H209" i="12" a="1"/>
  <c r="G209" i="12" l="1"/>
  <c r="L209" i="12" s="1"/>
  <c r="M209" i="12" s="1"/>
  <c r="H209" i="12"/>
  <c r="F209" i="12"/>
  <c r="E210" i="12"/>
  <c r="J69" i="12"/>
  <c r="I70" i="12"/>
  <c r="G210" i="12" a="1"/>
  <c r="H210" i="12" a="1"/>
  <c r="G210" i="12" l="1"/>
  <c r="L210" i="12" s="1"/>
  <c r="M210" i="12" s="1"/>
  <c r="H210" i="12"/>
  <c r="E211" i="12"/>
  <c r="F210" i="12"/>
  <c r="J70" i="12"/>
  <c r="I71" i="12"/>
  <c r="K71" i="12" s="1"/>
  <c r="K70" i="12"/>
  <c r="H211" i="12" a="1"/>
  <c r="G211" i="12" a="1"/>
  <c r="H211" i="12" l="1"/>
  <c r="G211" i="12"/>
  <c r="L211" i="12" s="1"/>
  <c r="M211" i="12" s="1"/>
  <c r="J71" i="12"/>
  <c r="I72" i="12"/>
  <c r="K72" i="12" s="1"/>
  <c r="E212" i="12"/>
  <c r="F211" i="12"/>
  <c r="G212" i="12" a="1"/>
  <c r="H212" i="12" a="1"/>
  <c r="H212" i="12" l="1"/>
  <c r="G212" i="12"/>
  <c r="L212" i="12" s="1"/>
  <c r="M212" i="12" s="1"/>
  <c r="F212" i="12"/>
  <c r="E213" i="12"/>
  <c r="J72" i="12"/>
  <c r="I73" i="12"/>
  <c r="H213" i="12" a="1"/>
  <c r="G213" i="12" a="1"/>
  <c r="G213" i="12" l="1"/>
  <c r="L213" i="12" s="1"/>
  <c r="M213" i="12" s="1"/>
  <c r="H213" i="12"/>
  <c r="F213" i="12"/>
  <c r="E214" i="12"/>
  <c r="J73" i="12"/>
  <c r="I74" i="12"/>
  <c r="K73" i="12"/>
  <c r="H214" i="12" a="1"/>
  <c r="G214" i="12" a="1"/>
  <c r="G214" i="12" l="1"/>
  <c r="L214" i="12" s="1"/>
  <c r="M214" i="12" s="1"/>
  <c r="H214" i="12"/>
  <c r="E215" i="12"/>
  <c r="F214" i="12"/>
  <c r="J74" i="12"/>
  <c r="I75" i="12"/>
  <c r="K74" i="12"/>
  <c r="H215" i="12" a="1"/>
  <c r="G215" i="12" a="1"/>
  <c r="H215" i="12" l="1"/>
  <c r="G215" i="12"/>
  <c r="L215" i="12" s="1"/>
  <c r="M215" i="12" s="1"/>
  <c r="J75" i="12"/>
  <c r="I76" i="12"/>
  <c r="K76" i="12" s="1"/>
  <c r="E216" i="12"/>
  <c r="F215" i="12"/>
  <c r="K75" i="12"/>
  <c r="G216" i="12" a="1"/>
  <c r="H216" i="12" a="1"/>
  <c r="H216" i="12" l="1"/>
  <c r="G216" i="12"/>
  <c r="L216" i="12" s="1"/>
  <c r="M216" i="12" s="1"/>
  <c r="F216" i="12"/>
  <c r="E217" i="12"/>
  <c r="J76" i="12"/>
  <c r="I77" i="12"/>
  <c r="H217" i="12" a="1"/>
  <c r="G217" i="12" a="1"/>
  <c r="G217" i="12" l="1"/>
  <c r="L217" i="12" s="1"/>
  <c r="M217" i="12" s="1"/>
  <c r="H217" i="12"/>
  <c r="F217" i="12"/>
  <c r="E218" i="12"/>
  <c r="J77" i="12"/>
  <c r="I78" i="12"/>
  <c r="K77" i="12"/>
  <c r="H218" i="12" a="1"/>
  <c r="G218" i="12" a="1"/>
  <c r="G218" i="12" l="1"/>
  <c r="L218" i="12" s="1"/>
  <c r="M218" i="12" s="1"/>
  <c r="H218" i="12"/>
  <c r="E219" i="12"/>
  <c r="F218" i="12"/>
  <c r="J78" i="12"/>
  <c r="I79" i="12"/>
  <c r="K79" i="12" s="1"/>
  <c r="K78" i="12"/>
  <c r="H219" i="12" a="1"/>
  <c r="G219" i="12" a="1"/>
  <c r="H219" i="12" l="1"/>
  <c r="G219" i="12"/>
  <c r="L219" i="12" s="1"/>
  <c r="M219" i="12" s="1"/>
  <c r="J79" i="12"/>
  <c r="I80" i="12"/>
  <c r="K80" i="12" s="1"/>
  <c r="E220" i="12"/>
  <c r="F219" i="12"/>
  <c r="H220" i="12" a="1"/>
  <c r="G220" i="12" a="1"/>
  <c r="H220" i="12" l="1"/>
  <c r="G220" i="12"/>
  <c r="L220" i="12" s="1"/>
  <c r="M220" i="12" s="1"/>
  <c r="F220" i="12"/>
  <c r="E221" i="12"/>
  <c r="J80" i="12"/>
  <c r="I81" i="12"/>
  <c r="H221" i="12" a="1"/>
  <c r="G221" i="12" a="1"/>
  <c r="G221" i="12" l="1"/>
  <c r="L221" i="12" s="1"/>
  <c r="M221" i="12" s="1"/>
  <c r="H221" i="12"/>
  <c r="F221" i="12"/>
  <c r="J81" i="12"/>
  <c r="I82" i="12"/>
  <c r="K82" i="12" s="1"/>
  <c r="K81" i="12"/>
  <c r="J82" i="12" l="1"/>
  <c r="I83" i="12"/>
  <c r="J83" i="12" l="1"/>
  <c r="I84" i="12"/>
  <c r="K83" i="12"/>
  <c r="J84" i="12" l="1"/>
  <c r="I85" i="12"/>
  <c r="K84" i="12"/>
  <c r="J85" i="12" l="1"/>
  <c r="I86" i="12"/>
  <c r="K86" i="12" s="1"/>
  <c r="K85" i="12"/>
  <c r="J86" i="12" l="1"/>
  <c r="I87" i="12"/>
  <c r="K87" i="12" s="1"/>
  <c r="J87" i="12" l="1"/>
  <c r="I88" i="12"/>
  <c r="J88" i="12" l="1"/>
  <c r="I89" i="12"/>
  <c r="K88" i="12"/>
  <c r="J89" i="12" l="1"/>
  <c r="I90" i="12"/>
  <c r="K89" i="12"/>
  <c r="J90" i="12" l="1"/>
  <c r="I91" i="12"/>
  <c r="K90" i="12"/>
  <c r="J91" i="12" l="1"/>
  <c r="I92" i="12"/>
  <c r="K91" i="12"/>
  <c r="J92" i="12" l="1"/>
  <c r="I93" i="12"/>
  <c r="K92" i="12"/>
  <c r="J93" i="12" l="1"/>
  <c r="I94" i="12"/>
  <c r="K93" i="12"/>
  <c r="J94" i="12" l="1"/>
  <c r="I95" i="12"/>
  <c r="K94" i="12"/>
  <c r="J95" i="12" l="1"/>
  <c r="I96" i="12"/>
  <c r="K95" i="12"/>
  <c r="J96" i="12" l="1"/>
  <c r="I97" i="12"/>
  <c r="K96" i="12"/>
  <c r="J97" i="12" l="1"/>
  <c r="I98" i="12"/>
  <c r="K97" i="12"/>
  <c r="J98" i="12" l="1"/>
  <c r="I99" i="12"/>
  <c r="K98" i="12"/>
  <c r="J99" i="12" l="1"/>
  <c r="I100" i="12"/>
  <c r="K99" i="12"/>
  <c r="J100" i="12" l="1"/>
  <c r="I101" i="12"/>
  <c r="K100" i="12"/>
  <c r="J101" i="12" l="1"/>
  <c r="I102" i="12"/>
  <c r="K101" i="12"/>
  <c r="J102" i="12" l="1"/>
  <c r="I103" i="12"/>
  <c r="K102" i="12"/>
  <c r="J103" i="12" l="1"/>
  <c r="I104" i="12"/>
  <c r="K103" i="12"/>
  <c r="J104" i="12" l="1"/>
  <c r="I105" i="12"/>
  <c r="K104" i="12"/>
  <c r="J105" i="12" l="1"/>
  <c r="I106" i="12"/>
  <c r="K105" i="12"/>
  <c r="J106" i="12" l="1"/>
  <c r="I107" i="12"/>
  <c r="K106" i="12"/>
  <c r="J107" i="12" l="1"/>
  <c r="I108" i="12"/>
  <c r="K107" i="12"/>
  <c r="J108" i="12" l="1"/>
  <c r="I109" i="12"/>
  <c r="K108" i="12"/>
  <c r="J109" i="12" l="1"/>
  <c r="I110" i="12"/>
  <c r="K109" i="12"/>
  <c r="J110" i="12" l="1"/>
  <c r="I111" i="12"/>
  <c r="K110" i="12"/>
  <c r="J111" i="12" l="1"/>
  <c r="I112" i="12"/>
  <c r="K112" i="12" s="1"/>
  <c r="K111" i="12"/>
  <c r="J112" i="12" l="1"/>
  <c r="I113" i="12"/>
  <c r="J113" i="12" l="1"/>
  <c r="I114" i="12"/>
  <c r="K113" i="12"/>
  <c r="J114" i="12" l="1"/>
  <c r="I115" i="12"/>
  <c r="K114" i="12"/>
  <c r="J115" i="12" l="1"/>
  <c r="I116" i="12"/>
  <c r="K115" i="12"/>
  <c r="J116" i="12" l="1"/>
  <c r="I117" i="12"/>
  <c r="K116" i="12"/>
  <c r="J117" i="12" l="1"/>
  <c r="I118" i="12"/>
  <c r="K117" i="12"/>
  <c r="J118" i="12" l="1"/>
  <c r="I119" i="12"/>
  <c r="K118" i="12"/>
  <c r="J119" i="12" l="1"/>
  <c r="I120" i="12"/>
  <c r="K119" i="12"/>
  <c r="J120" i="12" l="1"/>
  <c r="I121" i="12"/>
  <c r="K120" i="12"/>
  <c r="J121" i="12" l="1"/>
  <c r="I122" i="12"/>
  <c r="K121" i="12"/>
  <c r="J122" i="12" l="1"/>
  <c r="I123" i="12"/>
  <c r="K122" i="12"/>
  <c r="J123" i="12" l="1"/>
  <c r="I124" i="12"/>
  <c r="K123" i="12"/>
  <c r="J124" i="12" l="1"/>
  <c r="I125" i="12"/>
  <c r="K124" i="12"/>
  <c r="J125" i="12" l="1"/>
  <c r="I126" i="12"/>
  <c r="K125" i="12"/>
  <c r="J126" i="12" l="1"/>
  <c r="I127" i="12"/>
  <c r="K126" i="12"/>
  <c r="J127" i="12" l="1"/>
  <c r="I128" i="12"/>
  <c r="K127" i="12"/>
  <c r="J128" i="12" l="1"/>
  <c r="I129" i="12"/>
  <c r="K128" i="12"/>
  <c r="J129" i="12" l="1"/>
  <c r="I130" i="12"/>
  <c r="K129" i="12"/>
  <c r="J130" i="12" l="1"/>
  <c r="I131" i="12"/>
  <c r="K130" i="12"/>
  <c r="J131" i="12" l="1"/>
  <c r="I132" i="12"/>
  <c r="K131" i="12"/>
  <c r="J132" i="12" l="1"/>
  <c r="I133" i="12"/>
  <c r="K132" i="12"/>
  <c r="J133" i="12" l="1"/>
  <c r="I134" i="12"/>
  <c r="K133" i="12"/>
  <c r="J134" i="12" l="1"/>
  <c r="I135" i="12"/>
  <c r="K134" i="12"/>
  <c r="J135" i="12" l="1"/>
  <c r="I136" i="12"/>
  <c r="K135" i="12"/>
  <c r="J136" i="12" l="1"/>
  <c r="I137" i="12"/>
  <c r="K136" i="12"/>
  <c r="J137" i="12" l="1"/>
  <c r="I138" i="12"/>
  <c r="K137" i="12"/>
  <c r="J138" i="12" l="1"/>
  <c r="I139" i="12"/>
  <c r="K138" i="12"/>
  <c r="J139" i="12" l="1"/>
  <c r="I140" i="12"/>
  <c r="K139" i="12"/>
  <c r="J140" i="12" l="1"/>
  <c r="I141" i="12"/>
  <c r="K140" i="12"/>
  <c r="J141" i="12" l="1"/>
  <c r="I142" i="12"/>
  <c r="K141" i="12"/>
  <c r="J142" i="12" l="1"/>
  <c r="I143" i="12"/>
  <c r="K142" i="12"/>
  <c r="J143" i="12" l="1"/>
  <c r="I144" i="12"/>
  <c r="K143" i="12"/>
  <c r="J144" i="12" l="1"/>
  <c r="I145" i="12"/>
  <c r="K144" i="12"/>
  <c r="J145" i="12" l="1"/>
  <c r="I146" i="12"/>
  <c r="K145" i="12"/>
  <c r="J146" i="12" l="1"/>
  <c r="I147" i="12"/>
  <c r="K146" i="12"/>
  <c r="J147" i="12" l="1"/>
  <c r="I148" i="12"/>
  <c r="K147" i="12"/>
  <c r="J148" i="12" l="1"/>
  <c r="I149" i="12"/>
  <c r="K148" i="12"/>
  <c r="J149" i="12" l="1"/>
  <c r="I150" i="12"/>
  <c r="K149" i="12"/>
  <c r="J150" i="12" l="1"/>
  <c r="I151" i="12"/>
  <c r="K150" i="12"/>
  <c r="J151" i="12" l="1"/>
  <c r="I152" i="12"/>
  <c r="K151" i="12"/>
  <c r="J152" i="12" l="1"/>
  <c r="I153" i="12"/>
  <c r="K152" i="12"/>
  <c r="J153" i="12" l="1"/>
  <c r="I154" i="12"/>
  <c r="K153" i="12"/>
  <c r="J154" i="12" l="1"/>
  <c r="I155" i="12"/>
  <c r="K154" i="12"/>
  <c r="J155" i="12" l="1"/>
  <c r="I156" i="12"/>
  <c r="K155" i="12"/>
  <c r="J156" i="12" l="1"/>
  <c r="I157" i="12"/>
  <c r="K156" i="12"/>
  <c r="J157" i="12" l="1"/>
  <c r="I158" i="12"/>
  <c r="K157" i="12"/>
  <c r="J158" i="12" l="1"/>
  <c r="I159" i="12"/>
  <c r="K158" i="12"/>
  <c r="J159" i="12" l="1"/>
  <c r="I160" i="12"/>
  <c r="K159" i="12"/>
  <c r="J160" i="12" l="1"/>
  <c r="I161" i="12"/>
  <c r="K160" i="12"/>
  <c r="J161" i="12" l="1"/>
  <c r="I162" i="12"/>
  <c r="K161" i="12"/>
  <c r="J162" i="12" l="1"/>
  <c r="I163" i="12"/>
  <c r="K162" i="12"/>
  <c r="J163" i="12" l="1"/>
  <c r="I164" i="12"/>
  <c r="K163" i="12"/>
  <c r="J164" i="12" l="1"/>
  <c r="I165" i="12"/>
  <c r="K164" i="12"/>
  <c r="J165" i="12" l="1"/>
  <c r="I166" i="12"/>
  <c r="K165" i="12"/>
  <c r="J166" i="12" l="1"/>
  <c r="I167" i="12"/>
  <c r="K166" i="12"/>
  <c r="J167" i="12" l="1"/>
  <c r="I168" i="12"/>
  <c r="K167" i="12"/>
  <c r="J168" i="12" l="1"/>
  <c r="I169" i="12"/>
  <c r="K168" i="12"/>
  <c r="J169" i="12" l="1"/>
  <c r="I170" i="12"/>
  <c r="K169" i="12"/>
  <c r="J170" i="12" l="1"/>
  <c r="I171" i="12"/>
  <c r="K170" i="12"/>
  <c r="J171" i="12" l="1"/>
  <c r="I172" i="12"/>
  <c r="K171" i="12"/>
  <c r="J172" i="12" l="1"/>
  <c r="I173" i="12"/>
  <c r="K173" i="12" s="1"/>
  <c r="K172" i="12"/>
  <c r="J173" i="12" l="1"/>
  <c r="I174" i="12"/>
  <c r="K174" i="12" s="1"/>
  <c r="J174" i="12" l="1"/>
  <c r="I175" i="12"/>
  <c r="K175" i="12" s="1"/>
  <c r="J175" i="12" l="1"/>
  <c r="I176" i="12"/>
  <c r="J176" i="12" l="1"/>
  <c r="I177" i="12"/>
  <c r="K176" i="12"/>
  <c r="J177" i="12" l="1"/>
  <c r="I178" i="12"/>
  <c r="K177" i="12"/>
  <c r="J178" i="12" l="1"/>
  <c r="I179" i="12"/>
  <c r="K178" i="12"/>
  <c r="J179" i="12" l="1"/>
  <c r="I180" i="12"/>
  <c r="K179" i="12"/>
  <c r="J180" i="12" l="1"/>
  <c r="I181" i="12"/>
  <c r="K180" i="12"/>
  <c r="J181" i="12" l="1"/>
  <c r="I182" i="12"/>
  <c r="K181" i="12"/>
  <c r="J182" i="12" l="1"/>
  <c r="I183" i="12"/>
  <c r="K182" i="12"/>
  <c r="J183" i="12" l="1"/>
  <c r="I184" i="12"/>
  <c r="K183" i="12"/>
  <c r="J184" i="12" l="1"/>
  <c r="I185" i="12"/>
  <c r="K185" i="12" s="1"/>
  <c r="K184" i="12"/>
  <c r="J185" i="12" l="1"/>
  <c r="I186" i="12"/>
  <c r="J186" i="12" l="1"/>
  <c r="I187" i="12"/>
  <c r="K186" i="12"/>
  <c r="J187" i="12" l="1"/>
  <c r="I188" i="12"/>
  <c r="K187" i="12"/>
  <c r="J188" i="12" l="1"/>
  <c r="I189" i="12"/>
  <c r="K189" i="12" s="1"/>
  <c r="K188" i="12"/>
  <c r="J189" i="12" l="1"/>
  <c r="I190" i="12"/>
  <c r="J190" i="12" l="1"/>
  <c r="I191" i="12"/>
  <c r="K191" i="12" s="1"/>
  <c r="K190" i="12"/>
  <c r="J191" i="12" l="1"/>
  <c r="I192" i="12"/>
  <c r="J192" i="12" l="1"/>
  <c r="I193" i="12"/>
  <c r="K192" i="12"/>
  <c r="J193" i="12" l="1"/>
  <c r="I194" i="12"/>
  <c r="K194" i="12" s="1"/>
  <c r="K193" i="12"/>
  <c r="J194" i="12" l="1"/>
  <c r="I195" i="12"/>
  <c r="J195" i="12" l="1"/>
  <c r="I196" i="12"/>
  <c r="K195" i="12"/>
  <c r="J196" i="12" l="1"/>
  <c r="I197" i="12"/>
  <c r="K196" i="12"/>
  <c r="J197" i="12" l="1"/>
  <c r="I198" i="12"/>
  <c r="K198" i="12" s="1"/>
  <c r="K197" i="12"/>
  <c r="J198" i="12" l="1"/>
  <c r="I199" i="12"/>
  <c r="J199" i="12" l="1"/>
  <c r="I200" i="12"/>
  <c r="K199" i="12"/>
  <c r="J200" i="12" l="1"/>
  <c r="I201" i="12"/>
  <c r="K200" i="12"/>
  <c r="J201" i="12" l="1"/>
  <c r="I202" i="12"/>
  <c r="K201" i="12"/>
  <c r="J202" i="12" l="1"/>
  <c r="I203" i="12"/>
  <c r="K202" i="12"/>
  <c r="J203" i="12" l="1"/>
  <c r="I204" i="12"/>
  <c r="K203" i="12"/>
  <c r="J204" i="12" l="1"/>
  <c r="I205" i="12"/>
  <c r="K204" i="12"/>
  <c r="J205" i="12" l="1"/>
  <c r="I206" i="12"/>
  <c r="K205" i="12"/>
  <c r="J206" i="12" l="1"/>
  <c r="I207" i="12"/>
  <c r="K206" i="12"/>
  <c r="J207" i="12" l="1"/>
  <c r="I208" i="12"/>
  <c r="K207" i="12"/>
  <c r="J208" i="12" l="1"/>
  <c r="I209" i="12"/>
  <c r="K208" i="12"/>
  <c r="J209" i="12" l="1"/>
  <c r="I210" i="12"/>
  <c r="K210" i="12" s="1"/>
  <c r="K209" i="12"/>
  <c r="J210" i="12" l="1"/>
  <c r="I211" i="12"/>
  <c r="J211" i="12" l="1"/>
  <c r="I212" i="12"/>
  <c r="K211" i="12"/>
  <c r="J212" i="12" l="1"/>
  <c r="I213" i="12"/>
  <c r="K212" i="12"/>
  <c r="J213" i="12" l="1"/>
  <c r="I214" i="12"/>
  <c r="K214" i="12" s="1"/>
  <c r="K213" i="12"/>
  <c r="J214" i="12" l="1"/>
  <c r="I215" i="12"/>
  <c r="J215" i="12" l="1"/>
  <c r="I216" i="12"/>
  <c r="K215" i="12"/>
  <c r="J216" i="12" l="1"/>
  <c r="I217" i="12"/>
  <c r="K216" i="12"/>
  <c r="J217" i="12" l="1"/>
  <c r="I218" i="12"/>
  <c r="K217" i="12"/>
  <c r="J218" i="12" l="1"/>
  <c r="I219" i="12"/>
  <c r="K218" i="12"/>
  <c r="J219" i="12" l="1"/>
  <c r="I220" i="12"/>
  <c r="K219" i="12"/>
  <c r="J220" i="12" l="1"/>
  <c r="I221" i="12"/>
  <c r="K220" i="12"/>
  <c r="J221" i="12" l="1"/>
  <c r="J12" i="12" a="1"/>
  <c r="J12" i="12" s="1"/>
  <c r="L13" i="12" s="1"/>
  <c r="J16" i="12" a="1"/>
  <c r="J16" i="12" s="1"/>
  <c r="L17" i="12" s="1"/>
  <c r="J15" i="12" a="1"/>
  <c r="J15" i="12" s="1"/>
  <c r="L16" i="12" s="1"/>
  <c r="J18" i="12" a="1"/>
  <c r="J18" i="12" s="1"/>
  <c r="J11" i="12" a="1"/>
  <c r="J11" i="12" s="1"/>
  <c r="L12" i="12" s="1"/>
  <c r="J14" i="12" a="1"/>
  <c r="J14" i="12" s="1"/>
  <c r="L15" i="12" s="1"/>
  <c r="J17" i="12" a="1"/>
  <c r="J17" i="12" s="1"/>
  <c r="L18" i="12" s="1"/>
  <c r="J13" i="12" a="1"/>
  <c r="J13" i="12" s="1"/>
  <c r="L14" i="12" s="1"/>
  <c r="K221" i="12"/>
  <c r="K12" i="12" l="1" a="1"/>
  <c r="K12" i="12" s="1"/>
  <c r="K11" i="12" a="1"/>
  <c r="K11" i="12" s="1"/>
  <c r="K15" i="12" a="1"/>
  <c r="K15" i="12" s="1"/>
  <c r="M16" i="12" s="1"/>
  <c r="K17" i="12" a="1"/>
  <c r="K17" i="12" s="1"/>
  <c r="K13" i="12" a="1"/>
  <c r="K13" i="12" s="1"/>
  <c r="K14" i="12" a="1"/>
  <c r="K14" i="12" s="1"/>
  <c r="K18" i="12" a="1"/>
  <c r="K18" i="12" s="1"/>
  <c r="K16" i="12" a="1"/>
  <c r="K16" i="12" s="1"/>
  <c r="Q16" i="12" l="1"/>
  <c r="M17" i="12"/>
  <c r="N16" i="12"/>
  <c r="Q17" i="12"/>
  <c r="M18" i="12"/>
  <c r="N17" i="12"/>
  <c r="N18" i="12"/>
  <c r="Q18" i="12"/>
  <c r="N15" i="12"/>
  <c r="Q15" i="12"/>
  <c r="M15" i="12"/>
  <c r="N14" i="12"/>
  <c r="Q14" i="12"/>
  <c r="N11" i="12"/>
  <c r="M12" i="12"/>
  <c r="Q11" i="12"/>
  <c r="Q13" i="12"/>
  <c r="M14" i="12"/>
  <c r="N13" i="12"/>
  <c r="Q12" i="12"/>
  <c r="M13" i="12"/>
  <c r="N12" i="12"/>
  <c r="N19" i="12" l="1"/>
  <c r="AH9" i="9" l="1" a="1"/>
  <c r="Z9" i="9" a="1"/>
  <c r="AG110" i="9" s="1"/>
  <c r="S9" i="9" a="1"/>
  <c r="Y110" i="9" s="1"/>
  <c r="F11" i="9"/>
  <c r="F14" i="9" l="1"/>
  <c r="F12" i="9"/>
  <c r="F15" i="9"/>
  <c r="F16" i="9"/>
  <c r="F13" i="9"/>
  <c r="F17" i="9"/>
  <c r="AH9" i="9"/>
  <c r="AS1081" i="9"/>
  <c r="AK1081" i="9"/>
  <c r="AN1080" i="9"/>
  <c r="AQ1079" i="9"/>
  <c r="AI1079" i="9"/>
  <c r="AL1078" i="9"/>
  <c r="AO1077" i="9"/>
  <c r="AR1076" i="9"/>
  <c r="AJ1076" i="9"/>
  <c r="AM1075" i="9"/>
  <c r="AP1074" i="9"/>
  <c r="AS1073" i="9"/>
  <c r="AK1073" i="9"/>
  <c r="AN1072" i="9"/>
  <c r="AQ1071" i="9"/>
  <c r="AI1071" i="9"/>
  <c r="AL1070" i="9"/>
  <c r="AO1069" i="9"/>
  <c r="AR1068" i="9"/>
  <c r="AJ1068" i="9"/>
  <c r="AM1067" i="9"/>
  <c r="AP1066" i="9"/>
  <c r="AS1065" i="9"/>
  <c r="AK1065" i="9"/>
  <c r="AN1064" i="9"/>
  <c r="AQ1063" i="9"/>
  <c r="AI1063" i="9"/>
  <c r="AL1062" i="9"/>
  <c r="AO1061" i="9"/>
  <c r="AR1060" i="9"/>
  <c r="AJ1060" i="9"/>
  <c r="AM1059" i="9"/>
  <c r="AP1058" i="9"/>
  <c r="AS1057" i="9"/>
  <c r="AK1057" i="9"/>
  <c r="AR1081" i="9"/>
  <c r="AJ1081" i="9"/>
  <c r="AM1080" i="9"/>
  <c r="AP1079" i="9"/>
  <c r="AS1078" i="9"/>
  <c r="AK1078" i="9"/>
  <c r="AN1077" i="9"/>
  <c r="AQ1076" i="9"/>
  <c r="AI1076" i="9"/>
  <c r="AL1075" i="9"/>
  <c r="AO1074" i="9"/>
  <c r="AR1073" i="9"/>
  <c r="AJ1073" i="9"/>
  <c r="AM1072" i="9"/>
  <c r="AP1071" i="9"/>
  <c r="AS1070" i="9"/>
  <c r="AK1070" i="9"/>
  <c r="AN1069" i="9"/>
  <c r="AQ1068" i="9"/>
  <c r="AI1068" i="9"/>
  <c r="AL1067" i="9"/>
  <c r="AO1066" i="9"/>
  <c r="AR1065" i="9"/>
  <c r="AJ1065" i="9"/>
  <c r="AM1064" i="9"/>
  <c r="AP1063" i="9"/>
  <c r="AS1062" i="9"/>
  <c r="AK1062" i="9"/>
  <c r="AN1061" i="9"/>
  <c r="AQ1060" i="9"/>
  <c r="AI1060" i="9"/>
  <c r="AL1059" i="9"/>
  <c r="AO1058" i="9"/>
  <c r="AR1057" i="9"/>
  <c r="AQ1081" i="9"/>
  <c r="AI1081" i="9"/>
  <c r="AL1080" i="9"/>
  <c r="AO1079" i="9"/>
  <c r="AR1078" i="9"/>
  <c r="AJ1078" i="9"/>
  <c r="AM1077" i="9"/>
  <c r="AP1076" i="9"/>
  <c r="AS1075" i="9"/>
  <c r="AK1075" i="9"/>
  <c r="AN1074" i="9"/>
  <c r="AQ1073" i="9"/>
  <c r="AI1073" i="9"/>
  <c r="AL1072" i="9"/>
  <c r="AO1071" i="9"/>
  <c r="AR1070" i="9"/>
  <c r="AJ1070" i="9"/>
  <c r="AM1069" i="9"/>
  <c r="AP1068" i="9"/>
  <c r="AS1067" i="9"/>
  <c r="AK1067" i="9"/>
  <c r="AN1066" i="9"/>
  <c r="AQ1065" i="9"/>
  <c r="AI1065" i="9"/>
  <c r="AL1064" i="9"/>
  <c r="AO1063" i="9"/>
  <c r="AR1062" i="9"/>
  <c r="AJ1062" i="9"/>
  <c r="AM1061" i="9"/>
  <c r="AP1060" i="9"/>
  <c r="AS1059" i="9"/>
  <c r="AK1059" i="9"/>
  <c r="AN1058" i="9"/>
  <c r="AQ1057" i="9"/>
  <c r="AP1081" i="9"/>
  <c r="AS1080" i="9"/>
  <c r="AK1080" i="9"/>
  <c r="AN1079" i="9"/>
  <c r="AQ1078" i="9"/>
  <c r="AI1078" i="9"/>
  <c r="AL1077" i="9"/>
  <c r="AO1076" i="9"/>
  <c r="AR1075" i="9"/>
  <c r="AJ1075" i="9"/>
  <c r="AM1074" i="9"/>
  <c r="AP1073" i="9"/>
  <c r="AS1072" i="9"/>
  <c r="AK1072" i="9"/>
  <c r="AN1071" i="9"/>
  <c r="AQ1070" i="9"/>
  <c r="AI1070" i="9"/>
  <c r="AL1069" i="9"/>
  <c r="AO1068" i="9"/>
  <c r="AR1067" i="9"/>
  <c r="AJ1067" i="9"/>
  <c r="AM1066" i="9"/>
  <c r="AP1065" i="9"/>
  <c r="AS1064" i="9"/>
  <c r="AK1064" i="9"/>
  <c r="AN1063" i="9"/>
  <c r="AQ1062" i="9"/>
  <c r="AI1062" i="9"/>
  <c r="AL1061" i="9"/>
  <c r="AO1060" i="9"/>
  <c r="AR1059" i="9"/>
  <c r="AJ1059" i="9"/>
  <c r="AM1058" i="9"/>
  <c r="AP1057" i="9"/>
  <c r="AS1056" i="9"/>
  <c r="AO1081" i="9"/>
  <c r="AR1080" i="9"/>
  <c r="AJ1080" i="9"/>
  <c r="AM1079" i="9"/>
  <c r="AP1078" i="9"/>
  <c r="AS1077" i="9"/>
  <c r="AK1077" i="9"/>
  <c r="AN1076" i="9"/>
  <c r="AQ1075" i="9"/>
  <c r="AI1075" i="9"/>
  <c r="AL1074" i="9"/>
  <c r="AO1073" i="9"/>
  <c r="AR1072" i="9"/>
  <c r="AJ1072" i="9"/>
  <c r="AM1071" i="9"/>
  <c r="AP1070" i="9"/>
  <c r="AS1069" i="9"/>
  <c r="AK1069" i="9"/>
  <c r="AN1068" i="9"/>
  <c r="AQ1067" i="9"/>
  <c r="AI1067" i="9"/>
  <c r="AL1066" i="9"/>
  <c r="AO1065" i="9"/>
  <c r="AR1064" i="9"/>
  <c r="AJ1064" i="9"/>
  <c r="AM1063" i="9"/>
  <c r="AP1062" i="9"/>
  <c r="AS1061" i="9"/>
  <c r="AK1061" i="9"/>
  <c r="AN1060" i="9"/>
  <c r="AQ1059" i="9"/>
  <c r="AI1059" i="9"/>
  <c r="AL1058" i="9"/>
  <c r="AO1057" i="9"/>
  <c r="AN1081" i="9"/>
  <c r="AQ1080" i="9"/>
  <c r="AI1080" i="9"/>
  <c r="AL1079" i="9"/>
  <c r="AO1078" i="9"/>
  <c r="AR1077" i="9"/>
  <c r="AJ1077" i="9"/>
  <c r="AM1076" i="9"/>
  <c r="AP1075" i="9"/>
  <c r="AS1074" i="9"/>
  <c r="AK1074" i="9"/>
  <c r="AN1073" i="9"/>
  <c r="AQ1072" i="9"/>
  <c r="AI1072" i="9"/>
  <c r="AL1071" i="9"/>
  <c r="AO1070" i="9"/>
  <c r="AR1069" i="9"/>
  <c r="AJ1069" i="9"/>
  <c r="AM1068" i="9"/>
  <c r="AP1067" i="9"/>
  <c r="AS1066" i="9"/>
  <c r="AK1066" i="9"/>
  <c r="AN1065" i="9"/>
  <c r="AQ1064" i="9"/>
  <c r="AI1064" i="9"/>
  <c r="AL1063" i="9"/>
  <c r="AO1062" i="9"/>
  <c r="AR1061" i="9"/>
  <c r="AJ1061" i="9"/>
  <c r="AM1060" i="9"/>
  <c r="AP1059" i="9"/>
  <c r="AS1058" i="9"/>
  <c r="AK1058" i="9"/>
  <c r="AN1057" i="9"/>
  <c r="AQ1056" i="9"/>
  <c r="AM1081" i="9"/>
  <c r="AP1080" i="9"/>
  <c r="AS1079" i="9"/>
  <c r="AK1079" i="9"/>
  <c r="AN1078" i="9"/>
  <c r="AQ1077" i="9"/>
  <c r="AI1077" i="9"/>
  <c r="AL1076" i="9"/>
  <c r="AO1075" i="9"/>
  <c r="AR1074" i="9"/>
  <c r="AJ1074" i="9"/>
  <c r="AM1073" i="9"/>
  <c r="AP1072" i="9"/>
  <c r="AS1071" i="9"/>
  <c r="AK1071" i="9"/>
  <c r="AN1070" i="9"/>
  <c r="AQ1069" i="9"/>
  <c r="AI1069" i="9"/>
  <c r="AL1068" i="9"/>
  <c r="AO1067" i="9"/>
  <c r="AR1066" i="9"/>
  <c r="AJ1066" i="9"/>
  <c r="AM1065" i="9"/>
  <c r="AP1064" i="9"/>
  <c r="AS1063" i="9"/>
  <c r="AK1063" i="9"/>
  <c r="AN1062" i="9"/>
  <c r="AQ1061" i="9"/>
  <c r="AI1061" i="9"/>
  <c r="AL1060" i="9"/>
  <c r="AO1059" i="9"/>
  <c r="AR1058" i="9"/>
  <c r="AJ1058" i="9"/>
  <c r="AM1057" i="9"/>
  <c r="AP1056" i="9"/>
  <c r="AL1081" i="9"/>
  <c r="AS1076" i="9"/>
  <c r="AI1074" i="9"/>
  <c r="AP1069" i="9"/>
  <c r="AM1062" i="9"/>
  <c r="AJ1056" i="9"/>
  <c r="AM1055" i="9"/>
  <c r="AP1054" i="9"/>
  <c r="AS1053" i="9"/>
  <c r="AK1053" i="9"/>
  <c r="AN1052" i="9"/>
  <c r="AQ1051" i="9"/>
  <c r="AI1051" i="9"/>
  <c r="AL1050" i="9"/>
  <c r="AO1049" i="9"/>
  <c r="AR1048" i="9"/>
  <c r="AJ1048" i="9"/>
  <c r="AM1047" i="9"/>
  <c r="AP1046" i="9"/>
  <c r="AS1045" i="9"/>
  <c r="AK1045" i="9"/>
  <c r="AN1044" i="9"/>
  <c r="AQ1043" i="9"/>
  <c r="AI1043" i="9"/>
  <c r="AL1042" i="9"/>
  <c r="AO1041" i="9"/>
  <c r="AR1040" i="9"/>
  <c r="AJ1040" i="9"/>
  <c r="AM1039" i="9"/>
  <c r="AP1038" i="9"/>
  <c r="AS1037" i="9"/>
  <c r="AK1037" i="9"/>
  <c r="AN1036" i="9"/>
  <c r="AQ1035" i="9"/>
  <c r="AI1035" i="9"/>
  <c r="AL1034" i="9"/>
  <c r="AO1033" i="9"/>
  <c r="AR1032" i="9"/>
  <c r="AO1080" i="9"/>
  <c r="AL1073" i="9"/>
  <c r="AS1068" i="9"/>
  <c r="AI1066" i="9"/>
  <c r="AP1061" i="9"/>
  <c r="AI1057" i="9"/>
  <c r="AO1056" i="9"/>
  <c r="AR1055" i="9"/>
  <c r="AJ1055" i="9"/>
  <c r="AM1054" i="9"/>
  <c r="AP1053" i="9"/>
  <c r="AS1052" i="9"/>
  <c r="AK1052" i="9"/>
  <c r="AN1051" i="9"/>
  <c r="AQ1050" i="9"/>
  <c r="AI1050" i="9"/>
  <c r="AL1049" i="9"/>
  <c r="AO1048" i="9"/>
  <c r="AR1047" i="9"/>
  <c r="AJ1047" i="9"/>
  <c r="AM1046" i="9"/>
  <c r="AP1045" i="9"/>
  <c r="AS1044" i="9"/>
  <c r="AK1044" i="9"/>
  <c r="AN1043" i="9"/>
  <c r="AQ1042" i="9"/>
  <c r="AI1042" i="9"/>
  <c r="AL1041" i="9"/>
  <c r="AO1040" i="9"/>
  <c r="AR1039" i="9"/>
  <c r="AJ1039" i="9"/>
  <c r="AM1038" i="9"/>
  <c r="AP1037" i="9"/>
  <c r="AS1036" i="9"/>
  <c r="AK1036" i="9"/>
  <c r="AN1035" i="9"/>
  <c r="AN1075" i="9"/>
  <c r="AK1068" i="9"/>
  <c r="AR1063" i="9"/>
  <c r="AN1056" i="9"/>
  <c r="AQ1055" i="9"/>
  <c r="AI1055" i="9"/>
  <c r="AL1054" i="9"/>
  <c r="AO1053" i="9"/>
  <c r="AR1052" i="9"/>
  <c r="AJ1052" i="9"/>
  <c r="AM1051" i="9"/>
  <c r="AP1050" i="9"/>
  <c r="AS1049" i="9"/>
  <c r="AK1049" i="9"/>
  <c r="AN1048" i="9"/>
  <c r="AQ1047" i="9"/>
  <c r="AI1047" i="9"/>
  <c r="AL1046" i="9"/>
  <c r="AO1045" i="9"/>
  <c r="AR1044" i="9"/>
  <c r="AJ1044" i="9"/>
  <c r="AM1043" i="9"/>
  <c r="AP1042" i="9"/>
  <c r="AS1041" i="9"/>
  <c r="AK1041" i="9"/>
  <c r="AN1040" i="9"/>
  <c r="AQ1039" i="9"/>
  <c r="AI1039" i="9"/>
  <c r="AL1038" i="9"/>
  <c r="AO1037" i="9"/>
  <c r="AP1077" i="9"/>
  <c r="AM1070" i="9"/>
  <c r="AJ1063" i="9"/>
  <c r="AQ1058" i="9"/>
  <c r="AM1056" i="9"/>
  <c r="AP1055" i="9"/>
  <c r="AS1054" i="9"/>
  <c r="AK1054" i="9"/>
  <c r="AN1053" i="9"/>
  <c r="AQ1052" i="9"/>
  <c r="AI1052" i="9"/>
  <c r="AL1051" i="9"/>
  <c r="AO1050" i="9"/>
  <c r="AR1049" i="9"/>
  <c r="AJ1049" i="9"/>
  <c r="AM1048" i="9"/>
  <c r="AP1047" i="9"/>
  <c r="AS1046" i="9"/>
  <c r="AK1046" i="9"/>
  <c r="AN1045" i="9"/>
  <c r="AQ1044" i="9"/>
  <c r="AI1044" i="9"/>
  <c r="AL1043" i="9"/>
  <c r="AO1042" i="9"/>
  <c r="AR1041" i="9"/>
  <c r="AJ1041" i="9"/>
  <c r="AM1040" i="9"/>
  <c r="AP1039" i="9"/>
  <c r="AS1038" i="9"/>
  <c r="AK1038" i="9"/>
  <c r="AN1037" i="9"/>
  <c r="AR1079" i="9"/>
  <c r="AO1072" i="9"/>
  <c r="AL1065" i="9"/>
  <c r="AS1060" i="9"/>
  <c r="AI1058" i="9"/>
  <c r="AL1056" i="9"/>
  <c r="AO1055" i="9"/>
  <c r="AR1054" i="9"/>
  <c r="AJ1054" i="9"/>
  <c r="AM1053" i="9"/>
  <c r="AP1052" i="9"/>
  <c r="AS1051" i="9"/>
  <c r="AK1051" i="9"/>
  <c r="AN1050" i="9"/>
  <c r="AQ1049" i="9"/>
  <c r="AI1049" i="9"/>
  <c r="AL1048" i="9"/>
  <c r="AO1047" i="9"/>
  <c r="AR1046" i="9"/>
  <c r="AJ1046" i="9"/>
  <c r="AM1045" i="9"/>
  <c r="AP1044" i="9"/>
  <c r="AS1043" i="9"/>
  <c r="AK1043" i="9"/>
  <c r="AN1042" i="9"/>
  <c r="AQ1041" i="9"/>
  <c r="AI1041" i="9"/>
  <c r="AL1040" i="9"/>
  <c r="AO1039" i="9"/>
  <c r="AR1038" i="9"/>
  <c r="AJ1038" i="9"/>
  <c r="AQ1074" i="9"/>
  <c r="AI1054" i="9"/>
  <c r="AQ1053" i="9"/>
  <c r="AK1050" i="9"/>
  <c r="AP1049" i="9"/>
  <c r="AN1046" i="9"/>
  <c r="AR1045" i="9"/>
  <c r="AM1042" i="9"/>
  <c r="AK1039" i="9"/>
  <c r="AO1038" i="9"/>
  <c r="AI1037" i="9"/>
  <c r="AM1036" i="9"/>
  <c r="AS1035" i="9"/>
  <c r="AO1034" i="9"/>
  <c r="AN1033" i="9"/>
  <c r="AN1032" i="9"/>
  <c r="AQ1031" i="9"/>
  <c r="AI1031" i="9"/>
  <c r="AL1030" i="9"/>
  <c r="AO1029" i="9"/>
  <c r="AR1028" i="9"/>
  <c r="AJ1028" i="9"/>
  <c r="AM1027" i="9"/>
  <c r="AP1026" i="9"/>
  <c r="AS1025" i="9"/>
  <c r="AK1025" i="9"/>
  <c r="AN1024" i="9"/>
  <c r="AQ1023" i="9"/>
  <c r="AI1023" i="9"/>
  <c r="AL1022" i="9"/>
  <c r="AO1021" i="9"/>
  <c r="AR1020" i="9"/>
  <c r="AJ1020" i="9"/>
  <c r="AM1019" i="9"/>
  <c r="AP1018" i="9"/>
  <c r="AS1017" i="9"/>
  <c r="AK1017" i="9"/>
  <c r="AN1016" i="9"/>
  <c r="AQ1015" i="9"/>
  <c r="AI1015" i="9"/>
  <c r="AL1014" i="9"/>
  <c r="AQ1066" i="9"/>
  <c r="AK1056" i="9"/>
  <c r="AS1055" i="9"/>
  <c r="AI1053" i="9"/>
  <c r="AM1052" i="9"/>
  <c r="AR1051" i="9"/>
  <c r="AP1048" i="9"/>
  <c r="AJ1045" i="9"/>
  <c r="AO1044" i="9"/>
  <c r="AM1041" i="9"/>
  <c r="AQ1040" i="9"/>
  <c r="AR1037" i="9"/>
  <c r="AI1036" i="9"/>
  <c r="AO1035" i="9"/>
  <c r="AK1034" i="9"/>
  <c r="AK1033" i="9"/>
  <c r="AK1032" i="9"/>
  <c r="AN1031" i="9"/>
  <c r="AQ1030" i="9"/>
  <c r="AI1030" i="9"/>
  <c r="AL1029" i="9"/>
  <c r="AO1028" i="9"/>
  <c r="AR1027" i="9"/>
  <c r="AJ1027" i="9"/>
  <c r="AM1026" i="9"/>
  <c r="AP1025" i="9"/>
  <c r="AS1024" i="9"/>
  <c r="AK1024" i="9"/>
  <c r="AN1023" i="9"/>
  <c r="AQ1022" i="9"/>
  <c r="AI1022" i="9"/>
  <c r="AL1021" i="9"/>
  <c r="AO1020" i="9"/>
  <c r="AR1019" i="9"/>
  <c r="AJ1019" i="9"/>
  <c r="AM1018" i="9"/>
  <c r="AP1017" i="9"/>
  <c r="AM1078" i="9"/>
  <c r="AR1071" i="9"/>
  <c r="AN1059" i="9"/>
  <c r="AI1056" i="9"/>
  <c r="AN1055" i="9"/>
  <c r="AL1052" i="9"/>
  <c r="AP1051" i="9"/>
  <c r="AK1048" i="9"/>
  <c r="AS1047" i="9"/>
  <c r="AI1045" i="9"/>
  <c r="AM1044" i="9"/>
  <c r="AR1043" i="9"/>
  <c r="AP1040" i="9"/>
  <c r="AQ1037" i="9"/>
  <c r="AR1036" i="9"/>
  <c r="AM1035" i="9"/>
  <c r="AS1034" i="9"/>
  <c r="AJ1034" i="9"/>
  <c r="AS1033" i="9"/>
  <c r="AJ1033" i="9"/>
  <c r="AS1032" i="9"/>
  <c r="AJ1032" i="9"/>
  <c r="AM1031" i="9"/>
  <c r="AP1030" i="9"/>
  <c r="AS1029" i="9"/>
  <c r="AK1029" i="9"/>
  <c r="AN1028" i="9"/>
  <c r="AQ1027" i="9"/>
  <c r="AI1027" i="9"/>
  <c r="AL1026" i="9"/>
  <c r="AO1025" i="9"/>
  <c r="AR1024" i="9"/>
  <c r="AJ1024" i="9"/>
  <c r="AM1023" i="9"/>
  <c r="AP1022" i="9"/>
  <c r="AS1021" i="9"/>
  <c r="AK1021" i="9"/>
  <c r="AN1020" i="9"/>
  <c r="AJ1071" i="9"/>
  <c r="AO1064" i="9"/>
  <c r="AL1055" i="9"/>
  <c r="AQ1054" i="9"/>
  <c r="AO1051" i="9"/>
  <c r="AS1050" i="9"/>
  <c r="AI1048" i="9"/>
  <c r="AN1047" i="9"/>
  <c r="AL1044" i="9"/>
  <c r="AP1043" i="9"/>
  <c r="AK1040" i="9"/>
  <c r="AS1039" i="9"/>
  <c r="AM1037" i="9"/>
  <c r="AQ1036" i="9"/>
  <c r="AL1035" i="9"/>
  <c r="AR1034" i="9"/>
  <c r="AI1034" i="9"/>
  <c r="AR1033" i="9"/>
  <c r="AI1033" i="9"/>
  <c r="AQ1032" i="9"/>
  <c r="AI1032" i="9"/>
  <c r="AL1031" i="9"/>
  <c r="AO1030" i="9"/>
  <c r="AR1029" i="9"/>
  <c r="AJ1029" i="9"/>
  <c r="AM1028" i="9"/>
  <c r="AP1027" i="9"/>
  <c r="AS1026" i="9"/>
  <c r="AK1026" i="9"/>
  <c r="AN1025" i="9"/>
  <c r="AQ1024" i="9"/>
  <c r="AI1024" i="9"/>
  <c r="AL1023" i="9"/>
  <c r="AO1022" i="9"/>
  <c r="AR1021" i="9"/>
  <c r="AJ1021" i="9"/>
  <c r="AM1020" i="9"/>
  <c r="AK1076" i="9"/>
  <c r="AL1057" i="9"/>
  <c r="AK1055" i="9"/>
  <c r="AO1054" i="9"/>
  <c r="AJ1051" i="9"/>
  <c r="AR1050" i="9"/>
  <c r="AL1047" i="9"/>
  <c r="AQ1046" i="9"/>
  <c r="AO1043" i="9"/>
  <c r="AS1042" i="9"/>
  <c r="AI1040" i="9"/>
  <c r="AN1039" i="9"/>
  <c r="AL1037" i="9"/>
  <c r="AP1036" i="9"/>
  <c r="AK1035" i="9"/>
  <c r="AQ1034" i="9"/>
  <c r="AQ1033" i="9"/>
  <c r="AP1032" i="9"/>
  <c r="AS1031" i="9"/>
  <c r="AK1031" i="9"/>
  <c r="AN1030" i="9"/>
  <c r="AQ1029" i="9"/>
  <c r="AI1029" i="9"/>
  <c r="AL1028" i="9"/>
  <c r="AO1027" i="9"/>
  <c r="AR1026" i="9"/>
  <c r="AJ1026" i="9"/>
  <c r="AM1025" i="9"/>
  <c r="AP1024" i="9"/>
  <c r="AS1023" i="9"/>
  <c r="AK1023" i="9"/>
  <c r="AN1022" i="9"/>
  <c r="AQ1021" i="9"/>
  <c r="AI1021" i="9"/>
  <c r="AL1053" i="9"/>
  <c r="AM1049" i="9"/>
  <c r="AQ1038" i="9"/>
  <c r="AO1031" i="9"/>
  <c r="AS1030" i="9"/>
  <c r="AI1028" i="9"/>
  <c r="AN1027" i="9"/>
  <c r="AL1024" i="9"/>
  <c r="AP1023" i="9"/>
  <c r="AQ1020" i="9"/>
  <c r="AQ1019" i="9"/>
  <c r="AL1018" i="9"/>
  <c r="AR1017" i="9"/>
  <c r="AO1016" i="9"/>
  <c r="AN1015" i="9"/>
  <c r="AN1014" i="9"/>
  <c r="AP1013" i="9"/>
  <c r="AS1012" i="9"/>
  <c r="AK1012" i="9"/>
  <c r="AN1011" i="9"/>
  <c r="AQ1010" i="9"/>
  <c r="AI1010" i="9"/>
  <c r="AL1009" i="9"/>
  <c r="AO1008" i="9"/>
  <c r="AR1007" i="9"/>
  <c r="AJ1007" i="9"/>
  <c r="AM1006" i="9"/>
  <c r="AP1005" i="9"/>
  <c r="AS1004" i="9"/>
  <c r="AK1004" i="9"/>
  <c r="AN1003" i="9"/>
  <c r="AQ1002" i="9"/>
  <c r="AI1002" i="9"/>
  <c r="AL1001" i="9"/>
  <c r="AO1000" i="9"/>
  <c r="AR999" i="9"/>
  <c r="AJ999" i="9"/>
  <c r="AM998" i="9"/>
  <c r="AJ1057" i="9"/>
  <c r="AM1050" i="9"/>
  <c r="AQ1048" i="9"/>
  <c r="AI1046" i="9"/>
  <c r="AJ1042" i="9"/>
  <c r="AR1035" i="9"/>
  <c r="AP1034" i="9"/>
  <c r="AK1030" i="9"/>
  <c r="AP1029" i="9"/>
  <c r="AN1026" i="9"/>
  <c r="AR1025" i="9"/>
  <c r="AM1022" i="9"/>
  <c r="AK1020" i="9"/>
  <c r="AN1019" i="9"/>
  <c r="AS1018" i="9"/>
  <c r="AI1018" i="9"/>
  <c r="AN1017" i="9"/>
  <c r="AK1016" i="9"/>
  <c r="AK1015" i="9"/>
  <c r="AS1014" i="9"/>
  <c r="AJ1014" i="9"/>
  <c r="AM1013" i="9"/>
  <c r="AP1012" i="9"/>
  <c r="AS1011" i="9"/>
  <c r="AK1011" i="9"/>
  <c r="AN1010" i="9"/>
  <c r="AQ1009" i="9"/>
  <c r="AI1009" i="9"/>
  <c r="AL1008" i="9"/>
  <c r="AO1007" i="9"/>
  <c r="AR1006" i="9"/>
  <c r="AJ1006" i="9"/>
  <c r="AM1005" i="9"/>
  <c r="AP1004" i="9"/>
  <c r="AS1003" i="9"/>
  <c r="AK1003" i="9"/>
  <c r="AN1002" i="9"/>
  <c r="AQ1001" i="9"/>
  <c r="AI1001" i="9"/>
  <c r="AN1054" i="9"/>
  <c r="AO1052" i="9"/>
  <c r="AJ1050" i="9"/>
  <c r="AO1036" i="9"/>
  <c r="AP1035" i="9"/>
  <c r="AN1034" i="9"/>
  <c r="AP1033" i="9"/>
  <c r="AJ1030" i="9"/>
  <c r="AN1029" i="9"/>
  <c r="AS1028" i="9"/>
  <c r="AI1026" i="9"/>
  <c r="AQ1025" i="9"/>
  <c r="AK1022" i="9"/>
  <c r="AP1021" i="9"/>
  <c r="AI1020" i="9"/>
  <c r="AL1019" i="9"/>
  <c r="AR1018" i="9"/>
  <c r="AM1017" i="9"/>
  <c r="AS1016" i="9"/>
  <c r="AJ1016" i="9"/>
  <c r="AS1015" i="9"/>
  <c r="AJ1015" i="9"/>
  <c r="AR1014" i="9"/>
  <c r="AI1014" i="9"/>
  <c r="AL1013" i="9"/>
  <c r="AO1012" i="9"/>
  <c r="AR1011" i="9"/>
  <c r="AJ1011" i="9"/>
  <c r="AM1010" i="9"/>
  <c r="AP1009" i="9"/>
  <c r="AS1008" i="9"/>
  <c r="AK1008" i="9"/>
  <c r="AN1007" i="9"/>
  <c r="AQ1006" i="9"/>
  <c r="AI1006" i="9"/>
  <c r="AL1005" i="9"/>
  <c r="AO1004" i="9"/>
  <c r="AR1003" i="9"/>
  <c r="AR1056" i="9"/>
  <c r="AP1041" i="9"/>
  <c r="AL1039" i="9"/>
  <c r="AL1036" i="9"/>
  <c r="AJ1035" i="9"/>
  <c r="AM1034" i="9"/>
  <c r="AM1033" i="9"/>
  <c r="AO1032" i="9"/>
  <c r="AM1029" i="9"/>
  <c r="AQ1028" i="9"/>
  <c r="AL1025" i="9"/>
  <c r="AJ1022" i="9"/>
  <c r="AN1021" i="9"/>
  <c r="AK1019" i="9"/>
  <c r="AQ1018" i="9"/>
  <c r="AL1017" i="9"/>
  <c r="AR1016" i="9"/>
  <c r="AI1016" i="9"/>
  <c r="AR1015" i="9"/>
  <c r="AQ1014" i="9"/>
  <c r="AS1013" i="9"/>
  <c r="AK1013" i="9"/>
  <c r="AN1012" i="9"/>
  <c r="AQ1011" i="9"/>
  <c r="AI1011" i="9"/>
  <c r="AL1010" i="9"/>
  <c r="AO1009" i="9"/>
  <c r="AR1008" i="9"/>
  <c r="AJ1008" i="9"/>
  <c r="AM1007" i="9"/>
  <c r="AP1006" i="9"/>
  <c r="AS1005" i="9"/>
  <c r="AK1005" i="9"/>
  <c r="AN1004" i="9"/>
  <c r="AQ1003" i="9"/>
  <c r="AI1003" i="9"/>
  <c r="AN1067" i="9"/>
  <c r="AQ1045" i="9"/>
  <c r="AJ1043" i="9"/>
  <c r="AN1041" i="9"/>
  <c r="AJ1037" i="9"/>
  <c r="AJ1036" i="9"/>
  <c r="AL1033" i="9"/>
  <c r="AM1032" i="9"/>
  <c r="AR1031" i="9"/>
  <c r="AP1028" i="9"/>
  <c r="AJ1025" i="9"/>
  <c r="AO1024" i="9"/>
  <c r="AM1021" i="9"/>
  <c r="AI1019" i="9"/>
  <c r="AO1018" i="9"/>
  <c r="AJ1017" i="9"/>
  <c r="AQ1016" i="9"/>
  <c r="AP1015" i="9"/>
  <c r="AP1014" i="9"/>
  <c r="AR1013" i="9"/>
  <c r="AJ1013" i="9"/>
  <c r="AM1012" i="9"/>
  <c r="AP1011" i="9"/>
  <c r="AS1010" i="9"/>
  <c r="AK1010" i="9"/>
  <c r="AN1009" i="9"/>
  <c r="AQ1008" i="9"/>
  <c r="AI1008" i="9"/>
  <c r="AL1007" i="9"/>
  <c r="AO1006" i="9"/>
  <c r="AR1005" i="9"/>
  <c r="AJ1005" i="9"/>
  <c r="AM1004" i="9"/>
  <c r="AJ1079" i="9"/>
  <c r="AR1053" i="9"/>
  <c r="AS1048" i="9"/>
  <c r="AR1042" i="9"/>
  <c r="AR1023" i="9"/>
  <c r="AI1013" i="9"/>
  <c r="AQ1012" i="9"/>
  <c r="AK1009" i="9"/>
  <c r="AP1008" i="9"/>
  <c r="AN1005" i="9"/>
  <c r="AR1004" i="9"/>
  <c r="AJ1003" i="9"/>
  <c r="AO1002" i="9"/>
  <c r="AJ1001" i="9"/>
  <c r="AP1000" i="9"/>
  <c r="AO999" i="9"/>
  <c r="AO998" i="9"/>
  <c r="AP997" i="9"/>
  <c r="AS996" i="9"/>
  <c r="AK996" i="9"/>
  <c r="AN995" i="9"/>
  <c r="AQ994" i="9"/>
  <c r="AI994" i="9"/>
  <c r="AL993" i="9"/>
  <c r="AO992" i="9"/>
  <c r="AR991" i="9"/>
  <c r="AJ991" i="9"/>
  <c r="AM990" i="9"/>
  <c r="AP989" i="9"/>
  <c r="AS988" i="9"/>
  <c r="AK988" i="9"/>
  <c r="AN987" i="9"/>
  <c r="AQ986" i="9"/>
  <c r="AI986" i="9"/>
  <c r="AL985" i="9"/>
  <c r="AO984" i="9"/>
  <c r="AR983" i="9"/>
  <c r="AJ983" i="9"/>
  <c r="AM982" i="9"/>
  <c r="AP981" i="9"/>
  <c r="AS980" i="9"/>
  <c r="AO1046" i="9"/>
  <c r="AS1040" i="9"/>
  <c r="AJ1031" i="9"/>
  <c r="AK1027" i="9"/>
  <c r="AP1019" i="9"/>
  <c r="AN1018" i="9"/>
  <c r="AO1017" i="9"/>
  <c r="AM1016" i="9"/>
  <c r="AO1015" i="9"/>
  <c r="AI1012" i="9"/>
  <c r="AM1011" i="9"/>
  <c r="AR1010" i="9"/>
  <c r="AP1007" i="9"/>
  <c r="AJ1004" i="9"/>
  <c r="AK1002" i="9"/>
  <c r="AP1001" i="9"/>
  <c r="AL1000" i="9"/>
  <c r="AL999" i="9"/>
  <c r="AK998" i="9"/>
  <c r="AM997" i="9"/>
  <c r="AP996" i="9"/>
  <c r="AS995" i="9"/>
  <c r="AK995" i="9"/>
  <c r="AN994" i="9"/>
  <c r="AQ993" i="9"/>
  <c r="AI993" i="9"/>
  <c r="AL992" i="9"/>
  <c r="AO991" i="9"/>
  <c r="AR990" i="9"/>
  <c r="AJ990" i="9"/>
  <c r="AM989" i="9"/>
  <c r="AP988" i="9"/>
  <c r="AS987" i="9"/>
  <c r="AK987" i="9"/>
  <c r="AN986" i="9"/>
  <c r="AQ985" i="9"/>
  <c r="AI985" i="9"/>
  <c r="AL984" i="9"/>
  <c r="AO983" i="9"/>
  <c r="AR982" i="9"/>
  <c r="AK1060" i="9"/>
  <c r="AL1045" i="9"/>
  <c r="AS1022" i="9"/>
  <c r="AS1020" i="9"/>
  <c r="AO1019" i="9"/>
  <c r="AK1018" i="9"/>
  <c r="AI1017" i="9"/>
  <c r="AL1016" i="9"/>
  <c r="AM1015" i="9"/>
  <c r="AO1014" i="9"/>
  <c r="AL1011" i="9"/>
  <c r="AP1010" i="9"/>
  <c r="AK1007" i="9"/>
  <c r="AS1006" i="9"/>
  <c r="AI1004" i="9"/>
  <c r="AP1003" i="9"/>
  <c r="AJ1002" i="9"/>
  <c r="AO1001" i="9"/>
  <c r="AK1000" i="9"/>
  <c r="AK999" i="9"/>
  <c r="AS998" i="9"/>
  <c r="AJ998" i="9"/>
  <c r="AL997" i="9"/>
  <c r="AO996" i="9"/>
  <c r="AR995" i="9"/>
  <c r="AJ995" i="9"/>
  <c r="AM994" i="9"/>
  <c r="AP993" i="9"/>
  <c r="AS992" i="9"/>
  <c r="AK992" i="9"/>
  <c r="AN991" i="9"/>
  <c r="AQ990" i="9"/>
  <c r="AI990" i="9"/>
  <c r="AL989" i="9"/>
  <c r="AO988" i="9"/>
  <c r="AR987" i="9"/>
  <c r="AJ987" i="9"/>
  <c r="AM986" i="9"/>
  <c r="AP985" i="9"/>
  <c r="AS984" i="9"/>
  <c r="AK984" i="9"/>
  <c r="AQ1026" i="9"/>
  <c r="AM1024" i="9"/>
  <c r="AR1022" i="9"/>
  <c r="AP1020" i="9"/>
  <c r="AJ1018" i="9"/>
  <c r="AL1015" i="9"/>
  <c r="AM1014" i="9"/>
  <c r="AQ1013" i="9"/>
  <c r="AO1010" i="9"/>
  <c r="AS1009" i="9"/>
  <c r="AI1007" i="9"/>
  <c r="AN1006" i="9"/>
  <c r="AO1003" i="9"/>
  <c r="AS1002" i="9"/>
  <c r="AN1001" i="9"/>
  <c r="AS1000" i="9"/>
  <c r="AJ1000" i="9"/>
  <c r="AS999" i="9"/>
  <c r="AI999" i="9"/>
  <c r="AR998" i="9"/>
  <c r="AI998" i="9"/>
  <c r="AS997" i="9"/>
  <c r="AK997" i="9"/>
  <c r="AN996" i="9"/>
  <c r="AQ995" i="9"/>
  <c r="AI995" i="9"/>
  <c r="AL994" i="9"/>
  <c r="AO993" i="9"/>
  <c r="AR992" i="9"/>
  <c r="AJ992" i="9"/>
  <c r="AM991" i="9"/>
  <c r="AP990" i="9"/>
  <c r="AS989" i="9"/>
  <c r="AK989" i="9"/>
  <c r="AN988" i="9"/>
  <c r="AQ987" i="9"/>
  <c r="AI987" i="9"/>
  <c r="AL986" i="9"/>
  <c r="AO985" i="9"/>
  <c r="AN1049" i="9"/>
  <c r="AN1038" i="9"/>
  <c r="AR1030" i="9"/>
  <c r="AK1028" i="9"/>
  <c r="AO1026" i="9"/>
  <c r="AL1020" i="9"/>
  <c r="AK1014" i="9"/>
  <c r="AO1013" i="9"/>
  <c r="AJ1010" i="9"/>
  <c r="AR1009" i="9"/>
  <c r="AL1006" i="9"/>
  <c r="AQ1005" i="9"/>
  <c r="AM1003" i="9"/>
  <c r="AR1002" i="9"/>
  <c r="AM1001" i="9"/>
  <c r="AR1000" i="9"/>
  <c r="AI1000" i="9"/>
  <c r="AQ999" i="9"/>
  <c r="AQ998" i="9"/>
  <c r="AR997" i="9"/>
  <c r="AJ997" i="9"/>
  <c r="AM996" i="9"/>
  <c r="AP995" i="9"/>
  <c r="AS994" i="9"/>
  <c r="AK994" i="9"/>
  <c r="AN993" i="9"/>
  <c r="AQ992" i="9"/>
  <c r="AI992" i="9"/>
  <c r="AL991" i="9"/>
  <c r="AO990" i="9"/>
  <c r="AR989" i="9"/>
  <c r="AJ989" i="9"/>
  <c r="AM988" i="9"/>
  <c r="AP987" i="9"/>
  <c r="AS986" i="9"/>
  <c r="AS1027" i="9"/>
  <c r="AN1013" i="9"/>
  <c r="AO1011" i="9"/>
  <c r="AJ1009" i="9"/>
  <c r="AL998" i="9"/>
  <c r="AO997" i="9"/>
  <c r="AJ994" i="9"/>
  <c r="AR993" i="9"/>
  <c r="AL990" i="9"/>
  <c r="AQ989" i="9"/>
  <c r="AO986" i="9"/>
  <c r="AJ985" i="9"/>
  <c r="AI984" i="9"/>
  <c r="AL983" i="9"/>
  <c r="AQ982" i="9"/>
  <c r="AQ981" i="9"/>
  <c r="AP980" i="9"/>
  <c r="AS979" i="9"/>
  <c r="AK979" i="9"/>
  <c r="AN978" i="9"/>
  <c r="AQ977" i="9"/>
  <c r="AI977" i="9"/>
  <c r="AL976" i="9"/>
  <c r="AO975" i="9"/>
  <c r="AR974" i="9"/>
  <c r="AJ974" i="9"/>
  <c r="AM973" i="9"/>
  <c r="AP972" i="9"/>
  <c r="AS971" i="9"/>
  <c r="AK971" i="9"/>
  <c r="AN970" i="9"/>
  <c r="AQ969" i="9"/>
  <c r="AI969" i="9"/>
  <c r="AL968" i="9"/>
  <c r="AO967" i="9"/>
  <c r="AR966" i="9"/>
  <c r="AJ966" i="9"/>
  <c r="AM965" i="9"/>
  <c r="AP964" i="9"/>
  <c r="AS963" i="9"/>
  <c r="AK963" i="9"/>
  <c r="AN962" i="9"/>
  <c r="AQ961" i="9"/>
  <c r="AI961" i="9"/>
  <c r="AL960" i="9"/>
  <c r="AO959" i="9"/>
  <c r="AR958" i="9"/>
  <c r="AJ958" i="9"/>
  <c r="AM957" i="9"/>
  <c r="AP956" i="9"/>
  <c r="AS955" i="9"/>
  <c r="AK955" i="9"/>
  <c r="AN954" i="9"/>
  <c r="AQ953" i="9"/>
  <c r="AI953" i="9"/>
  <c r="AL952" i="9"/>
  <c r="AO951" i="9"/>
  <c r="AR950" i="9"/>
  <c r="AJ950" i="9"/>
  <c r="AM949" i="9"/>
  <c r="AP948" i="9"/>
  <c r="AS947" i="9"/>
  <c r="AK947" i="9"/>
  <c r="AN946" i="9"/>
  <c r="AQ945" i="9"/>
  <c r="AI945" i="9"/>
  <c r="AL944" i="9"/>
  <c r="AK1042" i="9"/>
  <c r="AL1032" i="9"/>
  <c r="AL1027" i="9"/>
  <c r="AN997" i="9"/>
  <c r="AR996" i="9"/>
  <c r="AM993" i="9"/>
  <c r="AK990" i="9"/>
  <c r="AO989" i="9"/>
  <c r="AK986" i="9"/>
  <c r="AK983" i="9"/>
  <c r="AP982" i="9"/>
  <c r="AO981" i="9"/>
  <c r="AO980" i="9"/>
  <c r="AQ1004" i="9"/>
  <c r="AI997" i="9"/>
  <c r="AQ996" i="9"/>
  <c r="AK993" i="9"/>
  <c r="AP992" i="9"/>
  <c r="AN989" i="9"/>
  <c r="AR988" i="9"/>
  <c r="AJ986" i="9"/>
  <c r="AR984" i="9"/>
  <c r="AI983" i="9"/>
  <c r="AO982" i="9"/>
  <c r="AN981" i="9"/>
  <c r="AN980" i="9"/>
  <c r="AJ1053" i="9"/>
  <c r="AI1038" i="9"/>
  <c r="AP1031" i="9"/>
  <c r="AQ1017" i="9"/>
  <c r="AR1012" i="9"/>
  <c r="AN1008" i="9"/>
  <c r="AK1006" i="9"/>
  <c r="AL1004" i="9"/>
  <c r="AL996" i="9"/>
  <c r="AJ993" i="9"/>
  <c r="AN992" i="9"/>
  <c r="AS991" i="9"/>
  <c r="AI989" i="9"/>
  <c r="AQ988" i="9"/>
  <c r="AS985" i="9"/>
  <c r="AQ984" i="9"/>
  <c r="AS983" i="9"/>
  <c r="AN982" i="9"/>
  <c r="AM981" i="9"/>
  <c r="AM980" i="9"/>
  <c r="AP979" i="9"/>
  <c r="AS978" i="9"/>
  <c r="AK978" i="9"/>
  <c r="AN977" i="9"/>
  <c r="AQ976" i="9"/>
  <c r="AI976" i="9"/>
  <c r="AL975" i="9"/>
  <c r="AO974" i="9"/>
  <c r="AR973" i="9"/>
  <c r="AJ973" i="9"/>
  <c r="AM972" i="9"/>
  <c r="AP971" i="9"/>
  <c r="AS970" i="9"/>
  <c r="AK970" i="9"/>
  <c r="AN969" i="9"/>
  <c r="AQ968" i="9"/>
  <c r="AI968" i="9"/>
  <c r="AL967" i="9"/>
  <c r="AO966" i="9"/>
  <c r="AR965" i="9"/>
  <c r="AJ965" i="9"/>
  <c r="AM964" i="9"/>
  <c r="AP963" i="9"/>
  <c r="AS962" i="9"/>
  <c r="AK962" i="9"/>
  <c r="AN961" i="9"/>
  <c r="AQ960" i="9"/>
  <c r="AI960" i="9"/>
  <c r="AL959" i="9"/>
  <c r="AO958" i="9"/>
  <c r="AR957" i="9"/>
  <c r="AJ957" i="9"/>
  <c r="AM956" i="9"/>
  <c r="AP955" i="9"/>
  <c r="AS954" i="9"/>
  <c r="AK954" i="9"/>
  <c r="AN953" i="9"/>
  <c r="AQ952" i="9"/>
  <c r="AI952" i="9"/>
  <c r="AL951" i="9"/>
  <c r="AO950" i="9"/>
  <c r="AR949" i="9"/>
  <c r="AJ949" i="9"/>
  <c r="AM948" i="9"/>
  <c r="AP947" i="9"/>
  <c r="AS946" i="9"/>
  <c r="AK946" i="9"/>
  <c r="AN945" i="9"/>
  <c r="AQ944" i="9"/>
  <c r="AI944" i="9"/>
  <c r="AM1030" i="9"/>
  <c r="AI1025" i="9"/>
  <c r="AL1012" i="9"/>
  <c r="AM1008" i="9"/>
  <c r="AS1001" i="9"/>
  <c r="AQ1000" i="9"/>
  <c r="AJ996" i="9"/>
  <c r="AO995" i="9"/>
  <c r="AM992" i="9"/>
  <c r="AQ991" i="9"/>
  <c r="AL988" i="9"/>
  <c r="AR985" i="9"/>
  <c r="AP984" i="9"/>
  <c r="AQ983" i="9"/>
  <c r="AL982" i="9"/>
  <c r="AL981" i="9"/>
  <c r="AL980" i="9"/>
  <c r="AO979" i="9"/>
  <c r="AR978" i="9"/>
  <c r="AJ978" i="9"/>
  <c r="AM977" i="9"/>
  <c r="AP976" i="9"/>
  <c r="AS975" i="9"/>
  <c r="AK975" i="9"/>
  <c r="AN974" i="9"/>
  <c r="AQ973" i="9"/>
  <c r="AI973" i="9"/>
  <c r="AL972" i="9"/>
  <c r="AO971" i="9"/>
  <c r="AR970" i="9"/>
  <c r="AJ970" i="9"/>
  <c r="AM969" i="9"/>
  <c r="AP968" i="9"/>
  <c r="AS967" i="9"/>
  <c r="AK967" i="9"/>
  <c r="AN966" i="9"/>
  <c r="AQ965" i="9"/>
  <c r="AI965" i="9"/>
  <c r="AL964" i="9"/>
  <c r="AO963" i="9"/>
  <c r="AR962" i="9"/>
  <c r="AJ962" i="9"/>
  <c r="AM961" i="9"/>
  <c r="AP960" i="9"/>
  <c r="AS959" i="9"/>
  <c r="AK959" i="9"/>
  <c r="AN958" i="9"/>
  <c r="AQ957" i="9"/>
  <c r="AI957" i="9"/>
  <c r="AL956" i="9"/>
  <c r="AO955" i="9"/>
  <c r="AR954" i="9"/>
  <c r="AJ954" i="9"/>
  <c r="AM953" i="9"/>
  <c r="AP952" i="9"/>
  <c r="AS951" i="9"/>
  <c r="AK951" i="9"/>
  <c r="AN950" i="9"/>
  <c r="AQ949" i="9"/>
  <c r="AI949" i="9"/>
  <c r="AL948" i="9"/>
  <c r="AO947" i="9"/>
  <c r="AR946" i="9"/>
  <c r="AJ946" i="9"/>
  <c r="AS1019" i="9"/>
  <c r="AJ1012" i="9"/>
  <c r="AP1002" i="9"/>
  <c r="AR1001" i="9"/>
  <c r="AN1000" i="9"/>
  <c r="AP999" i="9"/>
  <c r="AI996" i="9"/>
  <c r="AM995" i="9"/>
  <c r="AR994" i="9"/>
  <c r="AP991" i="9"/>
  <c r="AJ988" i="9"/>
  <c r="AO987" i="9"/>
  <c r="AN985" i="9"/>
  <c r="AN984" i="9"/>
  <c r="AP983" i="9"/>
  <c r="AK982" i="9"/>
  <c r="AK981" i="9"/>
  <c r="AK980" i="9"/>
  <c r="AN979" i="9"/>
  <c r="AQ978" i="9"/>
  <c r="AI978" i="9"/>
  <c r="AL977" i="9"/>
  <c r="AO976" i="9"/>
  <c r="AR975" i="9"/>
  <c r="AJ975" i="9"/>
  <c r="AM974" i="9"/>
  <c r="AP973" i="9"/>
  <c r="AS972" i="9"/>
  <c r="AK972" i="9"/>
  <c r="AN971" i="9"/>
  <c r="AQ970" i="9"/>
  <c r="AI970" i="9"/>
  <c r="AL969" i="9"/>
  <c r="AO968" i="9"/>
  <c r="AR967" i="9"/>
  <c r="AJ967" i="9"/>
  <c r="AM966" i="9"/>
  <c r="AP965" i="9"/>
  <c r="AS964" i="9"/>
  <c r="AK964" i="9"/>
  <c r="AN963" i="9"/>
  <c r="AQ962" i="9"/>
  <c r="AI962" i="9"/>
  <c r="AL961" i="9"/>
  <c r="AO960" i="9"/>
  <c r="AR959" i="9"/>
  <c r="AJ959" i="9"/>
  <c r="AM958" i="9"/>
  <c r="AP957" i="9"/>
  <c r="AS956" i="9"/>
  <c r="AK956" i="9"/>
  <c r="AN955" i="9"/>
  <c r="AQ954" i="9"/>
  <c r="AI954" i="9"/>
  <c r="AL953" i="9"/>
  <c r="AO952" i="9"/>
  <c r="AR951" i="9"/>
  <c r="AJ951" i="9"/>
  <c r="AM950" i="9"/>
  <c r="AP949" i="9"/>
  <c r="AS948" i="9"/>
  <c r="AK948" i="9"/>
  <c r="AN947" i="9"/>
  <c r="AQ946" i="9"/>
  <c r="AI946" i="9"/>
  <c r="AL945" i="9"/>
  <c r="AO944" i="9"/>
  <c r="AK1047" i="9"/>
  <c r="AO1023" i="9"/>
  <c r="AP1016" i="9"/>
  <c r="AS1007" i="9"/>
  <c r="AO1005" i="9"/>
  <c r="AM1002" i="9"/>
  <c r="AK1001" i="9"/>
  <c r="AM1000" i="9"/>
  <c r="AN999" i="9"/>
  <c r="AP998" i="9"/>
  <c r="AL995" i="9"/>
  <c r="AP994" i="9"/>
  <c r="AK991" i="9"/>
  <c r="AS990" i="9"/>
  <c r="AI988" i="9"/>
  <c r="AM987" i="9"/>
  <c r="AR986" i="9"/>
  <c r="AM985" i="9"/>
  <c r="AM984" i="9"/>
  <c r="AN983" i="9"/>
  <c r="AJ982" i="9"/>
  <c r="AS981" i="9"/>
  <c r="AJ981" i="9"/>
  <c r="AR980" i="9"/>
  <c r="AJ980" i="9"/>
  <c r="AM979" i="9"/>
  <c r="AP978" i="9"/>
  <c r="AS977" i="9"/>
  <c r="AK977" i="9"/>
  <c r="AN976" i="9"/>
  <c r="AQ975" i="9"/>
  <c r="AI975" i="9"/>
  <c r="AL974" i="9"/>
  <c r="AO973" i="9"/>
  <c r="AR972" i="9"/>
  <c r="AJ972" i="9"/>
  <c r="AM971" i="9"/>
  <c r="AP970" i="9"/>
  <c r="AS969" i="9"/>
  <c r="AK969" i="9"/>
  <c r="AN968" i="9"/>
  <c r="AQ967" i="9"/>
  <c r="AI967" i="9"/>
  <c r="AL966" i="9"/>
  <c r="AO965" i="9"/>
  <c r="AR964" i="9"/>
  <c r="AJ964" i="9"/>
  <c r="AM963" i="9"/>
  <c r="AP962" i="9"/>
  <c r="AS961" i="9"/>
  <c r="AK961" i="9"/>
  <c r="AN960" i="9"/>
  <c r="AQ959" i="9"/>
  <c r="AI959" i="9"/>
  <c r="AL958" i="9"/>
  <c r="AO957" i="9"/>
  <c r="AR956" i="9"/>
  <c r="AJ956" i="9"/>
  <c r="AM955" i="9"/>
  <c r="AP954" i="9"/>
  <c r="AS953" i="9"/>
  <c r="AK953" i="9"/>
  <c r="AN952" i="9"/>
  <c r="AQ951" i="9"/>
  <c r="AI951" i="9"/>
  <c r="AL950" i="9"/>
  <c r="AO949" i="9"/>
  <c r="AR948" i="9"/>
  <c r="AJ948" i="9"/>
  <c r="AM947" i="9"/>
  <c r="AP946" i="9"/>
  <c r="AS945" i="9"/>
  <c r="AK945" i="9"/>
  <c r="AM1009" i="9"/>
  <c r="AN998" i="9"/>
  <c r="AI982" i="9"/>
  <c r="AL978" i="9"/>
  <c r="AP977" i="9"/>
  <c r="AK974" i="9"/>
  <c r="AS973" i="9"/>
  <c r="AI971" i="9"/>
  <c r="AM970" i="9"/>
  <c r="AR969" i="9"/>
  <c r="AP966" i="9"/>
  <c r="AJ963" i="9"/>
  <c r="AO962" i="9"/>
  <c r="AM959" i="9"/>
  <c r="AQ958" i="9"/>
  <c r="AL955" i="9"/>
  <c r="AJ952" i="9"/>
  <c r="AN951" i="9"/>
  <c r="AS950" i="9"/>
  <c r="AI948" i="9"/>
  <c r="AQ947" i="9"/>
  <c r="AQ943" i="9"/>
  <c r="AI943" i="9"/>
  <c r="AI1005" i="9"/>
  <c r="AN990" i="9"/>
  <c r="AR981" i="9"/>
  <c r="AJ977" i="9"/>
  <c r="AR976" i="9"/>
  <c r="AL973" i="9"/>
  <c r="AQ972" i="9"/>
  <c r="AO969" i="9"/>
  <c r="AS968" i="9"/>
  <c r="AI966" i="9"/>
  <c r="AN965" i="9"/>
  <c r="AL962" i="9"/>
  <c r="AP961" i="9"/>
  <c r="AK958" i="9"/>
  <c r="AS957" i="9"/>
  <c r="AI955" i="9"/>
  <c r="AM954" i="9"/>
  <c r="AR953" i="9"/>
  <c r="AP950" i="9"/>
  <c r="AJ947" i="9"/>
  <c r="AO946" i="9"/>
  <c r="AR944" i="9"/>
  <c r="AO943" i="9"/>
  <c r="AR942" i="9"/>
  <c r="AJ1023" i="9"/>
  <c r="AL1002" i="9"/>
  <c r="AQ979" i="9"/>
  <c r="AK976" i="9"/>
  <c r="AP975" i="9"/>
  <c r="AN972" i="9"/>
  <c r="AR971" i="9"/>
  <c r="AM968" i="9"/>
  <c r="AK965" i="9"/>
  <c r="AO964" i="9"/>
  <c r="AJ961" i="9"/>
  <c r="AR960" i="9"/>
  <c r="AL957" i="9"/>
  <c r="AQ956" i="9"/>
  <c r="AO953" i="9"/>
  <c r="AS952" i="9"/>
  <c r="AI950" i="9"/>
  <c r="AN949" i="9"/>
  <c r="AL946" i="9"/>
  <c r="AP945" i="9"/>
  <c r="AN944" i="9"/>
  <c r="AM943" i="9"/>
  <c r="AP942" i="9"/>
  <c r="AS941" i="9"/>
  <c r="AK941" i="9"/>
  <c r="AN940" i="9"/>
  <c r="AQ939" i="9"/>
  <c r="AI939" i="9"/>
  <c r="AL938" i="9"/>
  <c r="AO937" i="9"/>
  <c r="AR936" i="9"/>
  <c r="AJ936" i="9"/>
  <c r="AM935" i="9"/>
  <c r="AP934" i="9"/>
  <c r="AS933" i="9"/>
  <c r="AK933" i="9"/>
  <c r="AN932" i="9"/>
  <c r="AQ931" i="9"/>
  <c r="AI931" i="9"/>
  <c r="AL930" i="9"/>
  <c r="AO929" i="9"/>
  <c r="AR928" i="9"/>
  <c r="AJ928" i="9"/>
  <c r="AM927" i="9"/>
  <c r="AP926" i="9"/>
  <c r="AS925" i="9"/>
  <c r="AK925" i="9"/>
  <c r="AN924" i="9"/>
  <c r="AQ923" i="9"/>
  <c r="AI923" i="9"/>
  <c r="AL922" i="9"/>
  <c r="AO921" i="9"/>
  <c r="AR920" i="9"/>
  <c r="AJ920" i="9"/>
  <c r="AM919" i="9"/>
  <c r="AP918" i="9"/>
  <c r="AS917" i="9"/>
  <c r="AK917" i="9"/>
  <c r="AN916" i="9"/>
  <c r="AQ915" i="9"/>
  <c r="AI915" i="9"/>
  <c r="AL914" i="9"/>
  <c r="AO913" i="9"/>
  <c r="AR912" i="9"/>
  <c r="AJ912" i="9"/>
  <c r="AM911" i="9"/>
  <c r="AP910" i="9"/>
  <c r="AS909" i="9"/>
  <c r="AK909" i="9"/>
  <c r="AO994" i="9"/>
  <c r="AM983" i="9"/>
  <c r="AQ980" i="9"/>
  <c r="AL979" i="9"/>
  <c r="AJ976" i="9"/>
  <c r="AN975" i="9"/>
  <c r="AS974" i="9"/>
  <c r="AI972" i="9"/>
  <c r="AQ971" i="9"/>
  <c r="AK968" i="9"/>
  <c r="AP967" i="9"/>
  <c r="AN964" i="9"/>
  <c r="AR963" i="9"/>
  <c r="AM960" i="9"/>
  <c r="AK957" i="9"/>
  <c r="AO956" i="9"/>
  <c r="AJ953" i="9"/>
  <c r="AR952" i="9"/>
  <c r="AL949" i="9"/>
  <c r="AQ948" i="9"/>
  <c r="AO945" i="9"/>
  <c r="AM944" i="9"/>
  <c r="AL943" i="9"/>
  <c r="AO942" i="9"/>
  <c r="AR941" i="9"/>
  <c r="AJ941" i="9"/>
  <c r="AM940" i="9"/>
  <c r="AP939" i="9"/>
  <c r="AS938" i="9"/>
  <c r="AK938" i="9"/>
  <c r="AN937" i="9"/>
  <c r="AQ936" i="9"/>
  <c r="AI936" i="9"/>
  <c r="AL935" i="9"/>
  <c r="AO934" i="9"/>
  <c r="AR933" i="9"/>
  <c r="AJ933" i="9"/>
  <c r="AM932" i="9"/>
  <c r="AP931" i="9"/>
  <c r="AS930" i="9"/>
  <c r="AK930" i="9"/>
  <c r="AN929" i="9"/>
  <c r="AQ928" i="9"/>
  <c r="AI928" i="9"/>
  <c r="AL927" i="9"/>
  <c r="AO926" i="9"/>
  <c r="AR925" i="9"/>
  <c r="AJ925" i="9"/>
  <c r="AM924" i="9"/>
  <c r="AP923" i="9"/>
  <c r="AS922" i="9"/>
  <c r="AK922" i="9"/>
  <c r="AN921" i="9"/>
  <c r="AQ920" i="9"/>
  <c r="AI920" i="9"/>
  <c r="AL919" i="9"/>
  <c r="AO918" i="9"/>
  <c r="AR917" i="9"/>
  <c r="AJ917" i="9"/>
  <c r="AM916" i="9"/>
  <c r="AP915" i="9"/>
  <c r="AS914" i="9"/>
  <c r="AK914" i="9"/>
  <c r="AN913" i="9"/>
  <c r="AQ912" i="9"/>
  <c r="AI912" i="9"/>
  <c r="AL911" i="9"/>
  <c r="AO910" i="9"/>
  <c r="AR909" i="9"/>
  <c r="AJ909" i="9"/>
  <c r="AS993" i="9"/>
  <c r="AL987" i="9"/>
  <c r="AI980" i="9"/>
  <c r="AJ979" i="9"/>
  <c r="AO978" i="9"/>
  <c r="AM975" i="9"/>
  <c r="AQ974" i="9"/>
  <c r="AL971" i="9"/>
  <c r="AJ968" i="9"/>
  <c r="AN967" i="9"/>
  <c r="AS966" i="9"/>
  <c r="AI964" i="9"/>
  <c r="AQ963" i="9"/>
  <c r="AK960" i="9"/>
  <c r="AP959" i="9"/>
  <c r="AN956" i="9"/>
  <c r="AR955" i="9"/>
  <c r="AM952" i="9"/>
  <c r="AK949" i="9"/>
  <c r="AO948" i="9"/>
  <c r="AM945" i="9"/>
  <c r="AK944" i="9"/>
  <c r="AS943" i="9"/>
  <c r="AK943" i="9"/>
  <c r="AN942" i="9"/>
  <c r="AQ941" i="9"/>
  <c r="AI941" i="9"/>
  <c r="AL940" i="9"/>
  <c r="AO939" i="9"/>
  <c r="AR938" i="9"/>
  <c r="AJ938" i="9"/>
  <c r="AM937" i="9"/>
  <c r="AP936" i="9"/>
  <c r="AS935" i="9"/>
  <c r="AK935" i="9"/>
  <c r="AN934" i="9"/>
  <c r="AQ933" i="9"/>
  <c r="AI933" i="9"/>
  <c r="AL932" i="9"/>
  <c r="AO931" i="9"/>
  <c r="AR930" i="9"/>
  <c r="AJ930" i="9"/>
  <c r="AM929" i="9"/>
  <c r="AP928" i="9"/>
  <c r="AS927" i="9"/>
  <c r="AK927" i="9"/>
  <c r="AN926" i="9"/>
  <c r="AQ925" i="9"/>
  <c r="AI925" i="9"/>
  <c r="AL924" i="9"/>
  <c r="AO923" i="9"/>
  <c r="AR922" i="9"/>
  <c r="AJ922" i="9"/>
  <c r="AM921" i="9"/>
  <c r="AP920" i="9"/>
  <c r="AS919" i="9"/>
  <c r="AK919" i="9"/>
  <c r="AN918" i="9"/>
  <c r="AQ917" i="9"/>
  <c r="AI917" i="9"/>
  <c r="AL916" i="9"/>
  <c r="AO915" i="9"/>
  <c r="AR914" i="9"/>
  <c r="AJ914" i="9"/>
  <c r="AM913" i="9"/>
  <c r="AP912" i="9"/>
  <c r="AS911" i="9"/>
  <c r="AK911" i="9"/>
  <c r="AN910" i="9"/>
  <c r="AQ909" i="9"/>
  <c r="AI909" i="9"/>
  <c r="AR977" i="9"/>
  <c r="AN973" i="9"/>
  <c r="AJ971" i="9"/>
  <c r="AJ969" i="9"/>
  <c r="AS958" i="9"/>
  <c r="AO954" i="9"/>
  <c r="AK952" i="9"/>
  <c r="AK950" i="9"/>
  <c r="AP944" i="9"/>
  <c r="AP943" i="9"/>
  <c r="AI940" i="9"/>
  <c r="AK939" i="9"/>
  <c r="AM938" i="9"/>
  <c r="AL937" i="9"/>
  <c r="AN936" i="9"/>
  <c r="AP935" i="9"/>
  <c r="AR934" i="9"/>
  <c r="AS932" i="9"/>
  <c r="AJ931" i="9"/>
  <c r="AI930" i="9"/>
  <c r="AK929" i="9"/>
  <c r="AM928" i="9"/>
  <c r="AO927" i="9"/>
  <c r="AQ926" i="9"/>
  <c r="AP925" i="9"/>
  <c r="AR924" i="9"/>
  <c r="AJ921" i="9"/>
  <c r="AL920" i="9"/>
  <c r="AN919" i="9"/>
  <c r="AM918" i="9"/>
  <c r="AO917" i="9"/>
  <c r="AQ916" i="9"/>
  <c r="AS915" i="9"/>
  <c r="AI913" i="9"/>
  <c r="AK912" i="9"/>
  <c r="AJ911" i="9"/>
  <c r="AL910" i="9"/>
  <c r="AN909" i="9"/>
  <c r="AN908" i="9"/>
  <c r="AQ907" i="9"/>
  <c r="AI907" i="9"/>
  <c r="AL906" i="9"/>
  <c r="AO905" i="9"/>
  <c r="AR904" i="9"/>
  <c r="AJ904" i="9"/>
  <c r="AM903" i="9"/>
  <c r="AP902" i="9"/>
  <c r="AS901" i="9"/>
  <c r="AK901" i="9"/>
  <c r="AN900" i="9"/>
  <c r="AQ899" i="9"/>
  <c r="AI899" i="9"/>
  <c r="AL898" i="9"/>
  <c r="AO897" i="9"/>
  <c r="AR896" i="9"/>
  <c r="AJ896" i="9"/>
  <c r="AM895" i="9"/>
  <c r="AP894" i="9"/>
  <c r="AS893" i="9"/>
  <c r="AK893" i="9"/>
  <c r="AN892" i="9"/>
  <c r="AQ891" i="9"/>
  <c r="AI891" i="9"/>
  <c r="AL890" i="9"/>
  <c r="AO889" i="9"/>
  <c r="AR888" i="9"/>
  <c r="AJ888" i="9"/>
  <c r="AM887" i="9"/>
  <c r="AP886" i="9"/>
  <c r="AS885" i="9"/>
  <c r="AK885" i="9"/>
  <c r="AN884" i="9"/>
  <c r="AQ1007" i="9"/>
  <c r="AP986" i="9"/>
  <c r="AR979" i="9"/>
  <c r="AO977" i="9"/>
  <c r="AK973" i="9"/>
  <c r="AS960" i="9"/>
  <c r="AP958" i="9"/>
  <c r="AI956" i="9"/>
  <c r="AL954" i="9"/>
  <c r="AJ944" i="9"/>
  <c r="AN943" i="9"/>
  <c r="AS942" i="9"/>
  <c r="AS940" i="9"/>
  <c r="AL1003" i="9"/>
  <c r="AK985" i="9"/>
  <c r="AI979" i="9"/>
  <c r="AQ966" i="9"/>
  <c r="AQ964" i="9"/>
  <c r="AM962" i="9"/>
  <c r="AJ960" i="9"/>
  <c r="AI958" i="9"/>
  <c r="AR947" i="9"/>
  <c r="AR945" i="9"/>
  <c r="AJ943" i="9"/>
  <c r="AQ942" i="9"/>
  <c r="AP941" i="9"/>
  <c r="AR940" i="9"/>
  <c r="AM999" i="9"/>
  <c r="AJ984" i="9"/>
  <c r="AO970" i="9"/>
  <c r="AR968" i="9"/>
  <c r="AK966" i="9"/>
  <c r="AP951" i="9"/>
  <c r="AS949" i="9"/>
  <c r="AL947" i="9"/>
  <c r="AJ945" i="9"/>
  <c r="AM942" i="9"/>
  <c r="AO941" i="9"/>
  <c r="AQ940" i="9"/>
  <c r="AS939" i="9"/>
  <c r="AI937" i="9"/>
  <c r="AK936" i="9"/>
  <c r="AJ935" i="9"/>
  <c r="AL934" i="9"/>
  <c r="AN933" i="9"/>
  <c r="AP932" i="9"/>
  <c r="AR931" i="9"/>
  <c r="AQ930" i="9"/>
  <c r="AS929" i="9"/>
  <c r="AI927" i="9"/>
  <c r="AK926" i="9"/>
  <c r="AM925" i="9"/>
  <c r="AO924" i="9"/>
  <c r="AN923" i="9"/>
  <c r="AP922" i="9"/>
  <c r="AR921" i="9"/>
  <c r="AJ918" i="9"/>
  <c r="AL917" i="9"/>
  <c r="AK916" i="9"/>
  <c r="AM915" i="9"/>
  <c r="AO914" i="9"/>
  <c r="AQ913" i="9"/>
  <c r="AS912" i="9"/>
  <c r="AR911" i="9"/>
  <c r="AI910" i="9"/>
  <c r="AS908" i="9"/>
  <c r="AK908" i="9"/>
  <c r="AN907" i="9"/>
  <c r="AQ906" i="9"/>
  <c r="AI906" i="9"/>
  <c r="AL905" i="9"/>
  <c r="AO904" i="9"/>
  <c r="AR903" i="9"/>
  <c r="AJ903" i="9"/>
  <c r="AM902" i="9"/>
  <c r="AP901" i="9"/>
  <c r="AS900" i="9"/>
  <c r="AK900" i="9"/>
  <c r="AN899" i="9"/>
  <c r="AQ898" i="9"/>
  <c r="AI898" i="9"/>
  <c r="AL897" i="9"/>
  <c r="AO896" i="9"/>
  <c r="AR895" i="9"/>
  <c r="AJ895" i="9"/>
  <c r="AM894" i="9"/>
  <c r="AP893" i="9"/>
  <c r="AS892" i="9"/>
  <c r="AK892" i="9"/>
  <c r="AN891" i="9"/>
  <c r="AQ890" i="9"/>
  <c r="AI890" i="9"/>
  <c r="AL889" i="9"/>
  <c r="AO888" i="9"/>
  <c r="AR887" i="9"/>
  <c r="AJ887" i="9"/>
  <c r="AM886" i="9"/>
  <c r="AQ997" i="9"/>
  <c r="AS982" i="9"/>
  <c r="AS976" i="9"/>
  <c r="AP974" i="9"/>
  <c r="AO972" i="9"/>
  <c r="AL970" i="9"/>
  <c r="AQ955" i="9"/>
  <c r="AP953" i="9"/>
  <c r="AM951" i="9"/>
  <c r="AI947" i="9"/>
  <c r="AL942" i="9"/>
  <c r="AN941" i="9"/>
  <c r="AP940" i="9"/>
  <c r="AR939" i="9"/>
  <c r="AQ938" i="9"/>
  <c r="AS937" i="9"/>
  <c r="AI935" i="9"/>
  <c r="AK934" i="9"/>
  <c r="AM933" i="9"/>
  <c r="AO932" i="9"/>
  <c r="AN931" i="9"/>
  <c r="AP930" i="9"/>
  <c r="AR929" i="9"/>
  <c r="AJ926" i="9"/>
  <c r="AL925" i="9"/>
  <c r="AK924" i="9"/>
  <c r="AM923" i="9"/>
  <c r="AO922" i="9"/>
  <c r="AQ921" i="9"/>
  <c r="AS920" i="9"/>
  <c r="AR919" i="9"/>
  <c r="AI918" i="9"/>
  <c r="AJ916" i="9"/>
  <c r="AL915" i="9"/>
  <c r="AN914" i="9"/>
  <c r="AP913" i="9"/>
  <c r="AO912" i="9"/>
  <c r="AQ911" i="9"/>
  <c r="AS910" i="9"/>
  <c r="AR908" i="9"/>
  <c r="AJ908" i="9"/>
  <c r="AM907" i="9"/>
  <c r="AP906" i="9"/>
  <c r="AS905" i="9"/>
  <c r="AK905" i="9"/>
  <c r="AN904" i="9"/>
  <c r="AQ903" i="9"/>
  <c r="AI903" i="9"/>
  <c r="AL902" i="9"/>
  <c r="AO901" i="9"/>
  <c r="AR900" i="9"/>
  <c r="AJ900" i="9"/>
  <c r="AM899" i="9"/>
  <c r="AP898" i="9"/>
  <c r="AS897" i="9"/>
  <c r="AK897" i="9"/>
  <c r="AN896" i="9"/>
  <c r="AQ895" i="9"/>
  <c r="AI895" i="9"/>
  <c r="AL894" i="9"/>
  <c r="AO893" i="9"/>
  <c r="AR892" i="9"/>
  <c r="AJ892" i="9"/>
  <c r="AM891" i="9"/>
  <c r="AP890" i="9"/>
  <c r="AS889" i="9"/>
  <c r="AK889" i="9"/>
  <c r="AN888" i="9"/>
  <c r="AQ887" i="9"/>
  <c r="AM978" i="9"/>
  <c r="AM976" i="9"/>
  <c r="AI974" i="9"/>
  <c r="AR961" i="9"/>
  <c r="AN959" i="9"/>
  <c r="AN957" i="9"/>
  <c r="AJ955" i="9"/>
  <c r="AK942" i="9"/>
  <c r="AM941" i="9"/>
  <c r="AO940" i="9"/>
  <c r="AN939" i="9"/>
  <c r="AP938" i="9"/>
  <c r="AR937" i="9"/>
  <c r="AJ934" i="9"/>
  <c r="AL933" i="9"/>
  <c r="AK932" i="9"/>
  <c r="AM931" i="9"/>
  <c r="AO930" i="9"/>
  <c r="AQ929" i="9"/>
  <c r="AS928" i="9"/>
  <c r="AR927" i="9"/>
  <c r="AI926" i="9"/>
  <c r="AJ924" i="9"/>
  <c r="AL923" i="9"/>
  <c r="AN922" i="9"/>
  <c r="AP921" i="9"/>
  <c r="AO920" i="9"/>
  <c r="AQ919" i="9"/>
  <c r="AS918" i="9"/>
  <c r="AI916" i="9"/>
  <c r="AK915" i="9"/>
  <c r="AM914" i="9"/>
  <c r="AL913" i="9"/>
  <c r="AN912" i="9"/>
  <c r="AP911" i="9"/>
  <c r="AR910" i="9"/>
  <c r="AQ908" i="9"/>
  <c r="AI908" i="9"/>
  <c r="AL907" i="9"/>
  <c r="AO906" i="9"/>
  <c r="AR905" i="9"/>
  <c r="AJ905" i="9"/>
  <c r="AM904" i="9"/>
  <c r="AP903" i="9"/>
  <c r="AS902" i="9"/>
  <c r="AK902" i="9"/>
  <c r="AN901" i="9"/>
  <c r="AQ900" i="9"/>
  <c r="AI900" i="9"/>
  <c r="AL899" i="9"/>
  <c r="AO898" i="9"/>
  <c r="AR897" i="9"/>
  <c r="AJ897" i="9"/>
  <c r="AM896" i="9"/>
  <c r="AP895" i="9"/>
  <c r="AS894" i="9"/>
  <c r="AK894" i="9"/>
  <c r="AN893" i="9"/>
  <c r="AQ892" i="9"/>
  <c r="AI892" i="9"/>
  <c r="AL891" i="9"/>
  <c r="AO890" i="9"/>
  <c r="AI981" i="9"/>
  <c r="AS965" i="9"/>
  <c r="AL963" i="9"/>
  <c r="AO961" i="9"/>
  <c r="AJ942" i="9"/>
  <c r="AL941" i="9"/>
  <c r="AK940" i="9"/>
  <c r="AM939" i="9"/>
  <c r="AO938" i="9"/>
  <c r="AQ937" i="9"/>
  <c r="AS936" i="9"/>
  <c r="AR935" i="9"/>
  <c r="AI934" i="9"/>
  <c r="AJ932" i="9"/>
  <c r="AL931" i="9"/>
  <c r="AN930" i="9"/>
  <c r="AP929" i="9"/>
  <c r="AO928" i="9"/>
  <c r="AQ927" i="9"/>
  <c r="AS926" i="9"/>
  <c r="AI924" i="9"/>
  <c r="AK923" i="9"/>
  <c r="AM922" i="9"/>
  <c r="AL921" i="9"/>
  <c r="AN920" i="9"/>
  <c r="AP919" i="9"/>
  <c r="AR918" i="9"/>
  <c r="AS916" i="9"/>
  <c r="AJ915" i="9"/>
  <c r="AI914" i="9"/>
  <c r="AK913" i="9"/>
  <c r="AM912" i="9"/>
  <c r="AO911" i="9"/>
  <c r="AQ910" i="9"/>
  <c r="AP909" i="9"/>
  <c r="AP908" i="9"/>
  <c r="AS907" i="9"/>
  <c r="AK907" i="9"/>
  <c r="AN906" i="9"/>
  <c r="AQ905" i="9"/>
  <c r="AI905" i="9"/>
  <c r="AL904" i="9"/>
  <c r="AO903" i="9"/>
  <c r="AR902" i="9"/>
  <c r="AJ902" i="9"/>
  <c r="AM901" i="9"/>
  <c r="AP900" i="9"/>
  <c r="AS899" i="9"/>
  <c r="AK899" i="9"/>
  <c r="AN898" i="9"/>
  <c r="AQ897" i="9"/>
  <c r="AI897" i="9"/>
  <c r="AL896" i="9"/>
  <c r="AO895" i="9"/>
  <c r="AR894" i="9"/>
  <c r="AJ894" i="9"/>
  <c r="AM893" i="9"/>
  <c r="AP892" i="9"/>
  <c r="AS891" i="9"/>
  <c r="AK891" i="9"/>
  <c r="AI991" i="9"/>
  <c r="AL965" i="9"/>
  <c r="AN948" i="9"/>
  <c r="AM936" i="9"/>
  <c r="AI963" i="9"/>
  <c r="AM946" i="9"/>
  <c r="AJ940" i="9"/>
  <c r="AP937" i="9"/>
  <c r="AS944" i="9"/>
  <c r="AK937" i="9"/>
  <c r="AR943" i="9"/>
  <c r="AN938" i="9"/>
  <c r="AJ937" i="9"/>
  <c r="AI938" i="9"/>
  <c r="AQ934" i="9"/>
  <c r="AL929" i="9"/>
  <c r="AK928" i="9"/>
  <c r="AP924" i="9"/>
  <c r="AJ919" i="9"/>
  <c r="AR915" i="9"/>
  <c r="AM910" i="9"/>
  <c r="AL909" i="9"/>
  <c r="AM908" i="9"/>
  <c r="AR907" i="9"/>
  <c r="AP904" i="9"/>
  <c r="AJ901" i="9"/>
  <c r="AO900" i="9"/>
  <c r="AM897" i="9"/>
  <c r="AQ896" i="9"/>
  <c r="AL893" i="9"/>
  <c r="AN890" i="9"/>
  <c r="AN889" i="9"/>
  <c r="AP888" i="9"/>
  <c r="AP887" i="9"/>
  <c r="AK886" i="9"/>
  <c r="AR885" i="9"/>
  <c r="AI885" i="9"/>
  <c r="AR884" i="9"/>
  <c r="AI884" i="9"/>
  <c r="AL883" i="9"/>
  <c r="AO882" i="9"/>
  <c r="AR881" i="9"/>
  <c r="AJ881" i="9"/>
  <c r="AM880" i="9"/>
  <c r="AP879" i="9"/>
  <c r="AS878" i="9"/>
  <c r="AK878" i="9"/>
  <c r="AN877" i="9"/>
  <c r="AQ876" i="9"/>
  <c r="AI876" i="9"/>
  <c r="AL875" i="9"/>
  <c r="AO874" i="9"/>
  <c r="AR873" i="9"/>
  <c r="AJ873" i="9"/>
  <c r="AM872" i="9"/>
  <c r="AP871" i="9"/>
  <c r="AS870" i="9"/>
  <c r="AK870" i="9"/>
  <c r="AN869" i="9"/>
  <c r="AQ868" i="9"/>
  <c r="AI868" i="9"/>
  <c r="AL867" i="9"/>
  <c r="AO866" i="9"/>
  <c r="AR865" i="9"/>
  <c r="AJ865" i="9"/>
  <c r="AM864" i="9"/>
  <c r="AP863" i="9"/>
  <c r="AS862" i="9"/>
  <c r="AK862" i="9"/>
  <c r="AN861" i="9"/>
  <c r="AQ860" i="9"/>
  <c r="AI860" i="9"/>
  <c r="AL859" i="9"/>
  <c r="AO858" i="9"/>
  <c r="AR857" i="9"/>
  <c r="AJ857" i="9"/>
  <c r="AM856" i="9"/>
  <c r="AP855" i="9"/>
  <c r="AS854" i="9"/>
  <c r="AK854" i="9"/>
  <c r="AI942" i="9"/>
  <c r="AL939" i="9"/>
  <c r="AQ935" i="9"/>
  <c r="AM934" i="9"/>
  <c r="AJ929" i="9"/>
  <c r="AO925" i="9"/>
  <c r="AM920" i="9"/>
  <c r="AI919" i="9"/>
  <c r="AR916" i="9"/>
  <c r="AN915" i="9"/>
  <c r="AK910" i="9"/>
  <c r="AL908" i="9"/>
  <c r="AP907" i="9"/>
  <c r="AK904" i="9"/>
  <c r="AS903" i="9"/>
  <c r="AI901" i="9"/>
  <c r="AM900" i="9"/>
  <c r="AR899" i="9"/>
  <c r="AP896" i="9"/>
  <c r="AJ893" i="9"/>
  <c r="AO892" i="9"/>
  <c r="AM890" i="9"/>
  <c r="AM889" i="9"/>
  <c r="AM888" i="9"/>
  <c r="AO887" i="9"/>
  <c r="AJ886" i="9"/>
  <c r="AQ885" i="9"/>
  <c r="AQ884" i="9"/>
  <c r="AS883" i="9"/>
  <c r="AK883" i="9"/>
  <c r="AN882" i="9"/>
  <c r="AQ881" i="9"/>
  <c r="AI881" i="9"/>
  <c r="AL880" i="9"/>
  <c r="AO879" i="9"/>
  <c r="AR878" i="9"/>
  <c r="AJ878" i="9"/>
  <c r="AM877" i="9"/>
  <c r="AP876" i="9"/>
  <c r="AS875" i="9"/>
  <c r="AK875" i="9"/>
  <c r="AN874" i="9"/>
  <c r="AQ873" i="9"/>
  <c r="AI873" i="9"/>
  <c r="AL872" i="9"/>
  <c r="AO871" i="9"/>
  <c r="AR870" i="9"/>
  <c r="AJ870" i="9"/>
  <c r="AM869" i="9"/>
  <c r="AP868" i="9"/>
  <c r="AS867" i="9"/>
  <c r="AK867" i="9"/>
  <c r="AN866" i="9"/>
  <c r="AQ865" i="9"/>
  <c r="AI865" i="9"/>
  <c r="AL864" i="9"/>
  <c r="AO863" i="9"/>
  <c r="AR862" i="9"/>
  <c r="AJ862" i="9"/>
  <c r="AM861" i="9"/>
  <c r="AP860" i="9"/>
  <c r="AS859" i="9"/>
  <c r="AK859" i="9"/>
  <c r="AN858" i="9"/>
  <c r="AQ857" i="9"/>
  <c r="AI857" i="9"/>
  <c r="AL856" i="9"/>
  <c r="AO855" i="9"/>
  <c r="AR854" i="9"/>
  <c r="AJ854" i="9"/>
  <c r="AP969" i="9"/>
  <c r="AJ939" i="9"/>
  <c r="AO935" i="9"/>
  <c r="AM930" i="9"/>
  <c r="AI929" i="9"/>
  <c r="AR926" i="9"/>
  <c r="AN925" i="9"/>
  <c r="AS921" i="9"/>
  <c r="AK920" i="9"/>
  <c r="AP916" i="9"/>
  <c r="AN911" i="9"/>
  <c r="AJ910" i="9"/>
  <c r="AO907" i="9"/>
  <c r="AS906" i="9"/>
  <c r="AI904" i="9"/>
  <c r="AN903" i="9"/>
  <c r="AL900" i="9"/>
  <c r="AP899" i="9"/>
  <c r="AK896" i="9"/>
  <c r="AS895" i="9"/>
  <c r="AI893" i="9"/>
  <c r="AM892" i="9"/>
  <c r="AR891" i="9"/>
  <c r="AK890" i="9"/>
  <c r="AJ889" i="9"/>
  <c r="AL888" i="9"/>
  <c r="AN887" i="9"/>
  <c r="AS886" i="9"/>
  <c r="AI886" i="9"/>
  <c r="AP885" i="9"/>
  <c r="AP884" i="9"/>
  <c r="AR883" i="9"/>
  <c r="AJ883" i="9"/>
  <c r="AM882" i="9"/>
  <c r="AP881" i="9"/>
  <c r="AS880" i="9"/>
  <c r="AK880" i="9"/>
  <c r="AN879" i="9"/>
  <c r="AQ878" i="9"/>
  <c r="AI878" i="9"/>
  <c r="AL877" i="9"/>
  <c r="AO876" i="9"/>
  <c r="AR875" i="9"/>
  <c r="AJ875" i="9"/>
  <c r="AM874" i="9"/>
  <c r="AP873" i="9"/>
  <c r="AS872" i="9"/>
  <c r="AK872" i="9"/>
  <c r="AN871" i="9"/>
  <c r="AQ870" i="9"/>
  <c r="AI870" i="9"/>
  <c r="AL869" i="9"/>
  <c r="AO868" i="9"/>
  <c r="AR867" i="9"/>
  <c r="AJ867" i="9"/>
  <c r="AM866" i="9"/>
  <c r="AP865" i="9"/>
  <c r="AS864" i="9"/>
  <c r="AK864" i="9"/>
  <c r="AN863" i="9"/>
  <c r="AQ862" i="9"/>
  <c r="AI862" i="9"/>
  <c r="AL861" i="9"/>
  <c r="AO860" i="9"/>
  <c r="AR859" i="9"/>
  <c r="AJ859" i="9"/>
  <c r="AM858" i="9"/>
  <c r="AP857" i="9"/>
  <c r="AS856" i="9"/>
  <c r="AK856" i="9"/>
  <c r="AN855" i="9"/>
  <c r="AQ854" i="9"/>
  <c r="AI854" i="9"/>
  <c r="AM967" i="9"/>
  <c r="AN935" i="9"/>
  <c r="AP933" i="9"/>
  <c r="AK931" i="9"/>
  <c r="AN927" i="9"/>
  <c r="AR923" i="9"/>
  <c r="AI921" i="9"/>
  <c r="AO919" i="9"/>
  <c r="AM917" i="9"/>
  <c r="AJ913" i="9"/>
  <c r="AM909" i="9"/>
  <c r="AR906" i="9"/>
  <c r="AN905" i="9"/>
  <c r="AR901" i="9"/>
  <c r="AS896" i="9"/>
  <c r="AK895" i="9"/>
  <c r="AO891" i="9"/>
  <c r="AR890" i="9"/>
  <c r="AR889" i="9"/>
  <c r="AK887" i="9"/>
  <c r="AO885" i="9"/>
  <c r="AM884" i="9"/>
  <c r="AO883" i="9"/>
  <c r="AQ882" i="9"/>
  <c r="AS881" i="9"/>
  <c r="AR880" i="9"/>
  <c r="AI879" i="9"/>
  <c r="AJ877" i="9"/>
  <c r="AL876" i="9"/>
  <c r="AN875" i="9"/>
  <c r="AP874" i="9"/>
  <c r="AO873" i="9"/>
  <c r="AQ872" i="9"/>
  <c r="AS871" i="9"/>
  <c r="AI869" i="9"/>
  <c r="AK868" i="9"/>
  <c r="AM867" i="9"/>
  <c r="AL866" i="9"/>
  <c r="AN865" i="9"/>
  <c r="AP864" i="9"/>
  <c r="AR863" i="9"/>
  <c r="AS861" i="9"/>
  <c r="AJ860" i="9"/>
  <c r="AI859" i="9"/>
  <c r="AK858" i="9"/>
  <c r="AM857" i="9"/>
  <c r="AO856" i="9"/>
  <c r="AQ855" i="9"/>
  <c r="AP854" i="9"/>
  <c r="AR853" i="9"/>
  <c r="AJ853" i="9"/>
  <c r="AM852" i="9"/>
  <c r="AP851" i="9"/>
  <c r="AS850" i="9"/>
  <c r="AK850" i="9"/>
  <c r="AN849" i="9"/>
  <c r="AQ848" i="9"/>
  <c r="AI848" i="9"/>
  <c r="AL847" i="9"/>
  <c r="AO846" i="9"/>
  <c r="AR845" i="9"/>
  <c r="AJ845" i="9"/>
  <c r="AM844" i="9"/>
  <c r="AP843" i="9"/>
  <c r="AS842" i="9"/>
  <c r="AK842" i="9"/>
  <c r="AN841" i="9"/>
  <c r="AQ840" i="9"/>
  <c r="AI840" i="9"/>
  <c r="AL839" i="9"/>
  <c r="AO838" i="9"/>
  <c r="AR837" i="9"/>
  <c r="AJ837" i="9"/>
  <c r="AM836" i="9"/>
  <c r="AP835" i="9"/>
  <c r="AS834" i="9"/>
  <c r="AK834" i="9"/>
  <c r="AN833" i="9"/>
  <c r="AQ832" i="9"/>
  <c r="AI832" i="9"/>
  <c r="AL831" i="9"/>
  <c r="AO830" i="9"/>
  <c r="AR829" i="9"/>
  <c r="AJ829" i="9"/>
  <c r="AM828" i="9"/>
  <c r="AP827" i="9"/>
  <c r="AS826" i="9"/>
  <c r="AK826" i="9"/>
  <c r="AN825" i="9"/>
  <c r="AQ824" i="9"/>
  <c r="AI824" i="9"/>
  <c r="AL823" i="9"/>
  <c r="AO822" i="9"/>
  <c r="AR821" i="9"/>
  <c r="AJ821" i="9"/>
  <c r="AM820" i="9"/>
  <c r="AP819" i="9"/>
  <c r="AS818" i="9"/>
  <c r="AK818" i="9"/>
  <c r="AQ950" i="9"/>
  <c r="AO933" i="9"/>
  <c r="AJ927" i="9"/>
  <c r="AJ923" i="9"/>
  <c r="AM906" i="9"/>
  <c r="AM905" i="9"/>
  <c r="AQ902" i="9"/>
  <c r="AQ901" i="9"/>
  <c r="AI896" i="9"/>
  <c r="AJ891" i="9"/>
  <c r="AJ890" i="9"/>
  <c r="AQ889" i="9"/>
  <c r="AI887" i="9"/>
  <c r="AR886" i="9"/>
  <c r="AN885" i="9"/>
  <c r="AL884" i="9"/>
  <c r="AN883" i="9"/>
  <c r="AP882" i="9"/>
  <c r="AO881" i="9"/>
  <c r="AQ880" i="9"/>
  <c r="AS879" i="9"/>
  <c r="AI877" i="9"/>
  <c r="AK876" i="9"/>
  <c r="AM875" i="9"/>
  <c r="AL874" i="9"/>
  <c r="AN873" i="9"/>
  <c r="AP872" i="9"/>
  <c r="AR871" i="9"/>
  <c r="AS869" i="9"/>
  <c r="AJ868" i="9"/>
  <c r="AI867" i="9"/>
  <c r="AK866" i="9"/>
  <c r="AM865" i="9"/>
  <c r="AO864" i="9"/>
  <c r="AQ863" i="9"/>
  <c r="AP862" i="9"/>
  <c r="AK906" i="9"/>
  <c r="AO902" i="9"/>
  <c r="AL901" i="9"/>
  <c r="AS898" i="9"/>
  <c r="AP897" i="9"/>
  <c r="AL892" i="9"/>
  <c r="AP889" i="9"/>
  <c r="AQ886" i="9"/>
  <c r="AM885" i="9"/>
  <c r="AK884" i="9"/>
  <c r="AM883" i="9"/>
  <c r="AL882" i="9"/>
  <c r="AN881" i="9"/>
  <c r="AP880" i="9"/>
  <c r="AR879" i="9"/>
  <c r="AS877" i="9"/>
  <c r="AJ876" i="9"/>
  <c r="AI875" i="9"/>
  <c r="AK874" i="9"/>
  <c r="AM873" i="9"/>
  <c r="AO872" i="9"/>
  <c r="AQ871" i="9"/>
  <c r="AP870" i="9"/>
  <c r="AR869" i="9"/>
  <c r="AJ866" i="9"/>
  <c r="AL865" i="9"/>
  <c r="AN864" i="9"/>
  <c r="AM863" i="9"/>
  <c r="AO862" i="9"/>
  <c r="AR932" i="9"/>
  <c r="AM926" i="9"/>
  <c r="AS924" i="9"/>
  <c r="AQ922" i="9"/>
  <c r="AQ918" i="9"/>
  <c r="AO916" i="9"/>
  <c r="AQ914" i="9"/>
  <c r="AL912" i="9"/>
  <c r="AJ907" i="9"/>
  <c r="AJ906" i="9"/>
  <c r="AN902" i="9"/>
  <c r="AR898" i="9"/>
  <c r="AN897" i="9"/>
  <c r="AR893" i="9"/>
  <c r="AI889" i="9"/>
  <c r="AS888" i="9"/>
  <c r="AO886" i="9"/>
  <c r="AL885" i="9"/>
  <c r="AJ884" i="9"/>
  <c r="AI883" i="9"/>
  <c r="AK882" i="9"/>
  <c r="AM881" i="9"/>
  <c r="AO880" i="9"/>
  <c r="AQ879" i="9"/>
  <c r="AP878" i="9"/>
  <c r="AR877" i="9"/>
  <c r="AJ874" i="9"/>
  <c r="AL873" i="9"/>
  <c r="AN872" i="9"/>
  <c r="AM871" i="9"/>
  <c r="AO870" i="9"/>
  <c r="AQ869" i="9"/>
  <c r="AS868" i="9"/>
  <c r="AI866" i="9"/>
  <c r="AK865" i="9"/>
  <c r="AJ864" i="9"/>
  <c r="AL863" i="9"/>
  <c r="AN862" i="9"/>
  <c r="AP861" i="9"/>
  <c r="AR860" i="9"/>
  <c r="AQ859" i="9"/>
  <c r="AS858" i="9"/>
  <c r="AI856" i="9"/>
  <c r="AK855" i="9"/>
  <c r="AM854" i="9"/>
  <c r="AO853" i="9"/>
  <c r="AR852" i="9"/>
  <c r="AJ852" i="9"/>
  <c r="AM851" i="9"/>
  <c r="AP850" i="9"/>
  <c r="AS849" i="9"/>
  <c r="AK849" i="9"/>
  <c r="AN848" i="9"/>
  <c r="AQ847" i="9"/>
  <c r="AI847" i="9"/>
  <c r="AL846" i="9"/>
  <c r="AO845" i="9"/>
  <c r="AR844" i="9"/>
  <c r="AJ844" i="9"/>
  <c r="AM843" i="9"/>
  <c r="AP842" i="9"/>
  <c r="AS841" i="9"/>
  <c r="AK841" i="9"/>
  <c r="AN840" i="9"/>
  <c r="AQ839" i="9"/>
  <c r="AI839" i="9"/>
  <c r="AL838" i="9"/>
  <c r="AO837" i="9"/>
  <c r="AR836" i="9"/>
  <c r="AJ836" i="9"/>
  <c r="AM835" i="9"/>
  <c r="AP834" i="9"/>
  <c r="AS833" i="9"/>
  <c r="AK833" i="9"/>
  <c r="AN832" i="9"/>
  <c r="AQ831" i="9"/>
  <c r="AI831" i="9"/>
  <c r="AL830" i="9"/>
  <c r="AO829" i="9"/>
  <c r="AR828" i="9"/>
  <c r="AJ828" i="9"/>
  <c r="AM827" i="9"/>
  <c r="AP826" i="9"/>
  <c r="AS825" i="9"/>
  <c r="AK825" i="9"/>
  <c r="AN824" i="9"/>
  <c r="AQ823" i="9"/>
  <c r="AI823" i="9"/>
  <c r="AL822" i="9"/>
  <c r="AO821" i="9"/>
  <c r="AS934" i="9"/>
  <c r="AQ932" i="9"/>
  <c r="AN928" i="9"/>
  <c r="AL926" i="9"/>
  <c r="AQ924" i="9"/>
  <c r="AI922" i="9"/>
  <c r="AL918" i="9"/>
  <c r="AP914" i="9"/>
  <c r="AL903" i="9"/>
  <c r="AI902" i="9"/>
  <c r="AM898" i="9"/>
  <c r="AQ894" i="9"/>
  <c r="AQ893" i="9"/>
  <c r="AQ888" i="9"/>
  <c r="AN886" i="9"/>
  <c r="AJ885" i="9"/>
  <c r="AJ882" i="9"/>
  <c r="AL881" i="9"/>
  <c r="AN880" i="9"/>
  <c r="AM879" i="9"/>
  <c r="AO878" i="9"/>
  <c r="AQ877" i="9"/>
  <c r="AS876" i="9"/>
  <c r="AI874" i="9"/>
  <c r="AK873" i="9"/>
  <c r="AJ872" i="9"/>
  <c r="AL871" i="9"/>
  <c r="AN870" i="9"/>
  <c r="AP869" i="9"/>
  <c r="AR868" i="9"/>
  <c r="AQ867" i="9"/>
  <c r="AS866" i="9"/>
  <c r="AI864" i="9"/>
  <c r="AK863" i="9"/>
  <c r="AM862" i="9"/>
  <c r="AO861" i="9"/>
  <c r="AN860" i="9"/>
  <c r="AP859" i="9"/>
  <c r="AR858" i="9"/>
  <c r="AJ855" i="9"/>
  <c r="AL854" i="9"/>
  <c r="AN853" i="9"/>
  <c r="AQ852" i="9"/>
  <c r="AI852" i="9"/>
  <c r="AL851" i="9"/>
  <c r="AO850" i="9"/>
  <c r="AR849" i="9"/>
  <c r="AJ849" i="9"/>
  <c r="AM848" i="9"/>
  <c r="AP847" i="9"/>
  <c r="AS846" i="9"/>
  <c r="AK846" i="9"/>
  <c r="AN845" i="9"/>
  <c r="AQ844" i="9"/>
  <c r="AI844" i="9"/>
  <c r="AL843" i="9"/>
  <c r="AO842" i="9"/>
  <c r="AR841" i="9"/>
  <c r="AJ841" i="9"/>
  <c r="AM840" i="9"/>
  <c r="AP839" i="9"/>
  <c r="AS838" i="9"/>
  <c r="AK838" i="9"/>
  <c r="AN837" i="9"/>
  <c r="AQ836" i="9"/>
  <c r="AI836" i="9"/>
  <c r="AL835" i="9"/>
  <c r="AO834" i="9"/>
  <c r="AR833" i="9"/>
  <c r="AJ833" i="9"/>
  <c r="AM832" i="9"/>
  <c r="AP831" i="9"/>
  <c r="AS830" i="9"/>
  <c r="AK830" i="9"/>
  <c r="AN829" i="9"/>
  <c r="AQ828" i="9"/>
  <c r="AI828" i="9"/>
  <c r="AL827" i="9"/>
  <c r="AO826" i="9"/>
  <c r="AR825" i="9"/>
  <c r="AJ825" i="9"/>
  <c r="AM824" i="9"/>
  <c r="AP823" i="9"/>
  <c r="AS822" i="9"/>
  <c r="AK822" i="9"/>
  <c r="AO936" i="9"/>
  <c r="AI932" i="9"/>
  <c r="AL928" i="9"/>
  <c r="AK918" i="9"/>
  <c r="AO908" i="9"/>
  <c r="AS904" i="9"/>
  <c r="AK903" i="9"/>
  <c r="AO899" i="9"/>
  <c r="AK898" i="9"/>
  <c r="AO894" i="9"/>
  <c r="AK888" i="9"/>
  <c r="AL886" i="9"/>
  <c r="AI882" i="9"/>
  <c r="AK881" i="9"/>
  <c r="AJ880" i="9"/>
  <c r="AL879" i="9"/>
  <c r="AN878" i="9"/>
  <c r="AP877" i="9"/>
  <c r="AR876" i="9"/>
  <c r="AQ875" i="9"/>
  <c r="AS874" i="9"/>
  <c r="AI872" i="9"/>
  <c r="AK871" i="9"/>
  <c r="AM870" i="9"/>
  <c r="AO869" i="9"/>
  <c r="AN868" i="9"/>
  <c r="AP867" i="9"/>
  <c r="AR866" i="9"/>
  <c r="AJ863" i="9"/>
  <c r="AL862" i="9"/>
  <c r="AK861" i="9"/>
  <c r="AM860" i="9"/>
  <c r="AO859" i="9"/>
  <c r="AQ858" i="9"/>
  <c r="AS857" i="9"/>
  <c r="AR856" i="9"/>
  <c r="AI855" i="9"/>
  <c r="AM853" i="9"/>
  <c r="AP852" i="9"/>
  <c r="AS851" i="9"/>
  <c r="AK851" i="9"/>
  <c r="AN850" i="9"/>
  <c r="AQ849" i="9"/>
  <c r="AI849" i="9"/>
  <c r="AL848" i="9"/>
  <c r="AO847" i="9"/>
  <c r="AR846" i="9"/>
  <c r="AJ846" i="9"/>
  <c r="AM845" i="9"/>
  <c r="AP844" i="9"/>
  <c r="AS843" i="9"/>
  <c r="AK843" i="9"/>
  <c r="AN842" i="9"/>
  <c r="AQ841" i="9"/>
  <c r="AI841" i="9"/>
  <c r="AL840" i="9"/>
  <c r="AO839" i="9"/>
  <c r="AR838" i="9"/>
  <c r="AJ838" i="9"/>
  <c r="AM837" i="9"/>
  <c r="AP836" i="9"/>
  <c r="AS835" i="9"/>
  <c r="AK835" i="9"/>
  <c r="AN834" i="9"/>
  <c r="AQ833" i="9"/>
  <c r="AI833" i="9"/>
  <c r="AL832" i="9"/>
  <c r="AO831" i="9"/>
  <c r="AR830" i="9"/>
  <c r="AJ830" i="9"/>
  <c r="AM829" i="9"/>
  <c r="AP828" i="9"/>
  <c r="AS827" i="9"/>
  <c r="AK827" i="9"/>
  <c r="AN826" i="9"/>
  <c r="AQ825" i="9"/>
  <c r="AI825" i="9"/>
  <c r="AL824" i="9"/>
  <c r="AO823" i="9"/>
  <c r="AR822" i="9"/>
  <c r="AJ822" i="9"/>
  <c r="AM821" i="9"/>
  <c r="AP820" i="9"/>
  <c r="AS819" i="9"/>
  <c r="AK819" i="9"/>
  <c r="AN818" i="9"/>
  <c r="AQ817" i="9"/>
  <c r="AL936" i="9"/>
  <c r="AP917" i="9"/>
  <c r="AS913" i="9"/>
  <c r="AQ904" i="9"/>
  <c r="AJ899" i="9"/>
  <c r="AJ898" i="9"/>
  <c r="AN895" i="9"/>
  <c r="AN894" i="9"/>
  <c r="AI888" i="9"/>
  <c r="AS887" i="9"/>
  <c r="AS884" i="9"/>
  <c r="AQ883" i="9"/>
  <c r="AS882" i="9"/>
  <c r="AI880" i="9"/>
  <c r="AK879" i="9"/>
  <c r="AM878" i="9"/>
  <c r="AO877" i="9"/>
  <c r="AN876" i="9"/>
  <c r="AP875" i="9"/>
  <c r="AR874" i="9"/>
  <c r="AJ871" i="9"/>
  <c r="AL870" i="9"/>
  <c r="AK869" i="9"/>
  <c r="AM868" i="9"/>
  <c r="AO867" i="9"/>
  <c r="AQ866" i="9"/>
  <c r="AS865" i="9"/>
  <c r="AR864" i="9"/>
  <c r="AI863" i="9"/>
  <c r="AJ861" i="9"/>
  <c r="AL860" i="9"/>
  <c r="AN859" i="9"/>
  <c r="AP858" i="9"/>
  <c r="AO857" i="9"/>
  <c r="AQ856" i="9"/>
  <c r="AS855" i="9"/>
  <c r="AL853" i="9"/>
  <c r="AO852" i="9"/>
  <c r="AR851" i="9"/>
  <c r="AJ851" i="9"/>
  <c r="AM850" i="9"/>
  <c r="AP849" i="9"/>
  <c r="AS848" i="9"/>
  <c r="AK848" i="9"/>
  <c r="AN847" i="9"/>
  <c r="AQ846" i="9"/>
  <c r="AI846" i="9"/>
  <c r="AL845" i="9"/>
  <c r="AO844" i="9"/>
  <c r="AR843" i="9"/>
  <c r="AJ843" i="9"/>
  <c r="AM842" i="9"/>
  <c r="AP841" i="9"/>
  <c r="AS840" i="9"/>
  <c r="AK840" i="9"/>
  <c r="AN839" i="9"/>
  <c r="AQ838" i="9"/>
  <c r="AI838" i="9"/>
  <c r="AL837" i="9"/>
  <c r="AO836" i="9"/>
  <c r="AR835" i="9"/>
  <c r="AJ835" i="9"/>
  <c r="AM834" i="9"/>
  <c r="AP833" i="9"/>
  <c r="AS832" i="9"/>
  <c r="AK832" i="9"/>
  <c r="AN831" i="9"/>
  <c r="AQ830" i="9"/>
  <c r="AI830" i="9"/>
  <c r="AL829" i="9"/>
  <c r="AO828" i="9"/>
  <c r="AR827" i="9"/>
  <c r="AJ827" i="9"/>
  <c r="AM826" i="9"/>
  <c r="AP825" i="9"/>
  <c r="AP905" i="9"/>
  <c r="AL895" i="9"/>
  <c r="AL887" i="9"/>
  <c r="AJ879" i="9"/>
  <c r="AO875" i="9"/>
  <c r="AR861" i="9"/>
  <c r="AK860" i="9"/>
  <c r="AP856" i="9"/>
  <c r="AL855" i="9"/>
  <c r="AK852" i="9"/>
  <c r="AO851" i="9"/>
  <c r="AJ848" i="9"/>
  <c r="AR847" i="9"/>
  <c r="AL844" i="9"/>
  <c r="AQ843" i="9"/>
  <c r="AO840" i="9"/>
  <c r="AS839" i="9"/>
  <c r="AI837" i="9"/>
  <c r="AN836" i="9"/>
  <c r="AL833" i="9"/>
  <c r="AP832" i="9"/>
  <c r="AK829" i="9"/>
  <c r="AS828" i="9"/>
  <c r="AI826" i="9"/>
  <c r="AM825" i="9"/>
  <c r="AR823" i="9"/>
  <c r="AM822" i="9"/>
  <c r="AK821" i="9"/>
  <c r="AQ820" i="9"/>
  <c r="AL819" i="9"/>
  <c r="AQ818" i="9"/>
  <c r="AM817" i="9"/>
  <c r="AP816" i="9"/>
  <c r="AS815" i="9"/>
  <c r="AK815" i="9"/>
  <c r="AN814" i="9"/>
  <c r="AQ813" i="9"/>
  <c r="AI813" i="9"/>
  <c r="AL812" i="9"/>
  <c r="AO811" i="9"/>
  <c r="AR810" i="9"/>
  <c r="AJ810" i="9"/>
  <c r="AM809" i="9"/>
  <c r="AP808" i="9"/>
  <c r="AS807" i="9"/>
  <c r="AK807" i="9"/>
  <c r="AN806" i="9"/>
  <c r="AQ805" i="9"/>
  <c r="AI805" i="9"/>
  <c r="AL804" i="9"/>
  <c r="AO803" i="9"/>
  <c r="AR802" i="9"/>
  <c r="AJ802" i="9"/>
  <c r="AM801" i="9"/>
  <c r="AP800" i="9"/>
  <c r="AS799" i="9"/>
  <c r="AK799" i="9"/>
  <c r="AN798" i="9"/>
  <c r="AQ797" i="9"/>
  <c r="AI797" i="9"/>
  <c r="AL796" i="9"/>
  <c r="AO795" i="9"/>
  <c r="AR794" i="9"/>
  <c r="AJ794" i="9"/>
  <c r="AM793" i="9"/>
  <c r="AP792" i="9"/>
  <c r="AS791" i="9"/>
  <c r="AK791" i="9"/>
  <c r="AN790" i="9"/>
  <c r="AQ789" i="9"/>
  <c r="AI789" i="9"/>
  <c r="AL788" i="9"/>
  <c r="AO787" i="9"/>
  <c r="AR786" i="9"/>
  <c r="AJ786" i="9"/>
  <c r="AN917" i="9"/>
  <c r="AI894" i="9"/>
  <c r="AR882" i="9"/>
  <c r="AI871" i="9"/>
  <c r="AN867" i="9"/>
  <c r="AS863" i="9"/>
  <c r="AQ861" i="9"/>
  <c r="AN856" i="9"/>
  <c r="AN851" i="9"/>
  <c r="AR850" i="9"/>
  <c r="AM847" i="9"/>
  <c r="AK844" i="9"/>
  <c r="AO843" i="9"/>
  <c r="AJ840" i="9"/>
  <c r="AR839" i="9"/>
  <c r="AL836" i="9"/>
  <c r="AQ835" i="9"/>
  <c r="AO832" i="9"/>
  <c r="AS831" i="9"/>
  <c r="AI829" i="9"/>
  <c r="AN828" i="9"/>
  <c r="AL825" i="9"/>
  <c r="AS824" i="9"/>
  <c r="AN823" i="9"/>
  <c r="AI822" i="9"/>
  <c r="AI821" i="9"/>
  <c r="AO820" i="9"/>
  <c r="AJ819" i="9"/>
  <c r="AP818" i="9"/>
  <c r="AL817" i="9"/>
  <c r="AO816" i="9"/>
  <c r="AR815" i="9"/>
  <c r="AJ815" i="9"/>
  <c r="AM814" i="9"/>
  <c r="AP813" i="9"/>
  <c r="AS812" i="9"/>
  <c r="AK812" i="9"/>
  <c r="AN811" i="9"/>
  <c r="AQ810" i="9"/>
  <c r="AI810" i="9"/>
  <c r="AL809" i="9"/>
  <c r="AO808" i="9"/>
  <c r="AR807" i="9"/>
  <c r="AJ807" i="9"/>
  <c r="AM806" i="9"/>
  <c r="AP805" i="9"/>
  <c r="AS804" i="9"/>
  <c r="AK804" i="9"/>
  <c r="AN803" i="9"/>
  <c r="AQ802" i="9"/>
  <c r="AI802" i="9"/>
  <c r="AL801" i="9"/>
  <c r="AO800" i="9"/>
  <c r="AR799" i="9"/>
  <c r="AJ799" i="9"/>
  <c r="AM798" i="9"/>
  <c r="AP797" i="9"/>
  <c r="AS796" i="9"/>
  <c r="AK796" i="9"/>
  <c r="AN795" i="9"/>
  <c r="AQ794" i="9"/>
  <c r="AI794" i="9"/>
  <c r="AL793" i="9"/>
  <c r="AO792" i="9"/>
  <c r="AR791" i="9"/>
  <c r="AJ791" i="9"/>
  <c r="AM790" i="9"/>
  <c r="AP789" i="9"/>
  <c r="AS788" i="9"/>
  <c r="AK788" i="9"/>
  <c r="AS931" i="9"/>
  <c r="AL878" i="9"/>
  <c r="AQ874" i="9"/>
  <c r="AI861" i="9"/>
  <c r="AN857" i="9"/>
  <c r="AJ856" i="9"/>
  <c r="AS853" i="9"/>
  <c r="AI851" i="9"/>
  <c r="AQ850" i="9"/>
  <c r="AK847" i="9"/>
  <c r="AP846" i="9"/>
  <c r="AN843" i="9"/>
  <c r="AR842" i="9"/>
  <c r="AM839" i="9"/>
  <c r="AK836" i="9"/>
  <c r="AO835" i="9"/>
  <c r="AJ832" i="9"/>
  <c r="AR831" i="9"/>
  <c r="AL828" i="9"/>
  <c r="AQ827" i="9"/>
  <c r="AR824" i="9"/>
  <c r="AM823" i="9"/>
  <c r="AN820" i="9"/>
  <c r="AI819" i="9"/>
  <c r="AO818" i="9"/>
  <c r="AK817" i="9"/>
  <c r="AN816" i="9"/>
  <c r="AQ815" i="9"/>
  <c r="AI815" i="9"/>
  <c r="AL814" i="9"/>
  <c r="AO813" i="9"/>
  <c r="AR812" i="9"/>
  <c r="AJ812" i="9"/>
  <c r="AM811" i="9"/>
  <c r="AP810" i="9"/>
  <c r="AS809" i="9"/>
  <c r="AK809" i="9"/>
  <c r="AN808" i="9"/>
  <c r="AQ807" i="9"/>
  <c r="AI807" i="9"/>
  <c r="AL806" i="9"/>
  <c r="AO805" i="9"/>
  <c r="AR804" i="9"/>
  <c r="AJ804" i="9"/>
  <c r="AM803" i="9"/>
  <c r="AP802" i="9"/>
  <c r="AS801" i="9"/>
  <c r="AK801" i="9"/>
  <c r="AN800" i="9"/>
  <c r="AQ799" i="9"/>
  <c r="AI799" i="9"/>
  <c r="AL798" i="9"/>
  <c r="AO797" i="9"/>
  <c r="AR796" i="9"/>
  <c r="AJ796" i="9"/>
  <c r="AM795" i="9"/>
  <c r="AP794" i="9"/>
  <c r="AS793" i="9"/>
  <c r="AK793" i="9"/>
  <c r="AN792" i="9"/>
  <c r="AQ791" i="9"/>
  <c r="AI791" i="9"/>
  <c r="AL790" i="9"/>
  <c r="AO789" i="9"/>
  <c r="AR788" i="9"/>
  <c r="AR913" i="9"/>
  <c r="AP891" i="9"/>
  <c r="AP866" i="9"/>
  <c r="AL857" i="9"/>
  <c r="AQ853" i="9"/>
  <c r="AL850" i="9"/>
  <c r="AJ847" i="9"/>
  <c r="AN846" i="9"/>
  <c r="AS845" i="9"/>
  <c r="AI843" i="9"/>
  <c r="AQ842" i="9"/>
  <c r="AK839" i="9"/>
  <c r="AP838" i="9"/>
  <c r="AN835" i="9"/>
  <c r="AR834" i="9"/>
  <c r="AM831" i="9"/>
  <c r="AK828" i="9"/>
  <c r="AO827" i="9"/>
  <c r="AP824" i="9"/>
  <c r="AK823" i="9"/>
  <c r="AS821" i="9"/>
  <c r="AL820" i="9"/>
  <c r="AR819" i="9"/>
  <c r="AM818" i="9"/>
  <c r="AS817" i="9"/>
  <c r="AJ817" i="9"/>
  <c r="AM816" i="9"/>
  <c r="AP815" i="9"/>
  <c r="AS814" i="9"/>
  <c r="AK814" i="9"/>
  <c r="AN813" i="9"/>
  <c r="AQ812" i="9"/>
  <c r="AI812" i="9"/>
  <c r="AL811" i="9"/>
  <c r="AO810" i="9"/>
  <c r="AR809" i="9"/>
  <c r="AJ809" i="9"/>
  <c r="AM808" i="9"/>
  <c r="AP807" i="9"/>
  <c r="AS806" i="9"/>
  <c r="AK806" i="9"/>
  <c r="AN805" i="9"/>
  <c r="AQ804" i="9"/>
  <c r="AI804" i="9"/>
  <c r="AL803" i="9"/>
  <c r="AO802" i="9"/>
  <c r="AR801" i="9"/>
  <c r="AJ801" i="9"/>
  <c r="AM800" i="9"/>
  <c r="AP799" i="9"/>
  <c r="AS798" i="9"/>
  <c r="AK798" i="9"/>
  <c r="AN797" i="9"/>
  <c r="AQ796" i="9"/>
  <c r="AI796" i="9"/>
  <c r="AL795" i="9"/>
  <c r="AO794" i="9"/>
  <c r="AR793" i="9"/>
  <c r="AJ793" i="9"/>
  <c r="AM792" i="9"/>
  <c r="AP791" i="9"/>
  <c r="AS790" i="9"/>
  <c r="AK790" i="9"/>
  <c r="AN789" i="9"/>
  <c r="AQ788" i="9"/>
  <c r="AI788" i="9"/>
  <c r="AP927" i="9"/>
  <c r="AI911" i="9"/>
  <c r="AS890" i="9"/>
  <c r="AK877" i="9"/>
  <c r="AS873" i="9"/>
  <c r="AL858" i="9"/>
  <c r="AK857" i="9"/>
  <c r="AP853" i="9"/>
  <c r="AJ850" i="9"/>
  <c r="AO849" i="9"/>
  <c r="AM846" i="9"/>
  <c r="AQ845" i="9"/>
  <c r="AL842" i="9"/>
  <c r="AJ839" i="9"/>
  <c r="AN838" i="9"/>
  <c r="AS837" i="9"/>
  <c r="AI835" i="9"/>
  <c r="AQ834" i="9"/>
  <c r="AK831" i="9"/>
  <c r="AP830" i="9"/>
  <c r="AN827" i="9"/>
  <c r="AR826" i="9"/>
  <c r="AO824" i="9"/>
  <c r="AJ823" i="9"/>
  <c r="AQ821" i="9"/>
  <c r="AK820" i="9"/>
  <c r="AQ819" i="9"/>
  <c r="AL818" i="9"/>
  <c r="AR817" i="9"/>
  <c r="AI817" i="9"/>
  <c r="AL816" i="9"/>
  <c r="AO815" i="9"/>
  <c r="AR814" i="9"/>
  <c r="AJ814" i="9"/>
  <c r="AM813" i="9"/>
  <c r="AP812" i="9"/>
  <c r="AS811" i="9"/>
  <c r="AK811" i="9"/>
  <c r="AN810" i="9"/>
  <c r="AQ809" i="9"/>
  <c r="AI809" i="9"/>
  <c r="AL808" i="9"/>
  <c r="AO807" i="9"/>
  <c r="AR806" i="9"/>
  <c r="AJ806" i="9"/>
  <c r="AM805" i="9"/>
  <c r="AP804" i="9"/>
  <c r="AS803" i="9"/>
  <c r="AK803" i="9"/>
  <c r="AN802" i="9"/>
  <c r="AQ801" i="9"/>
  <c r="AI801" i="9"/>
  <c r="AL800" i="9"/>
  <c r="AO799" i="9"/>
  <c r="AR798" i="9"/>
  <c r="AJ798" i="9"/>
  <c r="AM797" i="9"/>
  <c r="AP796" i="9"/>
  <c r="AS795" i="9"/>
  <c r="AK795" i="9"/>
  <c r="AN794" i="9"/>
  <c r="AQ793" i="9"/>
  <c r="AI793" i="9"/>
  <c r="AL792" i="9"/>
  <c r="AO791" i="9"/>
  <c r="AO909" i="9"/>
  <c r="AO884" i="9"/>
  <c r="AJ869" i="9"/>
  <c r="AO865" i="9"/>
  <c r="AJ858" i="9"/>
  <c r="AO854" i="9"/>
  <c r="AK853" i="9"/>
  <c r="AS852" i="9"/>
  <c r="AI850" i="9"/>
  <c r="AM849" i="9"/>
  <c r="AR848" i="9"/>
  <c r="AP845" i="9"/>
  <c r="AJ842" i="9"/>
  <c r="AO841" i="9"/>
  <c r="AM838" i="9"/>
  <c r="AQ837" i="9"/>
  <c r="AL834" i="9"/>
  <c r="AJ831" i="9"/>
  <c r="AN830" i="9"/>
  <c r="AS829" i="9"/>
  <c r="AI827" i="9"/>
  <c r="AQ826" i="9"/>
  <c r="AK824" i="9"/>
  <c r="AQ822" i="9"/>
  <c r="AP821" i="9"/>
  <c r="AJ820" i="9"/>
  <c r="AO819" i="9"/>
  <c r="AJ818" i="9"/>
  <c r="AP817" i="9"/>
  <c r="AS816" i="9"/>
  <c r="AK816" i="9"/>
  <c r="AN815" i="9"/>
  <c r="AQ814" i="9"/>
  <c r="AI814" i="9"/>
  <c r="AL813" i="9"/>
  <c r="AO812" i="9"/>
  <c r="AR811" i="9"/>
  <c r="AJ811" i="9"/>
  <c r="AM810" i="9"/>
  <c r="AP809" i="9"/>
  <c r="AS808" i="9"/>
  <c r="AK808" i="9"/>
  <c r="AN807" i="9"/>
  <c r="AQ806" i="9"/>
  <c r="AI806" i="9"/>
  <c r="AL805" i="9"/>
  <c r="AO804" i="9"/>
  <c r="AR803" i="9"/>
  <c r="AJ803" i="9"/>
  <c r="AM802" i="9"/>
  <c r="AP801" i="9"/>
  <c r="AS800" i="9"/>
  <c r="AK800" i="9"/>
  <c r="AN799" i="9"/>
  <c r="AQ798" i="9"/>
  <c r="AI798" i="9"/>
  <c r="AL797" i="9"/>
  <c r="AO796" i="9"/>
  <c r="AR795" i="9"/>
  <c r="AJ795" i="9"/>
  <c r="AM794" i="9"/>
  <c r="AP793" i="9"/>
  <c r="AS792" i="9"/>
  <c r="AK792" i="9"/>
  <c r="AN791" i="9"/>
  <c r="AQ790" i="9"/>
  <c r="AI790" i="9"/>
  <c r="AL789" i="9"/>
  <c r="AS923" i="9"/>
  <c r="AM876" i="9"/>
  <c r="AR872" i="9"/>
  <c r="AM859" i="9"/>
  <c r="AI858" i="9"/>
  <c r="AR855" i="9"/>
  <c r="AN854" i="9"/>
  <c r="AI853" i="9"/>
  <c r="AN852" i="9"/>
  <c r="AL849" i="9"/>
  <c r="AP848" i="9"/>
  <c r="AK845" i="9"/>
  <c r="AS844" i="9"/>
  <c r="AI842" i="9"/>
  <c r="AM841" i="9"/>
  <c r="AR840" i="9"/>
  <c r="AP837" i="9"/>
  <c r="AJ834" i="9"/>
  <c r="AO833" i="9"/>
  <c r="AM830" i="9"/>
  <c r="AQ829" i="9"/>
  <c r="AL826" i="9"/>
  <c r="AJ824" i="9"/>
  <c r="AP822" i="9"/>
  <c r="AN821" i="9"/>
  <c r="AS820" i="9"/>
  <c r="AI820" i="9"/>
  <c r="AN819" i="9"/>
  <c r="AI818" i="9"/>
  <c r="AO817" i="9"/>
  <c r="AR816" i="9"/>
  <c r="AJ816" i="9"/>
  <c r="AM815" i="9"/>
  <c r="AP814" i="9"/>
  <c r="AS813" i="9"/>
  <c r="AK813" i="9"/>
  <c r="AN812" i="9"/>
  <c r="AQ811" i="9"/>
  <c r="AI811" i="9"/>
  <c r="AL810" i="9"/>
  <c r="AO809" i="9"/>
  <c r="AR808" i="9"/>
  <c r="AJ808" i="9"/>
  <c r="AM807" i="9"/>
  <c r="AP806" i="9"/>
  <c r="AS805" i="9"/>
  <c r="AK805" i="9"/>
  <c r="AN804" i="9"/>
  <c r="AQ803" i="9"/>
  <c r="AI803" i="9"/>
  <c r="AL802" i="9"/>
  <c r="AO801" i="9"/>
  <c r="AR800" i="9"/>
  <c r="AJ800" i="9"/>
  <c r="AM799" i="9"/>
  <c r="AP798" i="9"/>
  <c r="AS797" i="9"/>
  <c r="AK797" i="9"/>
  <c r="AN796" i="9"/>
  <c r="AK921" i="9"/>
  <c r="AP883" i="9"/>
  <c r="AL868" i="9"/>
  <c r="AQ864" i="9"/>
  <c r="AS860" i="9"/>
  <c r="AM855" i="9"/>
  <c r="AL852" i="9"/>
  <c r="AQ851" i="9"/>
  <c r="AO848" i="9"/>
  <c r="AS847" i="9"/>
  <c r="AI845" i="9"/>
  <c r="AN844" i="9"/>
  <c r="AL841" i="9"/>
  <c r="AP840" i="9"/>
  <c r="AK837" i="9"/>
  <c r="AS836" i="9"/>
  <c r="AI834" i="9"/>
  <c r="AM833" i="9"/>
  <c r="AR832" i="9"/>
  <c r="AP829" i="9"/>
  <c r="AJ826" i="9"/>
  <c r="AO825" i="9"/>
  <c r="AS823" i="9"/>
  <c r="AN822" i="9"/>
  <c r="AL821" i="9"/>
  <c r="AR820" i="9"/>
  <c r="AM819" i="9"/>
  <c r="AR818" i="9"/>
  <c r="AN817" i="9"/>
  <c r="AI816" i="9"/>
  <c r="AP811" i="9"/>
  <c r="AM804" i="9"/>
  <c r="AJ797" i="9"/>
  <c r="AQ795" i="9"/>
  <c r="AL794" i="9"/>
  <c r="AM789" i="9"/>
  <c r="AM787" i="9"/>
  <c r="AM786" i="9"/>
  <c r="AM785" i="9"/>
  <c r="AP784" i="9"/>
  <c r="AS783" i="9"/>
  <c r="AK783" i="9"/>
  <c r="AN782" i="9"/>
  <c r="AQ781" i="9"/>
  <c r="AI781" i="9"/>
  <c r="AL780" i="9"/>
  <c r="AO779" i="9"/>
  <c r="AR778" i="9"/>
  <c r="AJ778" i="9"/>
  <c r="AM777" i="9"/>
  <c r="AP776" i="9"/>
  <c r="AS775" i="9"/>
  <c r="AK775" i="9"/>
  <c r="AN774" i="9"/>
  <c r="AQ773" i="9"/>
  <c r="AI773" i="9"/>
  <c r="AL772" i="9"/>
  <c r="AO771" i="9"/>
  <c r="AR770" i="9"/>
  <c r="AJ770" i="9"/>
  <c r="AM769" i="9"/>
  <c r="AP768" i="9"/>
  <c r="AS767" i="9"/>
  <c r="AK767" i="9"/>
  <c r="AN766" i="9"/>
  <c r="AQ765" i="9"/>
  <c r="AI765" i="9"/>
  <c r="AL764" i="9"/>
  <c r="AR813" i="9"/>
  <c r="AO806" i="9"/>
  <c r="AL799" i="9"/>
  <c r="AP795" i="9"/>
  <c r="AK794" i="9"/>
  <c r="AK789" i="9"/>
  <c r="AL787" i="9"/>
  <c r="AL786" i="9"/>
  <c r="AL785" i="9"/>
  <c r="AO784" i="9"/>
  <c r="AR783" i="9"/>
  <c r="AJ783" i="9"/>
  <c r="AM782" i="9"/>
  <c r="AP781" i="9"/>
  <c r="AS780" i="9"/>
  <c r="AK780" i="9"/>
  <c r="AN779" i="9"/>
  <c r="AQ778" i="9"/>
  <c r="AI778" i="9"/>
  <c r="AL777" i="9"/>
  <c r="AO776" i="9"/>
  <c r="AR775" i="9"/>
  <c r="AJ775" i="9"/>
  <c r="AM774" i="9"/>
  <c r="AP773" i="9"/>
  <c r="AS772" i="9"/>
  <c r="AK772" i="9"/>
  <c r="AN771" i="9"/>
  <c r="AQ770" i="9"/>
  <c r="AI770" i="9"/>
  <c r="AL769" i="9"/>
  <c r="AO768" i="9"/>
  <c r="AR767" i="9"/>
  <c r="AJ767" i="9"/>
  <c r="AM766" i="9"/>
  <c r="AP765" i="9"/>
  <c r="AS764" i="9"/>
  <c r="AJ813" i="9"/>
  <c r="AQ808" i="9"/>
  <c r="AN801" i="9"/>
  <c r="AI795" i="9"/>
  <c r="AJ789" i="9"/>
  <c r="AP788" i="9"/>
  <c r="AK787" i="9"/>
  <c r="AK786" i="9"/>
  <c r="AS785" i="9"/>
  <c r="AK785" i="9"/>
  <c r="AN784" i="9"/>
  <c r="AQ783" i="9"/>
  <c r="AI783" i="9"/>
  <c r="AL782" i="9"/>
  <c r="AO781" i="9"/>
  <c r="AR780" i="9"/>
  <c r="AJ780" i="9"/>
  <c r="AM779" i="9"/>
  <c r="AP778" i="9"/>
  <c r="AS777" i="9"/>
  <c r="AK777" i="9"/>
  <c r="AN776" i="9"/>
  <c r="AQ775" i="9"/>
  <c r="AI775" i="9"/>
  <c r="AL774" i="9"/>
  <c r="AO773" i="9"/>
  <c r="AR772" i="9"/>
  <c r="AJ772" i="9"/>
  <c r="AM771" i="9"/>
  <c r="AP770" i="9"/>
  <c r="AS769" i="9"/>
  <c r="AK769" i="9"/>
  <c r="AN768" i="9"/>
  <c r="AQ767" i="9"/>
  <c r="AI767" i="9"/>
  <c r="AL766" i="9"/>
  <c r="AK810" i="9"/>
  <c r="AR805" i="9"/>
  <c r="AO798" i="9"/>
  <c r="AR792" i="9"/>
  <c r="AM791" i="9"/>
  <c r="AR790" i="9"/>
  <c r="AN788" i="9"/>
  <c r="AR787" i="9"/>
  <c r="AI787" i="9"/>
  <c r="AQ786" i="9"/>
  <c r="AQ785" i="9"/>
  <c r="AI785" i="9"/>
  <c r="AL784" i="9"/>
  <c r="AO783" i="9"/>
  <c r="AR782" i="9"/>
  <c r="AJ782" i="9"/>
  <c r="AM781" i="9"/>
  <c r="AP780" i="9"/>
  <c r="AS779" i="9"/>
  <c r="AK779" i="9"/>
  <c r="AN778" i="9"/>
  <c r="AQ777" i="9"/>
  <c r="AI777" i="9"/>
  <c r="AL776" i="9"/>
  <c r="AO775" i="9"/>
  <c r="AR774" i="9"/>
  <c r="AJ774" i="9"/>
  <c r="AM773" i="9"/>
  <c r="AP772" i="9"/>
  <c r="AS771" i="9"/>
  <c r="AK771" i="9"/>
  <c r="AN770" i="9"/>
  <c r="AQ769" i="9"/>
  <c r="AI769" i="9"/>
  <c r="AL768" i="9"/>
  <c r="AO767" i="9"/>
  <c r="AR766" i="9"/>
  <c r="AJ766" i="9"/>
  <c r="AM765" i="9"/>
  <c r="AP764" i="9"/>
  <c r="AM812" i="9"/>
  <c r="AJ805" i="9"/>
  <c r="AQ800" i="9"/>
  <c r="AQ792" i="9"/>
  <c r="AL791" i="9"/>
  <c r="AP790" i="9"/>
  <c r="AM788" i="9"/>
  <c r="AQ787" i="9"/>
  <c r="AP786" i="9"/>
  <c r="AP785" i="9"/>
  <c r="AS784" i="9"/>
  <c r="AK784" i="9"/>
  <c r="AN783" i="9"/>
  <c r="AQ782" i="9"/>
  <c r="AI782" i="9"/>
  <c r="AL781" i="9"/>
  <c r="AO780" i="9"/>
  <c r="AR779" i="9"/>
  <c r="AJ779" i="9"/>
  <c r="AM778" i="9"/>
  <c r="AP777" i="9"/>
  <c r="AS776" i="9"/>
  <c r="AK776" i="9"/>
  <c r="AN775" i="9"/>
  <c r="AQ774" i="9"/>
  <c r="AI774" i="9"/>
  <c r="AL773" i="9"/>
  <c r="AO772" i="9"/>
  <c r="AR771" i="9"/>
  <c r="AJ771" i="9"/>
  <c r="AM770" i="9"/>
  <c r="AO814" i="9"/>
  <c r="AL807" i="9"/>
  <c r="AS802" i="9"/>
  <c r="AI800" i="9"/>
  <c r="AO793" i="9"/>
  <c r="AJ792" i="9"/>
  <c r="AO790" i="9"/>
  <c r="AS789" i="9"/>
  <c r="AJ788" i="9"/>
  <c r="AP787" i="9"/>
  <c r="AO786" i="9"/>
  <c r="AO785" i="9"/>
  <c r="AR784" i="9"/>
  <c r="AJ784" i="9"/>
  <c r="AM783" i="9"/>
  <c r="AP782" i="9"/>
  <c r="AS781" i="9"/>
  <c r="AK781" i="9"/>
  <c r="AN780" i="9"/>
  <c r="AQ779" i="9"/>
  <c r="AI779" i="9"/>
  <c r="AL778" i="9"/>
  <c r="AO777" i="9"/>
  <c r="AR776" i="9"/>
  <c r="AJ776" i="9"/>
  <c r="AM775" i="9"/>
  <c r="AP774" i="9"/>
  <c r="AS773" i="9"/>
  <c r="AK773" i="9"/>
  <c r="AN772" i="9"/>
  <c r="AQ771" i="9"/>
  <c r="AI771" i="9"/>
  <c r="AL770" i="9"/>
  <c r="AO769" i="9"/>
  <c r="AR768" i="9"/>
  <c r="AJ768" i="9"/>
  <c r="AQ816" i="9"/>
  <c r="AR797" i="9"/>
  <c r="AI792" i="9"/>
  <c r="AQ784" i="9"/>
  <c r="AL783" i="9"/>
  <c r="AS778" i="9"/>
  <c r="AN777" i="9"/>
  <c r="AI776" i="9"/>
  <c r="AP771" i="9"/>
  <c r="AK770" i="9"/>
  <c r="AP769" i="9"/>
  <c r="AS766" i="9"/>
  <c r="AS765" i="9"/>
  <c r="AI764" i="9"/>
  <c r="AQ763" i="9"/>
  <c r="AI763" i="9"/>
  <c r="AL762" i="9"/>
  <c r="AO761" i="9"/>
  <c r="AR760" i="9"/>
  <c r="AJ760" i="9"/>
  <c r="AM759" i="9"/>
  <c r="AP758" i="9"/>
  <c r="AS757" i="9"/>
  <c r="AK757" i="9"/>
  <c r="AN756" i="9"/>
  <c r="AQ755" i="9"/>
  <c r="AI755" i="9"/>
  <c r="AL754" i="9"/>
  <c r="AO753" i="9"/>
  <c r="AR752" i="9"/>
  <c r="AJ752" i="9"/>
  <c r="AL815" i="9"/>
  <c r="AM796" i="9"/>
  <c r="AO788" i="9"/>
  <c r="AR785" i="9"/>
  <c r="AM784" i="9"/>
  <c r="AO778" i="9"/>
  <c r="AJ777" i="9"/>
  <c r="AQ772" i="9"/>
  <c r="AL771" i="9"/>
  <c r="AN769" i="9"/>
  <c r="AS768" i="9"/>
  <c r="AQ766" i="9"/>
  <c r="AR765" i="9"/>
  <c r="AR764" i="9"/>
  <c r="AP763" i="9"/>
  <c r="AS762" i="9"/>
  <c r="AK762" i="9"/>
  <c r="AN761" i="9"/>
  <c r="AQ760" i="9"/>
  <c r="AI760" i="9"/>
  <c r="AL759" i="9"/>
  <c r="AO758" i="9"/>
  <c r="AR757" i="9"/>
  <c r="AJ757" i="9"/>
  <c r="AM756" i="9"/>
  <c r="AP755" i="9"/>
  <c r="AS754" i="9"/>
  <c r="AK754" i="9"/>
  <c r="AN753" i="9"/>
  <c r="AQ752" i="9"/>
  <c r="AI752" i="9"/>
  <c r="AL751" i="9"/>
  <c r="AO750" i="9"/>
  <c r="AR749" i="9"/>
  <c r="AJ749" i="9"/>
  <c r="AM748" i="9"/>
  <c r="AP747" i="9"/>
  <c r="AS746" i="9"/>
  <c r="AK746" i="9"/>
  <c r="AN745" i="9"/>
  <c r="AQ744" i="9"/>
  <c r="AI744" i="9"/>
  <c r="AL743" i="9"/>
  <c r="AO742" i="9"/>
  <c r="AR741" i="9"/>
  <c r="AJ741" i="9"/>
  <c r="AM740" i="9"/>
  <c r="AP739" i="9"/>
  <c r="AS738" i="9"/>
  <c r="AK738" i="9"/>
  <c r="AN737" i="9"/>
  <c r="AQ736" i="9"/>
  <c r="AI736" i="9"/>
  <c r="AL735" i="9"/>
  <c r="AO734" i="9"/>
  <c r="AR733" i="9"/>
  <c r="AJ733" i="9"/>
  <c r="AM732" i="9"/>
  <c r="AP731" i="9"/>
  <c r="AS730" i="9"/>
  <c r="AK730" i="9"/>
  <c r="AN729" i="9"/>
  <c r="AQ728" i="9"/>
  <c r="AI728" i="9"/>
  <c r="AL727" i="9"/>
  <c r="AO726" i="9"/>
  <c r="AR725" i="9"/>
  <c r="AJ725" i="9"/>
  <c r="AM724" i="9"/>
  <c r="AP723" i="9"/>
  <c r="AS722" i="9"/>
  <c r="AK722" i="9"/>
  <c r="AN721" i="9"/>
  <c r="AQ720" i="9"/>
  <c r="AI720" i="9"/>
  <c r="AL719" i="9"/>
  <c r="AN785" i="9"/>
  <c r="AI784" i="9"/>
  <c r="AP779" i="9"/>
  <c r="AK778" i="9"/>
  <c r="AR773" i="9"/>
  <c r="AM772" i="9"/>
  <c r="AJ769" i="9"/>
  <c r="AQ768" i="9"/>
  <c r="AP766" i="9"/>
  <c r="AO765" i="9"/>
  <c r="AQ764" i="9"/>
  <c r="AO763" i="9"/>
  <c r="AR762" i="9"/>
  <c r="AJ762" i="9"/>
  <c r="AM761" i="9"/>
  <c r="AP760" i="9"/>
  <c r="AS759" i="9"/>
  <c r="AK759" i="9"/>
  <c r="AN758" i="9"/>
  <c r="AQ757" i="9"/>
  <c r="AI757" i="9"/>
  <c r="AL756" i="9"/>
  <c r="AO755" i="9"/>
  <c r="AR754" i="9"/>
  <c r="AJ754" i="9"/>
  <c r="AM753" i="9"/>
  <c r="AP752" i="9"/>
  <c r="AS751" i="9"/>
  <c r="AK751" i="9"/>
  <c r="AN750" i="9"/>
  <c r="AQ749" i="9"/>
  <c r="AI749" i="9"/>
  <c r="AL748" i="9"/>
  <c r="AO747" i="9"/>
  <c r="AR746" i="9"/>
  <c r="AJ746" i="9"/>
  <c r="AM745" i="9"/>
  <c r="AP744" i="9"/>
  <c r="AS743" i="9"/>
  <c r="AK743" i="9"/>
  <c r="AN742" i="9"/>
  <c r="AQ741" i="9"/>
  <c r="AI741" i="9"/>
  <c r="AL740" i="9"/>
  <c r="AO739" i="9"/>
  <c r="AR738" i="9"/>
  <c r="AJ738" i="9"/>
  <c r="AM737" i="9"/>
  <c r="AP736" i="9"/>
  <c r="AS735" i="9"/>
  <c r="AK735" i="9"/>
  <c r="AN734" i="9"/>
  <c r="AQ733" i="9"/>
  <c r="AI733" i="9"/>
  <c r="AL732" i="9"/>
  <c r="AO731" i="9"/>
  <c r="AR730" i="9"/>
  <c r="AJ730" i="9"/>
  <c r="AM729" i="9"/>
  <c r="AP728" i="9"/>
  <c r="AS727" i="9"/>
  <c r="AK727" i="9"/>
  <c r="AN726" i="9"/>
  <c r="AQ725" i="9"/>
  <c r="AI725" i="9"/>
  <c r="AL724" i="9"/>
  <c r="AO723" i="9"/>
  <c r="AR722" i="9"/>
  <c r="AP803" i="9"/>
  <c r="AS786" i="9"/>
  <c r="AJ785" i="9"/>
  <c r="AQ780" i="9"/>
  <c r="AL779" i="9"/>
  <c r="AS774" i="9"/>
  <c r="AN773" i="9"/>
  <c r="AI772" i="9"/>
  <c r="AM768" i="9"/>
  <c r="AO766" i="9"/>
  <c r="AN765" i="9"/>
  <c r="AO764" i="9"/>
  <c r="AN763" i="9"/>
  <c r="AQ762" i="9"/>
  <c r="AI762" i="9"/>
  <c r="AL761" i="9"/>
  <c r="AO760" i="9"/>
  <c r="AR759" i="9"/>
  <c r="AJ759" i="9"/>
  <c r="AM758" i="9"/>
  <c r="AP757" i="9"/>
  <c r="AS756" i="9"/>
  <c r="AK756" i="9"/>
  <c r="AN755" i="9"/>
  <c r="AQ754" i="9"/>
  <c r="AI754" i="9"/>
  <c r="AL753" i="9"/>
  <c r="AO752" i="9"/>
  <c r="AR751" i="9"/>
  <c r="AJ751" i="9"/>
  <c r="AM750" i="9"/>
  <c r="AP749" i="9"/>
  <c r="AS748" i="9"/>
  <c r="AK748" i="9"/>
  <c r="AN747" i="9"/>
  <c r="AQ746" i="9"/>
  <c r="AI746" i="9"/>
  <c r="AL745" i="9"/>
  <c r="AO744" i="9"/>
  <c r="AR743" i="9"/>
  <c r="AJ743" i="9"/>
  <c r="AM742" i="9"/>
  <c r="AP741" i="9"/>
  <c r="AS740" i="9"/>
  <c r="AK740" i="9"/>
  <c r="AN739" i="9"/>
  <c r="AQ738" i="9"/>
  <c r="AI738" i="9"/>
  <c r="AL737" i="9"/>
  <c r="AO736" i="9"/>
  <c r="AR735" i="9"/>
  <c r="AJ735" i="9"/>
  <c r="AM734" i="9"/>
  <c r="AP733" i="9"/>
  <c r="AS732" i="9"/>
  <c r="AK732" i="9"/>
  <c r="AN731" i="9"/>
  <c r="AQ730" i="9"/>
  <c r="AI730" i="9"/>
  <c r="AL729" i="9"/>
  <c r="AO728" i="9"/>
  <c r="AR727" i="9"/>
  <c r="AJ727" i="9"/>
  <c r="AM726" i="9"/>
  <c r="AP725" i="9"/>
  <c r="AS724" i="9"/>
  <c r="AK724" i="9"/>
  <c r="AN723" i="9"/>
  <c r="AQ722" i="9"/>
  <c r="AI722" i="9"/>
  <c r="AK802" i="9"/>
  <c r="AS794" i="9"/>
  <c r="AJ790" i="9"/>
  <c r="AN786" i="9"/>
  <c r="AR781" i="9"/>
  <c r="AM780" i="9"/>
  <c r="AO774" i="9"/>
  <c r="AJ773" i="9"/>
  <c r="AK768" i="9"/>
  <c r="AP767" i="9"/>
  <c r="AK766" i="9"/>
  <c r="AL765" i="9"/>
  <c r="AN764" i="9"/>
  <c r="AM763" i="9"/>
  <c r="AP762" i="9"/>
  <c r="AS761" i="9"/>
  <c r="AK761" i="9"/>
  <c r="AN760" i="9"/>
  <c r="AQ759" i="9"/>
  <c r="AI759" i="9"/>
  <c r="AL758" i="9"/>
  <c r="AO757" i="9"/>
  <c r="AR756" i="9"/>
  <c r="AJ756" i="9"/>
  <c r="AM755" i="9"/>
  <c r="AP754" i="9"/>
  <c r="AS753" i="9"/>
  <c r="AK753" i="9"/>
  <c r="AN752" i="9"/>
  <c r="AS810" i="9"/>
  <c r="AS787" i="9"/>
  <c r="AI786" i="9"/>
  <c r="AS782" i="9"/>
  <c r="AN781" i="9"/>
  <c r="AI780" i="9"/>
  <c r="AP775" i="9"/>
  <c r="AK774" i="9"/>
  <c r="AI768" i="9"/>
  <c r="AN767" i="9"/>
  <c r="AI766" i="9"/>
  <c r="AK765" i="9"/>
  <c r="AM764" i="9"/>
  <c r="AL763" i="9"/>
  <c r="AO762" i="9"/>
  <c r="AR761" i="9"/>
  <c r="AJ761" i="9"/>
  <c r="AM760" i="9"/>
  <c r="AP759" i="9"/>
  <c r="AS758" i="9"/>
  <c r="AK758" i="9"/>
  <c r="AN757" i="9"/>
  <c r="AQ756" i="9"/>
  <c r="AI756" i="9"/>
  <c r="AL755" i="9"/>
  <c r="AO754" i="9"/>
  <c r="AR753" i="9"/>
  <c r="AJ753" i="9"/>
  <c r="AM752" i="9"/>
  <c r="AP751" i="9"/>
  <c r="AS750" i="9"/>
  <c r="AK750" i="9"/>
  <c r="AN749" i="9"/>
  <c r="AQ748" i="9"/>
  <c r="AI748" i="9"/>
  <c r="AL747" i="9"/>
  <c r="AO746" i="9"/>
  <c r="AR745" i="9"/>
  <c r="AJ745" i="9"/>
  <c r="AM744" i="9"/>
  <c r="AP743" i="9"/>
  <c r="AS742" i="9"/>
  <c r="AK742" i="9"/>
  <c r="AN741" i="9"/>
  <c r="AQ740" i="9"/>
  <c r="AI740" i="9"/>
  <c r="AL739" i="9"/>
  <c r="AO738" i="9"/>
  <c r="AR737" i="9"/>
  <c r="AJ737" i="9"/>
  <c r="AM736" i="9"/>
  <c r="AP735" i="9"/>
  <c r="AS734" i="9"/>
  <c r="AK734" i="9"/>
  <c r="AN733" i="9"/>
  <c r="AQ732" i="9"/>
  <c r="AI732" i="9"/>
  <c r="AL731" i="9"/>
  <c r="AO730" i="9"/>
  <c r="AR729" i="9"/>
  <c r="AJ729" i="9"/>
  <c r="AM728" i="9"/>
  <c r="AP727" i="9"/>
  <c r="AS726" i="9"/>
  <c r="AK726" i="9"/>
  <c r="AN725" i="9"/>
  <c r="AQ724" i="9"/>
  <c r="AI724" i="9"/>
  <c r="AL723" i="9"/>
  <c r="AO722" i="9"/>
  <c r="AR721" i="9"/>
  <c r="AJ721" i="9"/>
  <c r="AM720" i="9"/>
  <c r="AP719" i="9"/>
  <c r="AS718" i="9"/>
  <c r="AN809" i="9"/>
  <c r="AN793" i="9"/>
  <c r="AR789" i="9"/>
  <c r="AN787" i="9"/>
  <c r="AO782" i="9"/>
  <c r="AJ781" i="9"/>
  <c r="AQ776" i="9"/>
  <c r="AL775" i="9"/>
  <c r="AS770" i="9"/>
  <c r="AM767" i="9"/>
  <c r="AJ765" i="9"/>
  <c r="AK764" i="9"/>
  <c r="AS763" i="9"/>
  <c r="AK763" i="9"/>
  <c r="AN762" i="9"/>
  <c r="AQ761" i="9"/>
  <c r="AI761" i="9"/>
  <c r="AL760" i="9"/>
  <c r="AO759" i="9"/>
  <c r="AR758" i="9"/>
  <c r="AJ758" i="9"/>
  <c r="AM757" i="9"/>
  <c r="AP756" i="9"/>
  <c r="AS755" i="9"/>
  <c r="AK755" i="9"/>
  <c r="AN754" i="9"/>
  <c r="AQ753" i="9"/>
  <c r="AI753" i="9"/>
  <c r="AL752" i="9"/>
  <c r="AO751" i="9"/>
  <c r="AR750" i="9"/>
  <c r="AJ750" i="9"/>
  <c r="AM749" i="9"/>
  <c r="AP748" i="9"/>
  <c r="AS747" i="9"/>
  <c r="AK747" i="9"/>
  <c r="AN746" i="9"/>
  <c r="AQ745" i="9"/>
  <c r="AI745" i="9"/>
  <c r="AL744" i="9"/>
  <c r="AO743" i="9"/>
  <c r="AR742" i="9"/>
  <c r="AJ742" i="9"/>
  <c r="AM741" i="9"/>
  <c r="AP740" i="9"/>
  <c r="AS739" i="9"/>
  <c r="AK739" i="9"/>
  <c r="AN738" i="9"/>
  <c r="AQ737" i="9"/>
  <c r="AI737" i="9"/>
  <c r="AL736" i="9"/>
  <c r="AO735" i="9"/>
  <c r="AR734" i="9"/>
  <c r="AJ734" i="9"/>
  <c r="AM733" i="9"/>
  <c r="AP732" i="9"/>
  <c r="AS731" i="9"/>
  <c r="AK731" i="9"/>
  <c r="AN730" i="9"/>
  <c r="AQ729" i="9"/>
  <c r="AI729" i="9"/>
  <c r="AL728" i="9"/>
  <c r="AO727" i="9"/>
  <c r="AR726" i="9"/>
  <c r="AI808" i="9"/>
  <c r="AJ787" i="9"/>
  <c r="AP783" i="9"/>
  <c r="AK782" i="9"/>
  <c r="AR777" i="9"/>
  <c r="AM776" i="9"/>
  <c r="AO770" i="9"/>
  <c r="AR769" i="9"/>
  <c r="AL767" i="9"/>
  <c r="AJ764" i="9"/>
  <c r="AR763" i="9"/>
  <c r="AJ763" i="9"/>
  <c r="AM762" i="9"/>
  <c r="AP761" i="9"/>
  <c r="AS760" i="9"/>
  <c r="AK760" i="9"/>
  <c r="AN759" i="9"/>
  <c r="AQ758" i="9"/>
  <c r="AI758" i="9"/>
  <c r="AL757" i="9"/>
  <c r="AO756" i="9"/>
  <c r="AR755" i="9"/>
  <c r="AJ755" i="9"/>
  <c r="AM754" i="9"/>
  <c r="AP753" i="9"/>
  <c r="AS752" i="9"/>
  <c r="AK752" i="9"/>
  <c r="AN751" i="9"/>
  <c r="AQ750" i="9"/>
  <c r="AI750" i="9"/>
  <c r="AL749" i="9"/>
  <c r="AO748" i="9"/>
  <c r="AR747" i="9"/>
  <c r="AJ747" i="9"/>
  <c r="AM746" i="9"/>
  <c r="AP745" i="9"/>
  <c r="AS744" i="9"/>
  <c r="AK744" i="9"/>
  <c r="AN743" i="9"/>
  <c r="AQ742" i="9"/>
  <c r="AI742" i="9"/>
  <c r="AL741" i="9"/>
  <c r="AO740" i="9"/>
  <c r="AR739" i="9"/>
  <c r="AJ739" i="9"/>
  <c r="AM738" i="9"/>
  <c r="AP737" i="9"/>
  <c r="AS736" i="9"/>
  <c r="AK736" i="9"/>
  <c r="AN735" i="9"/>
  <c r="AQ734" i="9"/>
  <c r="AI734" i="9"/>
  <c r="AL733" i="9"/>
  <c r="AO732" i="9"/>
  <c r="AR731" i="9"/>
  <c r="AJ731" i="9"/>
  <c r="AM730" i="9"/>
  <c r="AP729" i="9"/>
  <c r="AS728" i="9"/>
  <c r="AK728" i="9"/>
  <c r="AN727" i="9"/>
  <c r="AQ726" i="9"/>
  <c r="AI726" i="9"/>
  <c r="AL725" i="9"/>
  <c r="AP750" i="9"/>
  <c r="AK749" i="9"/>
  <c r="AR744" i="9"/>
  <c r="AM743" i="9"/>
  <c r="AO737" i="9"/>
  <c r="AJ736" i="9"/>
  <c r="AQ731" i="9"/>
  <c r="AL730" i="9"/>
  <c r="AO724" i="9"/>
  <c r="AJ723" i="9"/>
  <c r="AK721" i="9"/>
  <c r="AP720" i="9"/>
  <c r="AK719" i="9"/>
  <c r="AR718" i="9"/>
  <c r="AJ718" i="9"/>
  <c r="AM717" i="9"/>
  <c r="AP716" i="9"/>
  <c r="AS715" i="9"/>
  <c r="AK715" i="9"/>
  <c r="AN714" i="9"/>
  <c r="AQ713" i="9"/>
  <c r="AI713" i="9"/>
  <c r="AL712" i="9"/>
  <c r="AO711" i="9"/>
  <c r="AR710" i="9"/>
  <c r="AJ710" i="9"/>
  <c r="AM709" i="9"/>
  <c r="AP708" i="9"/>
  <c r="AS707" i="9"/>
  <c r="AK707" i="9"/>
  <c r="AN706" i="9"/>
  <c r="AQ705" i="9"/>
  <c r="AI705" i="9"/>
  <c r="AL704" i="9"/>
  <c r="AQ751" i="9"/>
  <c r="AL750" i="9"/>
  <c r="AS745" i="9"/>
  <c r="AN744" i="9"/>
  <c r="AI743" i="9"/>
  <c r="AP738" i="9"/>
  <c r="AK737" i="9"/>
  <c r="AR732" i="9"/>
  <c r="AM731" i="9"/>
  <c r="AN724" i="9"/>
  <c r="AI723" i="9"/>
  <c r="AI721" i="9"/>
  <c r="AO720" i="9"/>
  <c r="AJ719" i="9"/>
  <c r="AQ718" i="9"/>
  <c r="AI718" i="9"/>
  <c r="AL717" i="9"/>
  <c r="AO716" i="9"/>
  <c r="AR715" i="9"/>
  <c r="AJ715" i="9"/>
  <c r="AM714" i="9"/>
  <c r="AP713" i="9"/>
  <c r="AS712" i="9"/>
  <c r="AK712" i="9"/>
  <c r="AN711" i="9"/>
  <c r="AQ710" i="9"/>
  <c r="AI710" i="9"/>
  <c r="AL709" i="9"/>
  <c r="AO708" i="9"/>
  <c r="AR707" i="9"/>
  <c r="AJ707" i="9"/>
  <c r="AM706" i="9"/>
  <c r="AP705" i="9"/>
  <c r="AS704" i="9"/>
  <c r="AK704" i="9"/>
  <c r="AN703" i="9"/>
  <c r="AQ702" i="9"/>
  <c r="AI702" i="9"/>
  <c r="AL701" i="9"/>
  <c r="AO700" i="9"/>
  <c r="AR699" i="9"/>
  <c r="AJ699" i="9"/>
  <c r="AM698" i="9"/>
  <c r="AP697" i="9"/>
  <c r="AS696" i="9"/>
  <c r="AK696" i="9"/>
  <c r="AN695" i="9"/>
  <c r="AQ694" i="9"/>
  <c r="AI694" i="9"/>
  <c r="AL693" i="9"/>
  <c r="AO692" i="9"/>
  <c r="AR691" i="9"/>
  <c r="AJ691" i="9"/>
  <c r="AM690" i="9"/>
  <c r="AP689" i="9"/>
  <c r="AS688" i="9"/>
  <c r="AK688" i="9"/>
  <c r="AN687" i="9"/>
  <c r="AQ686" i="9"/>
  <c r="AI686" i="9"/>
  <c r="AL685" i="9"/>
  <c r="AO684" i="9"/>
  <c r="AR683" i="9"/>
  <c r="AJ683" i="9"/>
  <c r="AM682" i="9"/>
  <c r="AP681" i="9"/>
  <c r="AS680" i="9"/>
  <c r="AK680" i="9"/>
  <c r="AN679" i="9"/>
  <c r="AQ678" i="9"/>
  <c r="AI678" i="9"/>
  <c r="AL677" i="9"/>
  <c r="AO676" i="9"/>
  <c r="AR675" i="9"/>
  <c r="AJ675" i="9"/>
  <c r="AM674" i="9"/>
  <c r="AP673" i="9"/>
  <c r="AS672" i="9"/>
  <c r="AK672" i="9"/>
  <c r="AM751" i="9"/>
  <c r="AO745" i="9"/>
  <c r="AJ744" i="9"/>
  <c r="AQ739" i="9"/>
  <c r="AL738" i="9"/>
  <c r="AS733" i="9"/>
  <c r="AN732" i="9"/>
  <c r="AI731" i="9"/>
  <c r="AP726" i="9"/>
  <c r="AJ724" i="9"/>
  <c r="AP722" i="9"/>
  <c r="AS721" i="9"/>
  <c r="AN720" i="9"/>
  <c r="AS719" i="9"/>
  <c r="AI719" i="9"/>
  <c r="AP718" i="9"/>
  <c r="AS717" i="9"/>
  <c r="AK717" i="9"/>
  <c r="AN716" i="9"/>
  <c r="AQ715" i="9"/>
  <c r="AI715" i="9"/>
  <c r="AL714" i="9"/>
  <c r="AO713" i="9"/>
  <c r="AR712" i="9"/>
  <c r="AJ712" i="9"/>
  <c r="AM711" i="9"/>
  <c r="AP710" i="9"/>
  <c r="AS709" i="9"/>
  <c r="AK709" i="9"/>
  <c r="AN708" i="9"/>
  <c r="AQ707" i="9"/>
  <c r="AI707" i="9"/>
  <c r="AL706" i="9"/>
  <c r="AO705" i="9"/>
  <c r="AR704" i="9"/>
  <c r="AJ704" i="9"/>
  <c r="AM703" i="9"/>
  <c r="AP702" i="9"/>
  <c r="AS701" i="9"/>
  <c r="AK701" i="9"/>
  <c r="AN700" i="9"/>
  <c r="AQ699" i="9"/>
  <c r="AI699" i="9"/>
  <c r="AL698" i="9"/>
  <c r="AO697" i="9"/>
  <c r="AR696" i="9"/>
  <c r="AJ696" i="9"/>
  <c r="AM695" i="9"/>
  <c r="AP694" i="9"/>
  <c r="AS693" i="9"/>
  <c r="AK693" i="9"/>
  <c r="AN692" i="9"/>
  <c r="AQ691" i="9"/>
  <c r="AI691" i="9"/>
  <c r="AL690" i="9"/>
  <c r="AO689" i="9"/>
  <c r="AR688" i="9"/>
  <c r="AJ688" i="9"/>
  <c r="AM687" i="9"/>
  <c r="AP686" i="9"/>
  <c r="AS685" i="9"/>
  <c r="AK685" i="9"/>
  <c r="AN684" i="9"/>
  <c r="AQ683" i="9"/>
  <c r="AI683" i="9"/>
  <c r="AL682" i="9"/>
  <c r="AO681" i="9"/>
  <c r="AR680" i="9"/>
  <c r="AJ680" i="9"/>
  <c r="AM679" i="9"/>
  <c r="AP678" i="9"/>
  <c r="AS677" i="9"/>
  <c r="AK677" i="9"/>
  <c r="AN676" i="9"/>
  <c r="AQ675" i="9"/>
  <c r="AI675" i="9"/>
  <c r="AI751" i="9"/>
  <c r="AP746" i="9"/>
  <c r="AK745" i="9"/>
  <c r="AR740" i="9"/>
  <c r="AM739" i="9"/>
  <c r="AO733" i="9"/>
  <c r="AJ732" i="9"/>
  <c r="AQ727" i="9"/>
  <c r="AL726" i="9"/>
  <c r="AS725" i="9"/>
  <c r="AS723" i="9"/>
  <c r="AN722" i="9"/>
  <c r="AQ721" i="9"/>
  <c r="AL720" i="9"/>
  <c r="AR719" i="9"/>
  <c r="AO718" i="9"/>
  <c r="AR717" i="9"/>
  <c r="AJ717" i="9"/>
  <c r="AM716" i="9"/>
  <c r="AP715" i="9"/>
  <c r="AS714" i="9"/>
  <c r="AK714" i="9"/>
  <c r="AN713" i="9"/>
  <c r="AQ712" i="9"/>
  <c r="AI712" i="9"/>
  <c r="AL711" i="9"/>
  <c r="AO710" i="9"/>
  <c r="AR709" i="9"/>
  <c r="AJ709" i="9"/>
  <c r="AM708" i="9"/>
  <c r="AP707" i="9"/>
  <c r="AS706" i="9"/>
  <c r="AK706" i="9"/>
  <c r="AN705" i="9"/>
  <c r="AQ704" i="9"/>
  <c r="AI704" i="9"/>
  <c r="AL703" i="9"/>
  <c r="AO702" i="9"/>
  <c r="AR701" i="9"/>
  <c r="AJ701" i="9"/>
  <c r="AM700" i="9"/>
  <c r="AP699" i="9"/>
  <c r="AS698" i="9"/>
  <c r="AK698" i="9"/>
  <c r="AN697" i="9"/>
  <c r="AQ696" i="9"/>
  <c r="AI696" i="9"/>
  <c r="AL695" i="9"/>
  <c r="AO694" i="9"/>
  <c r="AR693" i="9"/>
  <c r="AJ693" i="9"/>
  <c r="AM692" i="9"/>
  <c r="AP691" i="9"/>
  <c r="AS690" i="9"/>
  <c r="AK690" i="9"/>
  <c r="AN689" i="9"/>
  <c r="AQ688" i="9"/>
  <c r="AI688" i="9"/>
  <c r="AL687" i="9"/>
  <c r="AO686" i="9"/>
  <c r="AR685" i="9"/>
  <c r="AJ685" i="9"/>
  <c r="AM684" i="9"/>
  <c r="AP683" i="9"/>
  <c r="AS682" i="9"/>
  <c r="AK682" i="9"/>
  <c r="AN681" i="9"/>
  <c r="AQ680" i="9"/>
  <c r="AI680" i="9"/>
  <c r="AL679" i="9"/>
  <c r="AO678" i="9"/>
  <c r="AR677" i="9"/>
  <c r="AJ677" i="9"/>
  <c r="AM676" i="9"/>
  <c r="AP675" i="9"/>
  <c r="AS674" i="9"/>
  <c r="AK674" i="9"/>
  <c r="AQ747" i="9"/>
  <c r="AL746" i="9"/>
  <c r="AS741" i="9"/>
  <c r="AN740" i="9"/>
  <c r="AI739" i="9"/>
  <c r="AP734" i="9"/>
  <c r="AK733" i="9"/>
  <c r="AR728" i="9"/>
  <c r="AM727" i="9"/>
  <c r="AJ726" i="9"/>
  <c r="AO725" i="9"/>
  <c r="AR723" i="9"/>
  <c r="AM722" i="9"/>
  <c r="AP721" i="9"/>
  <c r="AK720" i="9"/>
  <c r="AQ719" i="9"/>
  <c r="AN718" i="9"/>
  <c r="AQ717" i="9"/>
  <c r="AI717" i="9"/>
  <c r="AL716" i="9"/>
  <c r="AO715" i="9"/>
  <c r="AR714" i="9"/>
  <c r="AJ714" i="9"/>
  <c r="AM713" i="9"/>
  <c r="AP712" i="9"/>
  <c r="AS711" i="9"/>
  <c r="AK711" i="9"/>
  <c r="AN710" i="9"/>
  <c r="AQ709" i="9"/>
  <c r="AI709" i="9"/>
  <c r="AL708" i="9"/>
  <c r="AO707" i="9"/>
  <c r="AR706" i="9"/>
  <c r="AJ706" i="9"/>
  <c r="AM705" i="9"/>
  <c r="AP704" i="9"/>
  <c r="AR748" i="9"/>
  <c r="AM747" i="9"/>
  <c r="AO741" i="9"/>
  <c r="AJ740" i="9"/>
  <c r="AQ735" i="9"/>
  <c r="AL734" i="9"/>
  <c r="AS729" i="9"/>
  <c r="AN728" i="9"/>
  <c r="AI727" i="9"/>
  <c r="AM725" i="9"/>
  <c r="AQ723" i="9"/>
  <c r="AL722" i="9"/>
  <c r="AO721" i="9"/>
  <c r="AJ720" i="9"/>
  <c r="AO719" i="9"/>
  <c r="AM718" i="9"/>
  <c r="AP717" i="9"/>
  <c r="AS716" i="9"/>
  <c r="AK716" i="9"/>
  <c r="AN715" i="9"/>
  <c r="AQ714" i="9"/>
  <c r="AI714" i="9"/>
  <c r="AL713" i="9"/>
  <c r="AO712" i="9"/>
  <c r="AR711" i="9"/>
  <c r="AJ711" i="9"/>
  <c r="AM710" i="9"/>
  <c r="AP709" i="9"/>
  <c r="AS708" i="9"/>
  <c r="AK708" i="9"/>
  <c r="AN707" i="9"/>
  <c r="AQ706" i="9"/>
  <c r="AI706" i="9"/>
  <c r="AL705" i="9"/>
  <c r="AO704" i="9"/>
  <c r="AR703" i="9"/>
  <c r="AJ703" i="9"/>
  <c r="AM702" i="9"/>
  <c r="AP701" i="9"/>
  <c r="AS700" i="9"/>
  <c r="AK700" i="9"/>
  <c r="AN699" i="9"/>
  <c r="AQ698" i="9"/>
  <c r="AI698" i="9"/>
  <c r="AL697" i="9"/>
  <c r="AO696" i="9"/>
  <c r="AR695" i="9"/>
  <c r="AJ695" i="9"/>
  <c r="AM694" i="9"/>
  <c r="AP693" i="9"/>
  <c r="AS692" i="9"/>
  <c r="AK692" i="9"/>
  <c r="AN691" i="9"/>
  <c r="AQ690" i="9"/>
  <c r="AI690" i="9"/>
  <c r="AL689" i="9"/>
  <c r="AO688" i="9"/>
  <c r="AR687" i="9"/>
  <c r="AJ687" i="9"/>
  <c r="AM686" i="9"/>
  <c r="AP685" i="9"/>
  <c r="AS684" i="9"/>
  <c r="AK684" i="9"/>
  <c r="AN683" i="9"/>
  <c r="AQ682" i="9"/>
  <c r="AI682" i="9"/>
  <c r="AL681" i="9"/>
  <c r="AO680" i="9"/>
  <c r="AR679" i="9"/>
  <c r="AJ679" i="9"/>
  <c r="AM678" i="9"/>
  <c r="AP677" i="9"/>
  <c r="AS676" i="9"/>
  <c r="AK676" i="9"/>
  <c r="AN675" i="9"/>
  <c r="AQ674" i="9"/>
  <c r="AI674" i="9"/>
  <c r="AL673" i="9"/>
  <c r="AO672" i="9"/>
  <c r="AR671" i="9"/>
  <c r="AS749" i="9"/>
  <c r="AN748" i="9"/>
  <c r="AI747" i="9"/>
  <c r="AP742" i="9"/>
  <c r="AK741" i="9"/>
  <c r="AR736" i="9"/>
  <c r="AM735" i="9"/>
  <c r="AO729" i="9"/>
  <c r="AJ728" i="9"/>
  <c r="AK725" i="9"/>
  <c r="AR724" i="9"/>
  <c r="AM723" i="9"/>
  <c r="AJ722" i="9"/>
  <c r="AM721" i="9"/>
  <c r="AS720" i="9"/>
  <c r="AN719" i="9"/>
  <c r="AL718" i="9"/>
  <c r="AO717" i="9"/>
  <c r="AR716" i="9"/>
  <c r="AJ716" i="9"/>
  <c r="AM715" i="9"/>
  <c r="AP714" i="9"/>
  <c r="AS713" i="9"/>
  <c r="AK713" i="9"/>
  <c r="AN712" i="9"/>
  <c r="AQ711" i="9"/>
  <c r="AI711" i="9"/>
  <c r="AL710" i="9"/>
  <c r="AO709" i="9"/>
  <c r="AR708" i="9"/>
  <c r="AJ708" i="9"/>
  <c r="AM707" i="9"/>
  <c r="AP706" i="9"/>
  <c r="AS705" i="9"/>
  <c r="AK705" i="9"/>
  <c r="AN704" i="9"/>
  <c r="AQ703" i="9"/>
  <c r="AI703" i="9"/>
  <c r="AL702" i="9"/>
  <c r="AO701" i="9"/>
  <c r="AR700" i="9"/>
  <c r="AJ700" i="9"/>
  <c r="AM699" i="9"/>
  <c r="AP698" i="9"/>
  <c r="AS697" i="9"/>
  <c r="AK697" i="9"/>
  <c r="AN696" i="9"/>
  <c r="AQ695" i="9"/>
  <c r="AI695" i="9"/>
  <c r="AL694" i="9"/>
  <c r="AO693" i="9"/>
  <c r="AR692" i="9"/>
  <c r="AJ692" i="9"/>
  <c r="AM691" i="9"/>
  <c r="AP690" i="9"/>
  <c r="AS689" i="9"/>
  <c r="AK689" i="9"/>
  <c r="AN688" i="9"/>
  <c r="AQ687" i="9"/>
  <c r="AI687" i="9"/>
  <c r="AL686" i="9"/>
  <c r="AO685" i="9"/>
  <c r="AR684" i="9"/>
  <c r="AJ684" i="9"/>
  <c r="AM683" i="9"/>
  <c r="AP682" i="9"/>
  <c r="AS681" i="9"/>
  <c r="AK681" i="9"/>
  <c r="AN680" i="9"/>
  <c r="AQ679" i="9"/>
  <c r="AO749" i="9"/>
  <c r="AJ748" i="9"/>
  <c r="AQ743" i="9"/>
  <c r="AL742" i="9"/>
  <c r="AS737" i="9"/>
  <c r="AN736" i="9"/>
  <c r="AI735" i="9"/>
  <c r="AP730" i="9"/>
  <c r="AK729" i="9"/>
  <c r="AP724" i="9"/>
  <c r="AK723" i="9"/>
  <c r="AL721" i="9"/>
  <c r="AR720" i="9"/>
  <c r="AM719" i="9"/>
  <c r="AK718" i="9"/>
  <c r="AN717" i="9"/>
  <c r="AQ716" i="9"/>
  <c r="AI716" i="9"/>
  <c r="AL715" i="9"/>
  <c r="AO714" i="9"/>
  <c r="AR713" i="9"/>
  <c r="AJ713" i="9"/>
  <c r="AM712" i="9"/>
  <c r="AP711" i="9"/>
  <c r="AS710" i="9"/>
  <c r="AK710" i="9"/>
  <c r="AN709" i="9"/>
  <c r="AQ708" i="9"/>
  <c r="AI708" i="9"/>
  <c r="AL707" i="9"/>
  <c r="AO706" i="9"/>
  <c r="AR705" i="9"/>
  <c r="AJ705" i="9"/>
  <c r="AM704" i="9"/>
  <c r="AP703" i="9"/>
  <c r="AS702" i="9"/>
  <c r="AK702" i="9"/>
  <c r="AN701" i="9"/>
  <c r="AQ700" i="9"/>
  <c r="AI700" i="9"/>
  <c r="AL699" i="9"/>
  <c r="AO698" i="9"/>
  <c r="AR697" i="9"/>
  <c r="AJ697" i="9"/>
  <c r="AM696" i="9"/>
  <c r="AP695" i="9"/>
  <c r="AS694" i="9"/>
  <c r="AK694" i="9"/>
  <c r="AN693" i="9"/>
  <c r="AQ692" i="9"/>
  <c r="AI692" i="9"/>
  <c r="AL691" i="9"/>
  <c r="AO690" i="9"/>
  <c r="AR689" i="9"/>
  <c r="AJ689" i="9"/>
  <c r="AM688" i="9"/>
  <c r="AP687" i="9"/>
  <c r="AS686" i="9"/>
  <c r="AK686" i="9"/>
  <c r="AN685" i="9"/>
  <c r="AQ684" i="9"/>
  <c r="AI684" i="9"/>
  <c r="AL683" i="9"/>
  <c r="AO682" i="9"/>
  <c r="AR681" i="9"/>
  <c r="AJ681" i="9"/>
  <c r="AM680" i="9"/>
  <c r="AP679" i="9"/>
  <c r="AQ701" i="9"/>
  <c r="AL700" i="9"/>
  <c r="AS695" i="9"/>
  <c r="AN694" i="9"/>
  <c r="AI693" i="9"/>
  <c r="AP688" i="9"/>
  <c r="AK687" i="9"/>
  <c r="AR682" i="9"/>
  <c r="AM681" i="9"/>
  <c r="AR678" i="9"/>
  <c r="AM677" i="9"/>
  <c r="AS675" i="9"/>
  <c r="AO674" i="9"/>
  <c r="AS673" i="9"/>
  <c r="AI673" i="9"/>
  <c r="AN672" i="9"/>
  <c r="AK671" i="9"/>
  <c r="AN670" i="9"/>
  <c r="AQ669" i="9"/>
  <c r="AI669" i="9"/>
  <c r="AL668" i="9"/>
  <c r="AO667" i="9"/>
  <c r="AR666" i="9"/>
  <c r="AJ666" i="9"/>
  <c r="AM665" i="9"/>
  <c r="AP664" i="9"/>
  <c r="AS663" i="9"/>
  <c r="AK663" i="9"/>
  <c r="AN662" i="9"/>
  <c r="AQ661" i="9"/>
  <c r="AI661" i="9"/>
  <c r="AL660" i="9"/>
  <c r="AO659" i="9"/>
  <c r="AR658" i="9"/>
  <c r="AJ658" i="9"/>
  <c r="AM657" i="9"/>
  <c r="AP656" i="9"/>
  <c r="AS655" i="9"/>
  <c r="AK655" i="9"/>
  <c r="AN654" i="9"/>
  <c r="AQ653" i="9"/>
  <c r="AI653" i="9"/>
  <c r="AL652" i="9"/>
  <c r="AO651" i="9"/>
  <c r="AR650" i="9"/>
  <c r="AJ650" i="9"/>
  <c r="AM649" i="9"/>
  <c r="AP648" i="9"/>
  <c r="AS647" i="9"/>
  <c r="AK647" i="9"/>
  <c r="AN646" i="9"/>
  <c r="AQ645" i="9"/>
  <c r="AI645" i="9"/>
  <c r="AL644" i="9"/>
  <c r="AO643" i="9"/>
  <c r="AR642" i="9"/>
  <c r="AJ642" i="9"/>
  <c r="AM641" i="9"/>
  <c r="AP640" i="9"/>
  <c r="AS639" i="9"/>
  <c r="AK639" i="9"/>
  <c r="AN638" i="9"/>
  <c r="AQ637" i="9"/>
  <c r="AI637" i="9"/>
  <c r="AL636" i="9"/>
  <c r="AO635" i="9"/>
  <c r="AR634" i="9"/>
  <c r="AJ634" i="9"/>
  <c r="AM633" i="9"/>
  <c r="AP632" i="9"/>
  <c r="AS631" i="9"/>
  <c r="AK631" i="9"/>
  <c r="AN630" i="9"/>
  <c r="AQ629" i="9"/>
  <c r="AI629" i="9"/>
  <c r="AL628" i="9"/>
  <c r="AO627" i="9"/>
  <c r="AR626" i="9"/>
  <c r="AR702" i="9"/>
  <c r="AM701" i="9"/>
  <c r="AO695" i="9"/>
  <c r="AJ694" i="9"/>
  <c r="AQ689" i="9"/>
  <c r="AL688" i="9"/>
  <c r="AS683" i="9"/>
  <c r="AN682" i="9"/>
  <c r="AI681" i="9"/>
  <c r="AN678" i="9"/>
  <c r="AI677" i="9"/>
  <c r="AO675" i="9"/>
  <c r="AN674" i="9"/>
  <c r="AR673" i="9"/>
  <c r="AM672" i="9"/>
  <c r="AS671" i="9"/>
  <c r="AJ671" i="9"/>
  <c r="AM670" i="9"/>
  <c r="AP669" i="9"/>
  <c r="AS668" i="9"/>
  <c r="AK668" i="9"/>
  <c r="AN667" i="9"/>
  <c r="AQ666" i="9"/>
  <c r="AI666" i="9"/>
  <c r="AL665" i="9"/>
  <c r="AO664" i="9"/>
  <c r="AR663" i="9"/>
  <c r="AJ663" i="9"/>
  <c r="AM662" i="9"/>
  <c r="AP661" i="9"/>
  <c r="AS660" i="9"/>
  <c r="AK660" i="9"/>
  <c r="AN659" i="9"/>
  <c r="AQ658" i="9"/>
  <c r="AI658" i="9"/>
  <c r="AL657" i="9"/>
  <c r="AO656" i="9"/>
  <c r="AR655" i="9"/>
  <c r="AJ655" i="9"/>
  <c r="AM654" i="9"/>
  <c r="AP653" i="9"/>
  <c r="AS652" i="9"/>
  <c r="AK652" i="9"/>
  <c r="AN651" i="9"/>
  <c r="AQ650" i="9"/>
  <c r="AI650" i="9"/>
  <c r="AL649" i="9"/>
  <c r="AO648" i="9"/>
  <c r="AR647" i="9"/>
  <c r="AJ647" i="9"/>
  <c r="AM646" i="9"/>
  <c r="AP645" i="9"/>
  <c r="AS644" i="9"/>
  <c r="AK644" i="9"/>
  <c r="AN643" i="9"/>
  <c r="AQ642" i="9"/>
  <c r="AI642" i="9"/>
  <c r="AL641" i="9"/>
  <c r="AO640" i="9"/>
  <c r="AR639" i="9"/>
  <c r="AJ639" i="9"/>
  <c r="AM638" i="9"/>
  <c r="AP637" i="9"/>
  <c r="AS636" i="9"/>
  <c r="AK636" i="9"/>
  <c r="AN635" i="9"/>
  <c r="AQ634" i="9"/>
  <c r="AI634" i="9"/>
  <c r="AL633" i="9"/>
  <c r="AO632" i="9"/>
  <c r="AR631" i="9"/>
  <c r="AJ631" i="9"/>
  <c r="AM630" i="9"/>
  <c r="AP629" i="9"/>
  <c r="AS628" i="9"/>
  <c r="AK628" i="9"/>
  <c r="AN627" i="9"/>
  <c r="AQ626" i="9"/>
  <c r="AI626" i="9"/>
  <c r="AL625" i="9"/>
  <c r="AO624" i="9"/>
  <c r="AR623" i="9"/>
  <c r="AJ623" i="9"/>
  <c r="AM622" i="9"/>
  <c r="AP621" i="9"/>
  <c r="AS620" i="9"/>
  <c r="AK620" i="9"/>
  <c r="AN619" i="9"/>
  <c r="AQ618" i="9"/>
  <c r="AI618" i="9"/>
  <c r="AL617" i="9"/>
  <c r="AO616" i="9"/>
  <c r="AR615" i="9"/>
  <c r="AJ615" i="9"/>
  <c r="AM614" i="9"/>
  <c r="AP613" i="9"/>
  <c r="AS612" i="9"/>
  <c r="AK612" i="9"/>
  <c r="AN611" i="9"/>
  <c r="AQ610" i="9"/>
  <c r="AI610" i="9"/>
  <c r="AL609" i="9"/>
  <c r="AO608" i="9"/>
  <c r="AR607" i="9"/>
  <c r="AJ607" i="9"/>
  <c r="AM606" i="9"/>
  <c r="AP605" i="9"/>
  <c r="AS604" i="9"/>
  <c r="AK604" i="9"/>
  <c r="AN603" i="9"/>
  <c r="AQ602" i="9"/>
  <c r="AI602" i="9"/>
  <c r="AL601" i="9"/>
  <c r="AO600" i="9"/>
  <c r="AR599" i="9"/>
  <c r="AJ599" i="9"/>
  <c r="AM598" i="9"/>
  <c r="AP597" i="9"/>
  <c r="AS596" i="9"/>
  <c r="AK596" i="9"/>
  <c r="AN595" i="9"/>
  <c r="AQ594" i="9"/>
  <c r="AI594" i="9"/>
  <c r="AL593" i="9"/>
  <c r="AO592" i="9"/>
  <c r="AR591" i="9"/>
  <c r="AJ591" i="9"/>
  <c r="AM590" i="9"/>
  <c r="AP589" i="9"/>
  <c r="AS588" i="9"/>
  <c r="AK588" i="9"/>
  <c r="AN587" i="9"/>
  <c r="AQ586" i="9"/>
  <c r="AI586" i="9"/>
  <c r="AL585" i="9"/>
  <c r="AO584" i="9"/>
  <c r="AR583" i="9"/>
  <c r="AJ583" i="9"/>
  <c r="AM582" i="9"/>
  <c r="AP581" i="9"/>
  <c r="AS703" i="9"/>
  <c r="AN702" i="9"/>
  <c r="AI701" i="9"/>
  <c r="AP696" i="9"/>
  <c r="AK695" i="9"/>
  <c r="AR690" i="9"/>
  <c r="AM689" i="9"/>
  <c r="AO683" i="9"/>
  <c r="AJ682" i="9"/>
  <c r="AL678" i="9"/>
  <c r="AR676" i="9"/>
  <c r="AM675" i="9"/>
  <c r="AL674" i="9"/>
  <c r="AQ673" i="9"/>
  <c r="AL672" i="9"/>
  <c r="AQ671" i="9"/>
  <c r="AI671" i="9"/>
  <c r="AL670" i="9"/>
  <c r="AO669" i="9"/>
  <c r="AR668" i="9"/>
  <c r="AJ668" i="9"/>
  <c r="AM667" i="9"/>
  <c r="AP666" i="9"/>
  <c r="AS665" i="9"/>
  <c r="AK665" i="9"/>
  <c r="AN664" i="9"/>
  <c r="AQ663" i="9"/>
  <c r="AI663" i="9"/>
  <c r="AL662" i="9"/>
  <c r="AO661" i="9"/>
  <c r="AR660" i="9"/>
  <c r="AJ660" i="9"/>
  <c r="AM659" i="9"/>
  <c r="AP658" i="9"/>
  <c r="AS657" i="9"/>
  <c r="AK657" i="9"/>
  <c r="AN656" i="9"/>
  <c r="AQ655" i="9"/>
  <c r="AI655" i="9"/>
  <c r="AL654" i="9"/>
  <c r="AO653" i="9"/>
  <c r="AR652" i="9"/>
  <c r="AJ652" i="9"/>
  <c r="AM651" i="9"/>
  <c r="AP650" i="9"/>
  <c r="AO703" i="9"/>
  <c r="AJ702" i="9"/>
  <c r="AQ697" i="9"/>
  <c r="AL696" i="9"/>
  <c r="AS691" i="9"/>
  <c r="AN690" i="9"/>
  <c r="AI689" i="9"/>
  <c r="AP684" i="9"/>
  <c r="AK683" i="9"/>
  <c r="AK678" i="9"/>
  <c r="AQ676" i="9"/>
  <c r="AL675" i="9"/>
  <c r="AJ674" i="9"/>
  <c r="AO673" i="9"/>
  <c r="AJ672" i="9"/>
  <c r="AP671" i="9"/>
  <c r="AS670" i="9"/>
  <c r="AK670" i="9"/>
  <c r="AN669" i="9"/>
  <c r="AQ668" i="9"/>
  <c r="AI668" i="9"/>
  <c r="AL667" i="9"/>
  <c r="AO666" i="9"/>
  <c r="AR665" i="9"/>
  <c r="AJ665" i="9"/>
  <c r="AM664" i="9"/>
  <c r="AP663" i="9"/>
  <c r="AS662" i="9"/>
  <c r="AK662" i="9"/>
  <c r="AN661" i="9"/>
  <c r="AQ660" i="9"/>
  <c r="AI660" i="9"/>
  <c r="AL659" i="9"/>
  <c r="AO658" i="9"/>
  <c r="AR657" i="9"/>
  <c r="AJ657" i="9"/>
  <c r="AM656" i="9"/>
  <c r="AP655" i="9"/>
  <c r="AS654" i="9"/>
  <c r="AK654" i="9"/>
  <c r="AN653" i="9"/>
  <c r="AQ652" i="9"/>
  <c r="AI652" i="9"/>
  <c r="AL651" i="9"/>
  <c r="AO650" i="9"/>
  <c r="AK703" i="9"/>
  <c r="AR698" i="9"/>
  <c r="AM697" i="9"/>
  <c r="AO691" i="9"/>
  <c r="AJ690" i="9"/>
  <c r="AQ685" i="9"/>
  <c r="AL684" i="9"/>
  <c r="AS679" i="9"/>
  <c r="AJ678" i="9"/>
  <c r="AP676" i="9"/>
  <c r="AK675" i="9"/>
  <c r="AN673" i="9"/>
  <c r="AI672" i="9"/>
  <c r="AO671" i="9"/>
  <c r="AR670" i="9"/>
  <c r="AJ670" i="9"/>
  <c r="AM669" i="9"/>
  <c r="AP668" i="9"/>
  <c r="AS667" i="9"/>
  <c r="AK667" i="9"/>
  <c r="AN666" i="9"/>
  <c r="AQ665" i="9"/>
  <c r="AI665" i="9"/>
  <c r="AL664" i="9"/>
  <c r="AO663" i="9"/>
  <c r="AR662" i="9"/>
  <c r="AJ662" i="9"/>
  <c r="AM661" i="9"/>
  <c r="AP660" i="9"/>
  <c r="AS659" i="9"/>
  <c r="AK659" i="9"/>
  <c r="AN658" i="9"/>
  <c r="AQ657" i="9"/>
  <c r="AI657" i="9"/>
  <c r="AL656" i="9"/>
  <c r="AO655" i="9"/>
  <c r="AR654" i="9"/>
  <c r="AJ654" i="9"/>
  <c r="AM653" i="9"/>
  <c r="AP652" i="9"/>
  <c r="AS651" i="9"/>
  <c r="AK651" i="9"/>
  <c r="AN650" i="9"/>
  <c r="AQ649" i="9"/>
  <c r="AI649" i="9"/>
  <c r="AL648" i="9"/>
  <c r="AO647" i="9"/>
  <c r="AR646" i="9"/>
  <c r="AJ646" i="9"/>
  <c r="AM645" i="9"/>
  <c r="AP644" i="9"/>
  <c r="AS643" i="9"/>
  <c r="AK643" i="9"/>
  <c r="AN642" i="9"/>
  <c r="AQ641" i="9"/>
  <c r="AI641" i="9"/>
  <c r="AL640" i="9"/>
  <c r="AO639" i="9"/>
  <c r="AR638" i="9"/>
  <c r="AJ638" i="9"/>
  <c r="AM637" i="9"/>
  <c r="AP636" i="9"/>
  <c r="AS635" i="9"/>
  <c r="AK635" i="9"/>
  <c r="AN634" i="9"/>
  <c r="AQ633" i="9"/>
  <c r="AI633" i="9"/>
  <c r="AL632" i="9"/>
  <c r="AO631" i="9"/>
  <c r="AS699" i="9"/>
  <c r="AN698" i="9"/>
  <c r="AI697" i="9"/>
  <c r="AP692" i="9"/>
  <c r="AK691" i="9"/>
  <c r="AR686" i="9"/>
  <c r="AM685" i="9"/>
  <c r="AO679" i="9"/>
  <c r="AQ677" i="9"/>
  <c r="AL676" i="9"/>
  <c r="AM673" i="9"/>
  <c r="AR672" i="9"/>
  <c r="AN671" i="9"/>
  <c r="AQ670" i="9"/>
  <c r="AI670" i="9"/>
  <c r="AL669" i="9"/>
  <c r="AO668" i="9"/>
  <c r="AR667" i="9"/>
  <c r="AJ667" i="9"/>
  <c r="AM666" i="9"/>
  <c r="AP665" i="9"/>
  <c r="AS664" i="9"/>
  <c r="AK664" i="9"/>
  <c r="AN663" i="9"/>
  <c r="AQ662" i="9"/>
  <c r="AI662" i="9"/>
  <c r="AL661" i="9"/>
  <c r="AO660" i="9"/>
  <c r="AR659" i="9"/>
  <c r="AJ659" i="9"/>
  <c r="AM658" i="9"/>
  <c r="AP657" i="9"/>
  <c r="AS656" i="9"/>
  <c r="AK656" i="9"/>
  <c r="AN655" i="9"/>
  <c r="AQ654" i="9"/>
  <c r="AI654" i="9"/>
  <c r="AL653" i="9"/>
  <c r="AO652" i="9"/>
  <c r="AR651" i="9"/>
  <c r="AJ651" i="9"/>
  <c r="AM650" i="9"/>
  <c r="AP649" i="9"/>
  <c r="AS648" i="9"/>
  <c r="AK648" i="9"/>
  <c r="AN647" i="9"/>
  <c r="AQ646" i="9"/>
  <c r="AI646" i="9"/>
  <c r="AL645" i="9"/>
  <c r="AO644" i="9"/>
  <c r="AR643" i="9"/>
  <c r="AJ643" i="9"/>
  <c r="AM642" i="9"/>
  <c r="AP641" i="9"/>
  <c r="AS640" i="9"/>
  <c r="AK640" i="9"/>
  <c r="AN639" i="9"/>
  <c r="AQ638" i="9"/>
  <c r="AI638" i="9"/>
  <c r="AL637" i="9"/>
  <c r="AO636" i="9"/>
  <c r="AR635" i="9"/>
  <c r="AJ635" i="9"/>
  <c r="AM634" i="9"/>
  <c r="AP633" i="9"/>
  <c r="AS632" i="9"/>
  <c r="AK632" i="9"/>
  <c r="AN631" i="9"/>
  <c r="AQ630" i="9"/>
  <c r="AI630" i="9"/>
  <c r="AL629" i="9"/>
  <c r="AO628" i="9"/>
  <c r="AR627" i="9"/>
  <c r="AJ627" i="9"/>
  <c r="AM626" i="9"/>
  <c r="AP625" i="9"/>
  <c r="AS624" i="9"/>
  <c r="AK624" i="9"/>
  <c r="AN623" i="9"/>
  <c r="AQ622" i="9"/>
  <c r="AI622" i="9"/>
  <c r="AL621" i="9"/>
  <c r="AO620" i="9"/>
  <c r="AR619" i="9"/>
  <c r="AJ619" i="9"/>
  <c r="AM618" i="9"/>
  <c r="AP617" i="9"/>
  <c r="AS616" i="9"/>
  <c r="AK616" i="9"/>
  <c r="AN615" i="9"/>
  <c r="AQ614" i="9"/>
  <c r="AI614" i="9"/>
  <c r="AL613" i="9"/>
  <c r="AO612" i="9"/>
  <c r="AR611" i="9"/>
  <c r="AJ611" i="9"/>
  <c r="AM610" i="9"/>
  <c r="AP609" i="9"/>
  <c r="AS608" i="9"/>
  <c r="AK608" i="9"/>
  <c r="AN607" i="9"/>
  <c r="AQ606" i="9"/>
  <c r="AI606" i="9"/>
  <c r="AL605" i="9"/>
  <c r="AO604" i="9"/>
  <c r="AR603" i="9"/>
  <c r="AJ603" i="9"/>
  <c r="AM602" i="9"/>
  <c r="AP601" i="9"/>
  <c r="AS600" i="9"/>
  <c r="AK600" i="9"/>
  <c r="AN599" i="9"/>
  <c r="AQ598" i="9"/>
  <c r="AI598" i="9"/>
  <c r="AL597" i="9"/>
  <c r="AO596" i="9"/>
  <c r="AR595" i="9"/>
  <c r="AJ595" i="9"/>
  <c r="AM594" i="9"/>
  <c r="AP593" i="9"/>
  <c r="AS592" i="9"/>
  <c r="AK592" i="9"/>
  <c r="AN591" i="9"/>
  <c r="AQ590" i="9"/>
  <c r="AI590" i="9"/>
  <c r="AL589" i="9"/>
  <c r="AO588" i="9"/>
  <c r="AR587" i="9"/>
  <c r="AJ587" i="9"/>
  <c r="AM586" i="9"/>
  <c r="AP585" i="9"/>
  <c r="AS584" i="9"/>
  <c r="AK584" i="9"/>
  <c r="AN583" i="9"/>
  <c r="AQ582" i="9"/>
  <c r="AI582" i="9"/>
  <c r="AL581" i="9"/>
  <c r="AO699" i="9"/>
  <c r="AJ698" i="9"/>
  <c r="AQ693" i="9"/>
  <c r="AL692" i="9"/>
  <c r="AS687" i="9"/>
  <c r="AN686" i="9"/>
  <c r="AI685" i="9"/>
  <c r="AP680" i="9"/>
  <c r="AK679" i="9"/>
  <c r="AO677" i="9"/>
  <c r="AJ676" i="9"/>
  <c r="AR674" i="9"/>
  <c r="AK673" i="9"/>
  <c r="AQ672" i="9"/>
  <c r="AM671" i="9"/>
  <c r="AP670" i="9"/>
  <c r="AS669" i="9"/>
  <c r="AK669" i="9"/>
  <c r="AN668" i="9"/>
  <c r="AQ667" i="9"/>
  <c r="AI667" i="9"/>
  <c r="AL666" i="9"/>
  <c r="AO665" i="9"/>
  <c r="AR664" i="9"/>
  <c r="AJ664" i="9"/>
  <c r="AM663" i="9"/>
  <c r="AP662" i="9"/>
  <c r="AS661" i="9"/>
  <c r="AK661" i="9"/>
  <c r="AN660" i="9"/>
  <c r="AQ659" i="9"/>
  <c r="AI659" i="9"/>
  <c r="AL658" i="9"/>
  <c r="AO657" i="9"/>
  <c r="AR656" i="9"/>
  <c r="AJ656" i="9"/>
  <c r="AM655" i="9"/>
  <c r="AP654" i="9"/>
  <c r="AS653" i="9"/>
  <c r="AK653" i="9"/>
  <c r="AN652" i="9"/>
  <c r="AQ651" i="9"/>
  <c r="AI651" i="9"/>
  <c r="AL650" i="9"/>
  <c r="AO649" i="9"/>
  <c r="AR648" i="9"/>
  <c r="AJ648" i="9"/>
  <c r="AM647" i="9"/>
  <c r="AP646" i="9"/>
  <c r="AS645" i="9"/>
  <c r="AK645" i="9"/>
  <c r="AN644" i="9"/>
  <c r="AQ643" i="9"/>
  <c r="AI643" i="9"/>
  <c r="AL642" i="9"/>
  <c r="AO641" i="9"/>
  <c r="AR640" i="9"/>
  <c r="AJ640" i="9"/>
  <c r="AM639" i="9"/>
  <c r="AP638" i="9"/>
  <c r="AS637" i="9"/>
  <c r="AK637" i="9"/>
  <c r="AN636" i="9"/>
  <c r="AQ635" i="9"/>
  <c r="AI635" i="9"/>
  <c r="AL634" i="9"/>
  <c r="AO633" i="9"/>
  <c r="AR632" i="9"/>
  <c r="AJ632" i="9"/>
  <c r="AM631" i="9"/>
  <c r="AP630" i="9"/>
  <c r="AS629" i="9"/>
  <c r="AK629" i="9"/>
  <c r="AN628" i="9"/>
  <c r="AQ627" i="9"/>
  <c r="AI627" i="9"/>
  <c r="AL626" i="9"/>
  <c r="AO625" i="9"/>
  <c r="AR624" i="9"/>
  <c r="AJ624" i="9"/>
  <c r="AM623" i="9"/>
  <c r="AP622" i="9"/>
  <c r="AS621" i="9"/>
  <c r="AK621" i="9"/>
  <c r="AN620" i="9"/>
  <c r="AQ619" i="9"/>
  <c r="AI619" i="9"/>
  <c r="AL618" i="9"/>
  <c r="AO617" i="9"/>
  <c r="AR616" i="9"/>
  <c r="AJ616" i="9"/>
  <c r="AM615" i="9"/>
  <c r="AP614" i="9"/>
  <c r="AS613" i="9"/>
  <c r="AK613" i="9"/>
  <c r="AN612" i="9"/>
  <c r="AQ611" i="9"/>
  <c r="AI611" i="9"/>
  <c r="AL610" i="9"/>
  <c r="AO609" i="9"/>
  <c r="AR608" i="9"/>
  <c r="AJ608" i="9"/>
  <c r="AM607" i="9"/>
  <c r="AP606" i="9"/>
  <c r="AS605" i="9"/>
  <c r="AK605" i="9"/>
  <c r="AN604" i="9"/>
  <c r="AQ603" i="9"/>
  <c r="AI603" i="9"/>
  <c r="AL602" i="9"/>
  <c r="AO601" i="9"/>
  <c r="AR600" i="9"/>
  <c r="AJ600" i="9"/>
  <c r="AM599" i="9"/>
  <c r="AP598" i="9"/>
  <c r="AS597" i="9"/>
  <c r="AK597" i="9"/>
  <c r="AN596" i="9"/>
  <c r="AQ595" i="9"/>
  <c r="AI595" i="9"/>
  <c r="AL594" i="9"/>
  <c r="AO593" i="9"/>
  <c r="AR592" i="9"/>
  <c r="AJ592" i="9"/>
  <c r="AM591" i="9"/>
  <c r="AP590" i="9"/>
  <c r="AS589" i="9"/>
  <c r="AK589" i="9"/>
  <c r="AN588" i="9"/>
  <c r="AQ587" i="9"/>
  <c r="AI587" i="9"/>
  <c r="AP700" i="9"/>
  <c r="AK699" i="9"/>
  <c r="AR694" i="9"/>
  <c r="AM693" i="9"/>
  <c r="AO687" i="9"/>
  <c r="AJ686" i="9"/>
  <c r="AQ681" i="9"/>
  <c r="AL680" i="9"/>
  <c r="AI679" i="9"/>
  <c r="AS678" i="9"/>
  <c r="AN677" i="9"/>
  <c r="AI676" i="9"/>
  <c r="AP674" i="9"/>
  <c r="AJ673" i="9"/>
  <c r="AP672" i="9"/>
  <c r="AL671" i="9"/>
  <c r="AO670" i="9"/>
  <c r="AR669" i="9"/>
  <c r="AJ669" i="9"/>
  <c r="AM668" i="9"/>
  <c r="AP667" i="9"/>
  <c r="AS666" i="9"/>
  <c r="AK666" i="9"/>
  <c r="AN665" i="9"/>
  <c r="AQ664" i="9"/>
  <c r="AI664" i="9"/>
  <c r="AL663" i="9"/>
  <c r="AO662" i="9"/>
  <c r="AR661" i="9"/>
  <c r="AJ661" i="9"/>
  <c r="AM660" i="9"/>
  <c r="AP659" i="9"/>
  <c r="AS658" i="9"/>
  <c r="AK658" i="9"/>
  <c r="AN657" i="9"/>
  <c r="AQ656" i="9"/>
  <c r="AI656" i="9"/>
  <c r="AL655" i="9"/>
  <c r="AO654" i="9"/>
  <c r="AR653" i="9"/>
  <c r="AJ653" i="9"/>
  <c r="AM652" i="9"/>
  <c r="AP651" i="9"/>
  <c r="AS650" i="9"/>
  <c r="AK650" i="9"/>
  <c r="AN649" i="9"/>
  <c r="AQ648" i="9"/>
  <c r="AI648" i="9"/>
  <c r="AL647" i="9"/>
  <c r="AO646" i="9"/>
  <c r="AR645" i="9"/>
  <c r="AJ645" i="9"/>
  <c r="AM644" i="9"/>
  <c r="AP643" i="9"/>
  <c r="AS642" i="9"/>
  <c r="AK642" i="9"/>
  <c r="AN641" i="9"/>
  <c r="AQ640" i="9"/>
  <c r="AI640" i="9"/>
  <c r="AL639" i="9"/>
  <c r="AO638" i="9"/>
  <c r="AR637" i="9"/>
  <c r="AJ637" i="9"/>
  <c r="AM636" i="9"/>
  <c r="AP635" i="9"/>
  <c r="AS634" i="9"/>
  <c r="AK634" i="9"/>
  <c r="AN633" i="9"/>
  <c r="AQ632" i="9"/>
  <c r="AI632" i="9"/>
  <c r="AL631" i="9"/>
  <c r="AO630" i="9"/>
  <c r="AR629" i="9"/>
  <c r="AJ629" i="9"/>
  <c r="AM628" i="9"/>
  <c r="AP627" i="9"/>
  <c r="AS626" i="9"/>
  <c r="AK626" i="9"/>
  <c r="AN625" i="9"/>
  <c r="AQ624" i="9"/>
  <c r="AI624" i="9"/>
  <c r="AL623" i="9"/>
  <c r="AO622" i="9"/>
  <c r="AR621" i="9"/>
  <c r="AJ621" i="9"/>
  <c r="AM620" i="9"/>
  <c r="AP619" i="9"/>
  <c r="AS618" i="9"/>
  <c r="AK618" i="9"/>
  <c r="AN617" i="9"/>
  <c r="AQ616" i="9"/>
  <c r="AI616" i="9"/>
  <c r="AL615" i="9"/>
  <c r="AO614" i="9"/>
  <c r="AR613" i="9"/>
  <c r="AJ613" i="9"/>
  <c r="AM612" i="9"/>
  <c r="AP611" i="9"/>
  <c r="AS610" i="9"/>
  <c r="AK610" i="9"/>
  <c r="AN609" i="9"/>
  <c r="AQ608" i="9"/>
  <c r="AI608" i="9"/>
  <c r="AL607" i="9"/>
  <c r="AO606" i="9"/>
  <c r="AR605" i="9"/>
  <c r="AJ605" i="9"/>
  <c r="AM604" i="9"/>
  <c r="AP603" i="9"/>
  <c r="AS602" i="9"/>
  <c r="AK602" i="9"/>
  <c r="AN601" i="9"/>
  <c r="AQ600" i="9"/>
  <c r="AI600" i="9"/>
  <c r="AL599" i="9"/>
  <c r="AO598" i="9"/>
  <c r="AR597" i="9"/>
  <c r="AJ597" i="9"/>
  <c r="AM596" i="9"/>
  <c r="AP595" i="9"/>
  <c r="AS594" i="9"/>
  <c r="AK594" i="9"/>
  <c r="AN593" i="9"/>
  <c r="AQ592" i="9"/>
  <c r="AI592" i="9"/>
  <c r="AL591" i="9"/>
  <c r="AO590" i="9"/>
  <c r="AR589" i="9"/>
  <c r="AJ589" i="9"/>
  <c r="AM588" i="9"/>
  <c r="AP587" i="9"/>
  <c r="AS646" i="9"/>
  <c r="AN645" i="9"/>
  <c r="AI644" i="9"/>
  <c r="AP639" i="9"/>
  <c r="AK638" i="9"/>
  <c r="AR633" i="9"/>
  <c r="AM632" i="9"/>
  <c r="AJ630" i="9"/>
  <c r="AN629" i="9"/>
  <c r="AR628" i="9"/>
  <c r="AJ626" i="9"/>
  <c r="AP624" i="9"/>
  <c r="AK623" i="9"/>
  <c r="AQ621" i="9"/>
  <c r="AL620" i="9"/>
  <c r="AR618" i="9"/>
  <c r="AM617" i="9"/>
  <c r="AS615" i="9"/>
  <c r="AN614" i="9"/>
  <c r="AI613" i="9"/>
  <c r="AO611" i="9"/>
  <c r="AJ610" i="9"/>
  <c r="AP608" i="9"/>
  <c r="AK607" i="9"/>
  <c r="AQ605" i="9"/>
  <c r="AL604" i="9"/>
  <c r="AR602" i="9"/>
  <c r="AM601" i="9"/>
  <c r="AS599" i="9"/>
  <c r="AN598" i="9"/>
  <c r="AI597" i="9"/>
  <c r="AO595" i="9"/>
  <c r="AJ594" i="9"/>
  <c r="AP592" i="9"/>
  <c r="AK591" i="9"/>
  <c r="AQ589" i="9"/>
  <c r="AL588" i="9"/>
  <c r="AN586" i="9"/>
  <c r="AS585" i="9"/>
  <c r="AI585" i="9"/>
  <c r="AN584" i="9"/>
  <c r="AI583" i="9"/>
  <c r="AO582" i="9"/>
  <c r="AJ581" i="9"/>
  <c r="AM580" i="9"/>
  <c r="AP579" i="9"/>
  <c r="AS578" i="9"/>
  <c r="AK578" i="9"/>
  <c r="AN577" i="9"/>
  <c r="AQ576" i="9"/>
  <c r="AI576" i="9"/>
  <c r="AL575" i="9"/>
  <c r="AO574" i="9"/>
  <c r="AR573" i="9"/>
  <c r="AJ573" i="9"/>
  <c r="AM572" i="9"/>
  <c r="AP571" i="9"/>
  <c r="AS570" i="9"/>
  <c r="AK570" i="9"/>
  <c r="AN569" i="9"/>
  <c r="AQ568" i="9"/>
  <c r="AI568" i="9"/>
  <c r="AL567" i="9"/>
  <c r="AO566" i="9"/>
  <c r="AR565" i="9"/>
  <c r="AJ565" i="9"/>
  <c r="AM564" i="9"/>
  <c r="AP563" i="9"/>
  <c r="AS562" i="9"/>
  <c r="AK562" i="9"/>
  <c r="AN561" i="9"/>
  <c r="AQ560" i="9"/>
  <c r="AI560" i="9"/>
  <c r="AL559" i="9"/>
  <c r="AO558" i="9"/>
  <c r="AQ647" i="9"/>
  <c r="AL646" i="9"/>
  <c r="AS641" i="9"/>
  <c r="AN640" i="9"/>
  <c r="AI639" i="9"/>
  <c r="AP634" i="9"/>
  <c r="AK633" i="9"/>
  <c r="AM629" i="9"/>
  <c r="AQ628" i="9"/>
  <c r="AS625" i="9"/>
  <c r="AN624" i="9"/>
  <c r="AI623" i="9"/>
  <c r="AO621" i="9"/>
  <c r="AJ620" i="9"/>
  <c r="AP618" i="9"/>
  <c r="AK617" i="9"/>
  <c r="AQ615" i="9"/>
  <c r="AL614" i="9"/>
  <c r="AR612" i="9"/>
  <c r="AM611" i="9"/>
  <c r="AS609" i="9"/>
  <c r="AN608" i="9"/>
  <c r="AI607" i="9"/>
  <c r="AO605" i="9"/>
  <c r="AJ604" i="9"/>
  <c r="AP602" i="9"/>
  <c r="AK601" i="9"/>
  <c r="AQ599" i="9"/>
  <c r="AL598" i="9"/>
  <c r="AR596" i="9"/>
  <c r="AM595" i="9"/>
  <c r="AS593" i="9"/>
  <c r="AN592" i="9"/>
  <c r="AI591" i="9"/>
  <c r="AO589" i="9"/>
  <c r="AJ588" i="9"/>
  <c r="AL586" i="9"/>
  <c r="AR585" i="9"/>
  <c r="AM584" i="9"/>
  <c r="AS583" i="9"/>
  <c r="AN582" i="9"/>
  <c r="AS581" i="9"/>
  <c r="AI581" i="9"/>
  <c r="AL580" i="9"/>
  <c r="AO579" i="9"/>
  <c r="AR578" i="9"/>
  <c r="AJ578" i="9"/>
  <c r="AM577" i="9"/>
  <c r="AP576" i="9"/>
  <c r="AS575" i="9"/>
  <c r="AK575" i="9"/>
  <c r="AN574" i="9"/>
  <c r="AQ573" i="9"/>
  <c r="AI573" i="9"/>
  <c r="AL572" i="9"/>
  <c r="AO571" i="9"/>
  <c r="AR570" i="9"/>
  <c r="AJ570" i="9"/>
  <c r="AM569" i="9"/>
  <c r="AP568" i="9"/>
  <c r="AS567" i="9"/>
  <c r="AK567" i="9"/>
  <c r="AN566" i="9"/>
  <c r="AQ565" i="9"/>
  <c r="AI565" i="9"/>
  <c r="AL564" i="9"/>
  <c r="AO563" i="9"/>
  <c r="AR562" i="9"/>
  <c r="AJ562" i="9"/>
  <c r="AM561" i="9"/>
  <c r="AP560" i="9"/>
  <c r="AS559" i="9"/>
  <c r="AK559" i="9"/>
  <c r="AN558" i="9"/>
  <c r="AQ557" i="9"/>
  <c r="AI557" i="9"/>
  <c r="AL556" i="9"/>
  <c r="AO555" i="9"/>
  <c r="AR554" i="9"/>
  <c r="AJ554" i="9"/>
  <c r="AM553" i="9"/>
  <c r="AP552" i="9"/>
  <c r="AS551" i="9"/>
  <c r="AK551" i="9"/>
  <c r="AN550" i="9"/>
  <c r="AQ549" i="9"/>
  <c r="AI549" i="9"/>
  <c r="AL548" i="9"/>
  <c r="AO547" i="9"/>
  <c r="AR546" i="9"/>
  <c r="AJ546" i="9"/>
  <c r="AM545" i="9"/>
  <c r="AP544" i="9"/>
  <c r="AS543" i="9"/>
  <c r="AK543" i="9"/>
  <c r="AN542" i="9"/>
  <c r="AQ541" i="9"/>
  <c r="AI541" i="9"/>
  <c r="AL540" i="9"/>
  <c r="AO539" i="9"/>
  <c r="AR538" i="9"/>
  <c r="AJ538" i="9"/>
  <c r="AM537" i="9"/>
  <c r="AP536" i="9"/>
  <c r="AS535" i="9"/>
  <c r="AK535" i="9"/>
  <c r="AN534" i="9"/>
  <c r="AQ533" i="9"/>
  <c r="AI533" i="9"/>
  <c r="AL532" i="9"/>
  <c r="AO531" i="9"/>
  <c r="AR530" i="9"/>
  <c r="AJ530" i="9"/>
  <c r="AM529" i="9"/>
  <c r="AP528" i="9"/>
  <c r="AS527" i="9"/>
  <c r="AK527" i="9"/>
  <c r="AN526" i="9"/>
  <c r="AQ525" i="9"/>
  <c r="AI525" i="9"/>
  <c r="AL524" i="9"/>
  <c r="AO523" i="9"/>
  <c r="AR522" i="9"/>
  <c r="AJ522" i="9"/>
  <c r="AM521" i="9"/>
  <c r="AP520" i="9"/>
  <c r="AS519" i="9"/>
  <c r="AK519" i="9"/>
  <c r="AN518" i="9"/>
  <c r="AQ517" i="9"/>
  <c r="AI517" i="9"/>
  <c r="AL516" i="9"/>
  <c r="AO515" i="9"/>
  <c r="AR514" i="9"/>
  <c r="AJ514" i="9"/>
  <c r="AM513" i="9"/>
  <c r="AP512" i="9"/>
  <c r="AS511" i="9"/>
  <c r="AK511" i="9"/>
  <c r="AP647" i="9"/>
  <c r="AK646" i="9"/>
  <c r="AR641" i="9"/>
  <c r="AM640" i="9"/>
  <c r="AO634" i="9"/>
  <c r="AJ633" i="9"/>
  <c r="AP628" i="9"/>
  <c r="AR625" i="9"/>
  <c r="AM624" i="9"/>
  <c r="AS622" i="9"/>
  <c r="AN621" i="9"/>
  <c r="AI620" i="9"/>
  <c r="AO618" i="9"/>
  <c r="AJ617" i="9"/>
  <c r="AP615" i="9"/>
  <c r="AK614" i="9"/>
  <c r="AQ612" i="9"/>
  <c r="AL611" i="9"/>
  <c r="AR609" i="9"/>
  <c r="AM608" i="9"/>
  <c r="AS606" i="9"/>
  <c r="AN605" i="9"/>
  <c r="AI604" i="9"/>
  <c r="AO602" i="9"/>
  <c r="AJ601" i="9"/>
  <c r="AP599" i="9"/>
  <c r="AK598" i="9"/>
  <c r="AQ596" i="9"/>
  <c r="AL595" i="9"/>
  <c r="AR593" i="9"/>
  <c r="AM592" i="9"/>
  <c r="AS590" i="9"/>
  <c r="AN589" i="9"/>
  <c r="AI588" i="9"/>
  <c r="AK586" i="9"/>
  <c r="AS649" i="9"/>
  <c r="AN648" i="9"/>
  <c r="AI647" i="9"/>
  <c r="AP642" i="9"/>
  <c r="AK641" i="9"/>
  <c r="AR636" i="9"/>
  <c r="AM635" i="9"/>
  <c r="AJ628" i="9"/>
  <c r="AS627" i="9"/>
  <c r="AQ625" i="9"/>
  <c r="AL624" i="9"/>
  <c r="AR622" i="9"/>
  <c r="AM621" i="9"/>
  <c r="AS619" i="9"/>
  <c r="AN618" i="9"/>
  <c r="AI617" i="9"/>
  <c r="AO615" i="9"/>
  <c r="AJ614" i="9"/>
  <c r="AP612" i="9"/>
  <c r="AK611" i="9"/>
  <c r="AQ609" i="9"/>
  <c r="AL608" i="9"/>
  <c r="AR606" i="9"/>
  <c r="AM605" i="9"/>
  <c r="AS603" i="9"/>
  <c r="AN602" i="9"/>
  <c r="AI601" i="9"/>
  <c r="AO599" i="9"/>
  <c r="AJ598" i="9"/>
  <c r="AP596" i="9"/>
  <c r="AK595" i="9"/>
  <c r="AQ593" i="9"/>
  <c r="AL592" i="9"/>
  <c r="AR590" i="9"/>
  <c r="AM589" i="9"/>
  <c r="AS587" i="9"/>
  <c r="AJ586" i="9"/>
  <c r="AR649" i="9"/>
  <c r="AM648" i="9"/>
  <c r="AO642" i="9"/>
  <c r="AJ641" i="9"/>
  <c r="AQ636" i="9"/>
  <c r="AL635" i="9"/>
  <c r="AS630" i="9"/>
  <c r="AI628" i="9"/>
  <c r="AM627" i="9"/>
  <c r="AM625" i="9"/>
  <c r="AS623" i="9"/>
  <c r="AN622" i="9"/>
  <c r="AI621" i="9"/>
  <c r="AO619" i="9"/>
  <c r="AJ618" i="9"/>
  <c r="AP616" i="9"/>
  <c r="AK615" i="9"/>
  <c r="AQ613" i="9"/>
  <c r="AL612" i="9"/>
  <c r="AR610" i="9"/>
  <c r="AM609" i="9"/>
  <c r="AS607" i="9"/>
  <c r="AN606" i="9"/>
  <c r="AI605" i="9"/>
  <c r="AO603" i="9"/>
  <c r="AJ602" i="9"/>
  <c r="AP600" i="9"/>
  <c r="AK599" i="9"/>
  <c r="AQ597" i="9"/>
  <c r="AL596" i="9"/>
  <c r="AR594" i="9"/>
  <c r="AM593" i="9"/>
  <c r="AS591" i="9"/>
  <c r="AN590" i="9"/>
  <c r="AI589" i="9"/>
  <c r="AO587" i="9"/>
  <c r="AS586" i="9"/>
  <c r="AN585" i="9"/>
  <c r="AI584" i="9"/>
  <c r="AO583" i="9"/>
  <c r="AJ582" i="9"/>
  <c r="AO581" i="9"/>
  <c r="AQ580" i="9"/>
  <c r="AI580" i="9"/>
  <c r="AL579" i="9"/>
  <c r="AO578" i="9"/>
  <c r="AR577" i="9"/>
  <c r="AJ577" i="9"/>
  <c r="AM576" i="9"/>
  <c r="AP575" i="9"/>
  <c r="AS574" i="9"/>
  <c r="AK574" i="9"/>
  <c r="AN573" i="9"/>
  <c r="AQ572" i="9"/>
  <c r="AI572" i="9"/>
  <c r="AL571" i="9"/>
  <c r="AO570" i="9"/>
  <c r="AR569" i="9"/>
  <c r="AJ569" i="9"/>
  <c r="AM568" i="9"/>
  <c r="AP567" i="9"/>
  <c r="AS566" i="9"/>
  <c r="AK566" i="9"/>
  <c r="AN565" i="9"/>
  <c r="AQ564" i="9"/>
  <c r="AI564" i="9"/>
  <c r="AL563" i="9"/>
  <c r="AO562" i="9"/>
  <c r="AR561" i="9"/>
  <c r="AJ561" i="9"/>
  <c r="AM560" i="9"/>
  <c r="AP559" i="9"/>
  <c r="AS558" i="9"/>
  <c r="AK649" i="9"/>
  <c r="AR644" i="9"/>
  <c r="AM643" i="9"/>
  <c r="AO637" i="9"/>
  <c r="AJ636" i="9"/>
  <c r="AQ631" i="9"/>
  <c r="AR630" i="9"/>
  <c r="AL627" i="9"/>
  <c r="AP626" i="9"/>
  <c r="AK625" i="9"/>
  <c r="AQ623" i="9"/>
  <c r="AL622" i="9"/>
  <c r="AR620" i="9"/>
  <c r="AM619" i="9"/>
  <c r="AS617" i="9"/>
  <c r="AN616" i="9"/>
  <c r="AI615" i="9"/>
  <c r="AO613" i="9"/>
  <c r="AJ612" i="9"/>
  <c r="AP610" i="9"/>
  <c r="AK609" i="9"/>
  <c r="AQ607" i="9"/>
  <c r="AL606" i="9"/>
  <c r="AR604" i="9"/>
  <c r="AM603" i="9"/>
  <c r="AS601" i="9"/>
  <c r="AN600" i="9"/>
  <c r="AI599" i="9"/>
  <c r="AO597" i="9"/>
  <c r="AJ596" i="9"/>
  <c r="AP594" i="9"/>
  <c r="AK593" i="9"/>
  <c r="AQ591" i="9"/>
  <c r="AL590" i="9"/>
  <c r="AR588" i="9"/>
  <c r="AM587" i="9"/>
  <c r="AR586" i="9"/>
  <c r="AM585" i="9"/>
  <c r="AR584" i="9"/>
  <c r="AM583" i="9"/>
  <c r="AS582" i="9"/>
  <c r="AN581" i="9"/>
  <c r="AP580" i="9"/>
  <c r="AS579" i="9"/>
  <c r="AK579" i="9"/>
  <c r="AN578" i="9"/>
  <c r="AQ577" i="9"/>
  <c r="AI577" i="9"/>
  <c r="AL576" i="9"/>
  <c r="AO575" i="9"/>
  <c r="AR574" i="9"/>
  <c r="AJ574" i="9"/>
  <c r="AM573" i="9"/>
  <c r="AP572" i="9"/>
  <c r="AS571" i="9"/>
  <c r="AK571" i="9"/>
  <c r="AN570" i="9"/>
  <c r="AQ569" i="9"/>
  <c r="AI569" i="9"/>
  <c r="AL568" i="9"/>
  <c r="AO567" i="9"/>
  <c r="AR566" i="9"/>
  <c r="AJ566" i="9"/>
  <c r="AM565" i="9"/>
  <c r="AP564" i="9"/>
  <c r="AS563" i="9"/>
  <c r="AK563" i="9"/>
  <c r="AN562" i="9"/>
  <c r="AQ561" i="9"/>
  <c r="AI561" i="9"/>
  <c r="AL560" i="9"/>
  <c r="AO559" i="9"/>
  <c r="AR558" i="9"/>
  <c r="AJ558" i="9"/>
  <c r="AM557" i="9"/>
  <c r="AP556" i="9"/>
  <c r="AS555" i="9"/>
  <c r="AK555" i="9"/>
  <c r="AN554" i="9"/>
  <c r="AQ553" i="9"/>
  <c r="AI553" i="9"/>
  <c r="AL552" i="9"/>
  <c r="AO551" i="9"/>
  <c r="AR550" i="9"/>
  <c r="AJ550" i="9"/>
  <c r="AM549" i="9"/>
  <c r="AP548" i="9"/>
  <c r="AS547" i="9"/>
  <c r="AK547" i="9"/>
  <c r="AN546" i="9"/>
  <c r="AQ545" i="9"/>
  <c r="AI545" i="9"/>
  <c r="AL544" i="9"/>
  <c r="AO543" i="9"/>
  <c r="AR542" i="9"/>
  <c r="AJ542" i="9"/>
  <c r="AM541" i="9"/>
  <c r="AP540" i="9"/>
  <c r="AS539" i="9"/>
  <c r="AK539" i="9"/>
  <c r="AN538" i="9"/>
  <c r="AQ537" i="9"/>
  <c r="AI537" i="9"/>
  <c r="AL536" i="9"/>
  <c r="AO535" i="9"/>
  <c r="AR534" i="9"/>
  <c r="AJ534" i="9"/>
  <c r="AM533" i="9"/>
  <c r="AP532" i="9"/>
  <c r="AS531" i="9"/>
  <c r="AK531" i="9"/>
  <c r="AN530" i="9"/>
  <c r="AQ529" i="9"/>
  <c r="AI529" i="9"/>
  <c r="AL528" i="9"/>
  <c r="AO527" i="9"/>
  <c r="AR526" i="9"/>
  <c r="AJ526" i="9"/>
  <c r="AM525" i="9"/>
  <c r="AP524" i="9"/>
  <c r="AS523" i="9"/>
  <c r="AK523" i="9"/>
  <c r="AN522" i="9"/>
  <c r="AQ521" i="9"/>
  <c r="AI521" i="9"/>
  <c r="AL520" i="9"/>
  <c r="AO519" i="9"/>
  <c r="AR518" i="9"/>
  <c r="AJ518" i="9"/>
  <c r="AM517" i="9"/>
  <c r="AP516" i="9"/>
  <c r="AS515" i="9"/>
  <c r="AK515" i="9"/>
  <c r="AN514" i="9"/>
  <c r="AQ513" i="9"/>
  <c r="AI513" i="9"/>
  <c r="AL512" i="9"/>
  <c r="AO511" i="9"/>
  <c r="AJ649" i="9"/>
  <c r="AQ644" i="9"/>
  <c r="AL643" i="9"/>
  <c r="AS638" i="9"/>
  <c r="AN637" i="9"/>
  <c r="AI636" i="9"/>
  <c r="AP631" i="9"/>
  <c r="AL630" i="9"/>
  <c r="AK627" i="9"/>
  <c r="AO626" i="9"/>
  <c r="AJ625" i="9"/>
  <c r="AP623" i="9"/>
  <c r="AK622" i="9"/>
  <c r="AQ620" i="9"/>
  <c r="AL619" i="9"/>
  <c r="AR617" i="9"/>
  <c r="AM616" i="9"/>
  <c r="AS614" i="9"/>
  <c r="AN613" i="9"/>
  <c r="AI612" i="9"/>
  <c r="AO610" i="9"/>
  <c r="AJ609" i="9"/>
  <c r="AP607" i="9"/>
  <c r="AK606" i="9"/>
  <c r="AQ604" i="9"/>
  <c r="AL603" i="9"/>
  <c r="AR601" i="9"/>
  <c r="AM600" i="9"/>
  <c r="AS598" i="9"/>
  <c r="AN597" i="9"/>
  <c r="AI596" i="9"/>
  <c r="AO594" i="9"/>
  <c r="AJ593" i="9"/>
  <c r="AP591" i="9"/>
  <c r="AK590" i="9"/>
  <c r="AQ588" i="9"/>
  <c r="AL587" i="9"/>
  <c r="AP586" i="9"/>
  <c r="AK585" i="9"/>
  <c r="AQ584" i="9"/>
  <c r="AL583" i="9"/>
  <c r="AR582" i="9"/>
  <c r="AM581" i="9"/>
  <c r="AO580" i="9"/>
  <c r="AR579" i="9"/>
  <c r="AJ579" i="9"/>
  <c r="AM578" i="9"/>
  <c r="AP577" i="9"/>
  <c r="AS576" i="9"/>
  <c r="AK576" i="9"/>
  <c r="AN575" i="9"/>
  <c r="AQ574" i="9"/>
  <c r="AI574" i="9"/>
  <c r="AL573" i="9"/>
  <c r="AO572" i="9"/>
  <c r="AR571" i="9"/>
  <c r="AJ571" i="9"/>
  <c r="AM570" i="9"/>
  <c r="AP569" i="9"/>
  <c r="AS568" i="9"/>
  <c r="AK568" i="9"/>
  <c r="AN567" i="9"/>
  <c r="AQ566" i="9"/>
  <c r="AI566" i="9"/>
  <c r="AL565" i="9"/>
  <c r="AO564" i="9"/>
  <c r="AR563" i="9"/>
  <c r="AJ563" i="9"/>
  <c r="AM562" i="9"/>
  <c r="AP561" i="9"/>
  <c r="AS560" i="9"/>
  <c r="AK560" i="9"/>
  <c r="AN559" i="9"/>
  <c r="AQ558" i="9"/>
  <c r="AI558" i="9"/>
  <c r="AL557" i="9"/>
  <c r="AO556" i="9"/>
  <c r="AR555" i="9"/>
  <c r="AJ555" i="9"/>
  <c r="AM554" i="9"/>
  <c r="AP553" i="9"/>
  <c r="AS552" i="9"/>
  <c r="AK552" i="9"/>
  <c r="AN551" i="9"/>
  <c r="AQ550" i="9"/>
  <c r="AI550" i="9"/>
  <c r="AL549" i="9"/>
  <c r="AO548" i="9"/>
  <c r="AR547" i="9"/>
  <c r="AJ547" i="9"/>
  <c r="AM546" i="9"/>
  <c r="AP545" i="9"/>
  <c r="AS544" i="9"/>
  <c r="AK544" i="9"/>
  <c r="AN543" i="9"/>
  <c r="AQ542" i="9"/>
  <c r="AI542" i="9"/>
  <c r="AL541" i="9"/>
  <c r="AO540" i="9"/>
  <c r="AR539" i="9"/>
  <c r="AJ539" i="9"/>
  <c r="AM538" i="9"/>
  <c r="AP537" i="9"/>
  <c r="AS536" i="9"/>
  <c r="AK536" i="9"/>
  <c r="AN535" i="9"/>
  <c r="AQ534" i="9"/>
  <c r="AI534" i="9"/>
  <c r="AL533" i="9"/>
  <c r="AO532" i="9"/>
  <c r="AR531" i="9"/>
  <c r="AJ531" i="9"/>
  <c r="AM530" i="9"/>
  <c r="AP529" i="9"/>
  <c r="AS528" i="9"/>
  <c r="AK528" i="9"/>
  <c r="AN527" i="9"/>
  <c r="AQ526" i="9"/>
  <c r="AI526" i="9"/>
  <c r="AL525" i="9"/>
  <c r="AO524" i="9"/>
  <c r="AR523" i="9"/>
  <c r="AJ523" i="9"/>
  <c r="AM522" i="9"/>
  <c r="AP521" i="9"/>
  <c r="AS520" i="9"/>
  <c r="AK520" i="9"/>
  <c r="AN519" i="9"/>
  <c r="AO645" i="9"/>
  <c r="AJ644" i="9"/>
  <c r="AQ639" i="9"/>
  <c r="AL638" i="9"/>
  <c r="AS633" i="9"/>
  <c r="AN632" i="9"/>
  <c r="AI631" i="9"/>
  <c r="AK630" i="9"/>
  <c r="AO629" i="9"/>
  <c r="AN626" i="9"/>
  <c r="AI625" i="9"/>
  <c r="AO623" i="9"/>
  <c r="AJ622" i="9"/>
  <c r="AP620" i="9"/>
  <c r="AK619" i="9"/>
  <c r="AQ617" i="9"/>
  <c r="AL616" i="9"/>
  <c r="AR614" i="9"/>
  <c r="AM613" i="9"/>
  <c r="AS611" i="9"/>
  <c r="AN610" i="9"/>
  <c r="AI609" i="9"/>
  <c r="AO607" i="9"/>
  <c r="AJ606" i="9"/>
  <c r="AP604" i="9"/>
  <c r="AK603" i="9"/>
  <c r="AQ601" i="9"/>
  <c r="AL600" i="9"/>
  <c r="AR598" i="9"/>
  <c r="AM597" i="9"/>
  <c r="AS595" i="9"/>
  <c r="AN594" i="9"/>
  <c r="AI593" i="9"/>
  <c r="AO591" i="9"/>
  <c r="AJ590" i="9"/>
  <c r="AP588" i="9"/>
  <c r="AK587" i="9"/>
  <c r="AO586" i="9"/>
  <c r="AJ585" i="9"/>
  <c r="AP584" i="9"/>
  <c r="AK583" i="9"/>
  <c r="AP582" i="9"/>
  <c r="AK581" i="9"/>
  <c r="AN580" i="9"/>
  <c r="AQ579" i="9"/>
  <c r="AI579" i="9"/>
  <c r="AL578" i="9"/>
  <c r="AO577" i="9"/>
  <c r="AR576" i="9"/>
  <c r="AJ576" i="9"/>
  <c r="AM575" i="9"/>
  <c r="AP574" i="9"/>
  <c r="AS573" i="9"/>
  <c r="AK573" i="9"/>
  <c r="AN572" i="9"/>
  <c r="AQ571" i="9"/>
  <c r="AI571" i="9"/>
  <c r="AL570" i="9"/>
  <c r="AO569" i="9"/>
  <c r="AR568" i="9"/>
  <c r="AJ568" i="9"/>
  <c r="AM567" i="9"/>
  <c r="AP566" i="9"/>
  <c r="AS565" i="9"/>
  <c r="AK565" i="9"/>
  <c r="AN564" i="9"/>
  <c r="AQ563" i="9"/>
  <c r="AI563" i="9"/>
  <c r="AL562" i="9"/>
  <c r="AO561" i="9"/>
  <c r="AR560" i="9"/>
  <c r="AJ560" i="9"/>
  <c r="AM559" i="9"/>
  <c r="AP558" i="9"/>
  <c r="AS557" i="9"/>
  <c r="AK557" i="9"/>
  <c r="AN556" i="9"/>
  <c r="AQ555" i="9"/>
  <c r="AI555" i="9"/>
  <c r="AL554" i="9"/>
  <c r="AO553" i="9"/>
  <c r="AR552" i="9"/>
  <c r="AJ552" i="9"/>
  <c r="AM551" i="9"/>
  <c r="AP550" i="9"/>
  <c r="AS549" i="9"/>
  <c r="AK549" i="9"/>
  <c r="AN548" i="9"/>
  <c r="AQ547" i="9"/>
  <c r="AI547" i="9"/>
  <c r="AL546" i="9"/>
  <c r="AO545" i="9"/>
  <c r="AR544" i="9"/>
  <c r="AJ544" i="9"/>
  <c r="AM543" i="9"/>
  <c r="AP542" i="9"/>
  <c r="AS541" i="9"/>
  <c r="AK541" i="9"/>
  <c r="AN540" i="9"/>
  <c r="AQ539" i="9"/>
  <c r="AI539" i="9"/>
  <c r="AL538" i="9"/>
  <c r="AO537" i="9"/>
  <c r="AR536" i="9"/>
  <c r="AJ536" i="9"/>
  <c r="AM535" i="9"/>
  <c r="AP534" i="9"/>
  <c r="AS533" i="9"/>
  <c r="AK533" i="9"/>
  <c r="AN532" i="9"/>
  <c r="AQ531" i="9"/>
  <c r="AI531" i="9"/>
  <c r="AL530" i="9"/>
  <c r="AO529" i="9"/>
  <c r="AR528" i="9"/>
  <c r="AJ528" i="9"/>
  <c r="AM527" i="9"/>
  <c r="AP526" i="9"/>
  <c r="AS525" i="9"/>
  <c r="AK525" i="9"/>
  <c r="AN524" i="9"/>
  <c r="AQ523" i="9"/>
  <c r="AI523" i="9"/>
  <c r="AL522" i="9"/>
  <c r="AO521" i="9"/>
  <c r="AR520" i="9"/>
  <c r="AJ520" i="9"/>
  <c r="AM519" i="9"/>
  <c r="AL584" i="9"/>
  <c r="AO576" i="9"/>
  <c r="AJ575" i="9"/>
  <c r="AQ570" i="9"/>
  <c r="AL569" i="9"/>
  <c r="AS564" i="9"/>
  <c r="AN563" i="9"/>
  <c r="AI562" i="9"/>
  <c r="AJ557" i="9"/>
  <c r="AP555" i="9"/>
  <c r="AK554" i="9"/>
  <c r="AQ552" i="9"/>
  <c r="AL551" i="9"/>
  <c r="AR549" i="9"/>
  <c r="AM548" i="9"/>
  <c r="AS546" i="9"/>
  <c r="AN545" i="9"/>
  <c r="AI544" i="9"/>
  <c r="AO542" i="9"/>
  <c r="AJ541" i="9"/>
  <c r="AP539" i="9"/>
  <c r="AK538" i="9"/>
  <c r="AQ536" i="9"/>
  <c r="AL535" i="9"/>
  <c r="AR533" i="9"/>
  <c r="AM532" i="9"/>
  <c r="AS530" i="9"/>
  <c r="AN529" i="9"/>
  <c r="AI528" i="9"/>
  <c r="AO526" i="9"/>
  <c r="AJ525" i="9"/>
  <c r="AP523" i="9"/>
  <c r="AK522" i="9"/>
  <c r="AQ520" i="9"/>
  <c r="AL519" i="9"/>
  <c r="AO518" i="9"/>
  <c r="AJ517" i="9"/>
  <c r="AO516" i="9"/>
  <c r="AJ515" i="9"/>
  <c r="AP514" i="9"/>
  <c r="AK513" i="9"/>
  <c r="AQ512" i="9"/>
  <c r="AL511" i="9"/>
  <c r="AS510" i="9"/>
  <c r="AK510" i="9"/>
  <c r="AN509" i="9"/>
  <c r="AQ508" i="9"/>
  <c r="AI508" i="9"/>
  <c r="AL507" i="9"/>
  <c r="AO506" i="9"/>
  <c r="AR505" i="9"/>
  <c r="AJ505" i="9"/>
  <c r="AM504" i="9"/>
  <c r="AP503" i="9"/>
  <c r="AS502" i="9"/>
  <c r="AK502" i="9"/>
  <c r="AN501" i="9"/>
  <c r="AQ500" i="9"/>
  <c r="AI500" i="9"/>
  <c r="AL499" i="9"/>
  <c r="AO498" i="9"/>
  <c r="AR497" i="9"/>
  <c r="AJ497" i="9"/>
  <c r="AM496" i="9"/>
  <c r="AP495" i="9"/>
  <c r="AS494" i="9"/>
  <c r="AK494" i="9"/>
  <c r="AN493" i="9"/>
  <c r="AQ492" i="9"/>
  <c r="AI492" i="9"/>
  <c r="AL491" i="9"/>
  <c r="AO490" i="9"/>
  <c r="AR489" i="9"/>
  <c r="AJ489" i="9"/>
  <c r="AM488" i="9"/>
  <c r="AP487" i="9"/>
  <c r="AS486" i="9"/>
  <c r="AK486" i="9"/>
  <c r="AJ584" i="9"/>
  <c r="AS577" i="9"/>
  <c r="AN576" i="9"/>
  <c r="AI575" i="9"/>
  <c r="AP570" i="9"/>
  <c r="AK569" i="9"/>
  <c r="AR564" i="9"/>
  <c r="AM563" i="9"/>
  <c r="AS556" i="9"/>
  <c r="AN555" i="9"/>
  <c r="AI554" i="9"/>
  <c r="AO552" i="9"/>
  <c r="AJ551" i="9"/>
  <c r="AP549" i="9"/>
  <c r="AK548" i="9"/>
  <c r="AQ546" i="9"/>
  <c r="AL545" i="9"/>
  <c r="AR543" i="9"/>
  <c r="AM542" i="9"/>
  <c r="AS540" i="9"/>
  <c r="AN539" i="9"/>
  <c r="AI538" i="9"/>
  <c r="AO536" i="9"/>
  <c r="AJ535" i="9"/>
  <c r="AP533" i="9"/>
  <c r="AK532" i="9"/>
  <c r="AQ530" i="9"/>
  <c r="AL529" i="9"/>
  <c r="AR527" i="9"/>
  <c r="AM526" i="9"/>
  <c r="AS524" i="9"/>
  <c r="AN523" i="9"/>
  <c r="AI522" i="9"/>
  <c r="AO520" i="9"/>
  <c r="AJ519" i="9"/>
  <c r="AM518" i="9"/>
  <c r="AS517" i="9"/>
  <c r="AN516" i="9"/>
  <c r="AI515" i="9"/>
  <c r="AO514" i="9"/>
  <c r="AJ513" i="9"/>
  <c r="AO512" i="9"/>
  <c r="AJ511" i="9"/>
  <c r="AR510" i="9"/>
  <c r="AJ510" i="9"/>
  <c r="AM509" i="9"/>
  <c r="AP508" i="9"/>
  <c r="AS507" i="9"/>
  <c r="AK507" i="9"/>
  <c r="AN506" i="9"/>
  <c r="AQ505" i="9"/>
  <c r="AI505" i="9"/>
  <c r="AL504" i="9"/>
  <c r="AO503" i="9"/>
  <c r="AR502" i="9"/>
  <c r="AJ502" i="9"/>
  <c r="AM501" i="9"/>
  <c r="AP500" i="9"/>
  <c r="AS499" i="9"/>
  <c r="AK499" i="9"/>
  <c r="AN498" i="9"/>
  <c r="AQ497" i="9"/>
  <c r="AI497" i="9"/>
  <c r="AL496" i="9"/>
  <c r="AO495" i="9"/>
  <c r="AR494" i="9"/>
  <c r="AJ494" i="9"/>
  <c r="AM493" i="9"/>
  <c r="AP492" i="9"/>
  <c r="AS491" i="9"/>
  <c r="AK491" i="9"/>
  <c r="AN490" i="9"/>
  <c r="AQ489" i="9"/>
  <c r="AI489" i="9"/>
  <c r="AL488" i="9"/>
  <c r="AO487" i="9"/>
  <c r="AR486" i="9"/>
  <c r="AJ486" i="9"/>
  <c r="AM485" i="9"/>
  <c r="AP484" i="9"/>
  <c r="AS483" i="9"/>
  <c r="AK483" i="9"/>
  <c r="AN482" i="9"/>
  <c r="AQ481" i="9"/>
  <c r="AI481" i="9"/>
  <c r="AL480" i="9"/>
  <c r="AO479" i="9"/>
  <c r="AR478" i="9"/>
  <c r="AJ478" i="9"/>
  <c r="AM477" i="9"/>
  <c r="AP476" i="9"/>
  <c r="AS475" i="9"/>
  <c r="AK475" i="9"/>
  <c r="AN474" i="9"/>
  <c r="AQ473" i="9"/>
  <c r="AI473" i="9"/>
  <c r="AL472" i="9"/>
  <c r="AO471" i="9"/>
  <c r="AR470" i="9"/>
  <c r="AJ470" i="9"/>
  <c r="AM469" i="9"/>
  <c r="AP468" i="9"/>
  <c r="AS467" i="9"/>
  <c r="AK467" i="9"/>
  <c r="AN466" i="9"/>
  <c r="AQ465" i="9"/>
  <c r="AI465" i="9"/>
  <c r="AL464" i="9"/>
  <c r="AO463" i="9"/>
  <c r="AR462" i="9"/>
  <c r="AJ462" i="9"/>
  <c r="AM461" i="9"/>
  <c r="AP460" i="9"/>
  <c r="AS459" i="9"/>
  <c r="AK459" i="9"/>
  <c r="AN458" i="9"/>
  <c r="AQ457" i="9"/>
  <c r="AI457" i="9"/>
  <c r="AL456" i="9"/>
  <c r="AO455" i="9"/>
  <c r="AR454" i="9"/>
  <c r="AJ454" i="9"/>
  <c r="AM453" i="9"/>
  <c r="AP452" i="9"/>
  <c r="AS451" i="9"/>
  <c r="AK451" i="9"/>
  <c r="AN450" i="9"/>
  <c r="AQ449" i="9"/>
  <c r="AI449" i="9"/>
  <c r="AL448" i="9"/>
  <c r="AO447" i="9"/>
  <c r="AR446" i="9"/>
  <c r="AJ446" i="9"/>
  <c r="AM445" i="9"/>
  <c r="AP444" i="9"/>
  <c r="AS443" i="9"/>
  <c r="AK443" i="9"/>
  <c r="AN442" i="9"/>
  <c r="AQ585" i="9"/>
  <c r="AL582" i="9"/>
  <c r="AQ578" i="9"/>
  <c r="AL577" i="9"/>
  <c r="AS572" i="9"/>
  <c r="AN571" i="9"/>
  <c r="AI570" i="9"/>
  <c r="AP565" i="9"/>
  <c r="AK564" i="9"/>
  <c r="AR559" i="9"/>
  <c r="AM558" i="9"/>
  <c r="AR556" i="9"/>
  <c r="AM555" i="9"/>
  <c r="AS553" i="9"/>
  <c r="AN552" i="9"/>
  <c r="AI551" i="9"/>
  <c r="AO549" i="9"/>
  <c r="AJ548" i="9"/>
  <c r="AP546" i="9"/>
  <c r="AK545" i="9"/>
  <c r="AQ543" i="9"/>
  <c r="AL542" i="9"/>
  <c r="AR540" i="9"/>
  <c r="AM539" i="9"/>
  <c r="AS537" i="9"/>
  <c r="AN536" i="9"/>
  <c r="AI535" i="9"/>
  <c r="AO533" i="9"/>
  <c r="AJ532" i="9"/>
  <c r="AP530" i="9"/>
  <c r="AK529" i="9"/>
  <c r="AQ527" i="9"/>
  <c r="AL526" i="9"/>
  <c r="AR524" i="9"/>
  <c r="AM523" i="9"/>
  <c r="AS521" i="9"/>
  <c r="AN520" i="9"/>
  <c r="AI519" i="9"/>
  <c r="AL518" i="9"/>
  <c r="AR517" i="9"/>
  <c r="AM516" i="9"/>
  <c r="AR515" i="9"/>
  <c r="AM514" i="9"/>
  <c r="AS513" i="9"/>
  <c r="AN512" i="9"/>
  <c r="AI511" i="9"/>
  <c r="AQ510" i="9"/>
  <c r="AI510" i="9"/>
  <c r="AO585" i="9"/>
  <c r="AK582" i="9"/>
  <c r="AP578" i="9"/>
  <c r="AK577" i="9"/>
  <c r="AR572" i="9"/>
  <c r="AM571" i="9"/>
  <c r="AO565" i="9"/>
  <c r="AJ564" i="9"/>
  <c r="AQ559" i="9"/>
  <c r="AL558" i="9"/>
  <c r="AQ556" i="9"/>
  <c r="AL555" i="9"/>
  <c r="AR553" i="9"/>
  <c r="AM552" i="9"/>
  <c r="AS550" i="9"/>
  <c r="AN549" i="9"/>
  <c r="AI548" i="9"/>
  <c r="AO546" i="9"/>
  <c r="AJ545" i="9"/>
  <c r="AP543" i="9"/>
  <c r="AK542" i="9"/>
  <c r="AQ540" i="9"/>
  <c r="AL539" i="9"/>
  <c r="AR537" i="9"/>
  <c r="AM536" i="9"/>
  <c r="AS534" i="9"/>
  <c r="AN533" i="9"/>
  <c r="AI532" i="9"/>
  <c r="AO530" i="9"/>
  <c r="AJ529" i="9"/>
  <c r="AP527" i="9"/>
  <c r="AK526" i="9"/>
  <c r="AQ524" i="9"/>
  <c r="AL523" i="9"/>
  <c r="AR521" i="9"/>
  <c r="AM520" i="9"/>
  <c r="AK518" i="9"/>
  <c r="AP517" i="9"/>
  <c r="AK516" i="9"/>
  <c r="AQ515" i="9"/>
  <c r="AL514" i="9"/>
  <c r="AR513" i="9"/>
  <c r="AM512" i="9"/>
  <c r="AR511" i="9"/>
  <c r="AP510" i="9"/>
  <c r="AS509" i="9"/>
  <c r="AQ583" i="9"/>
  <c r="AS580" i="9"/>
  <c r="AN579" i="9"/>
  <c r="AI578" i="9"/>
  <c r="AP573" i="9"/>
  <c r="AK572" i="9"/>
  <c r="AR567" i="9"/>
  <c r="AM566" i="9"/>
  <c r="AO560" i="9"/>
  <c r="AJ559" i="9"/>
  <c r="AK558" i="9"/>
  <c r="AR557" i="9"/>
  <c r="AM556" i="9"/>
  <c r="AS554" i="9"/>
  <c r="AN553" i="9"/>
  <c r="AI552" i="9"/>
  <c r="AO550" i="9"/>
  <c r="AJ549" i="9"/>
  <c r="AP547" i="9"/>
  <c r="AK546" i="9"/>
  <c r="AQ544" i="9"/>
  <c r="AL543" i="9"/>
  <c r="AR541" i="9"/>
  <c r="AM540" i="9"/>
  <c r="AS538" i="9"/>
  <c r="AN537" i="9"/>
  <c r="AI536" i="9"/>
  <c r="AO534" i="9"/>
  <c r="AJ533" i="9"/>
  <c r="AP531" i="9"/>
  <c r="AK530" i="9"/>
  <c r="AQ528" i="9"/>
  <c r="AL527" i="9"/>
  <c r="AR525" i="9"/>
  <c r="AM524" i="9"/>
  <c r="AS522" i="9"/>
  <c r="AN521" i="9"/>
  <c r="AI520" i="9"/>
  <c r="AI518" i="9"/>
  <c r="AO517" i="9"/>
  <c r="AJ516" i="9"/>
  <c r="AP515" i="9"/>
  <c r="AK514" i="9"/>
  <c r="AP513" i="9"/>
  <c r="AK512" i="9"/>
  <c r="AQ511" i="9"/>
  <c r="AO510" i="9"/>
  <c r="AR509" i="9"/>
  <c r="AJ509" i="9"/>
  <c r="AM508" i="9"/>
  <c r="AP507" i="9"/>
  <c r="AS506" i="9"/>
  <c r="AK506" i="9"/>
  <c r="AN505" i="9"/>
  <c r="AQ504" i="9"/>
  <c r="AI504" i="9"/>
  <c r="AL503" i="9"/>
  <c r="AO502" i="9"/>
  <c r="AR501" i="9"/>
  <c r="AJ501" i="9"/>
  <c r="AM500" i="9"/>
  <c r="AP499" i="9"/>
  <c r="AS498" i="9"/>
  <c r="AK498" i="9"/>
  <c r="AN497" i="9"/>
  <c r="AQ496" i="9"/>
  <c r="AI496" i="9"/>
  <c r="AL495" i="9"/>
  <c r="AO494" i="9"/>
  <c r="AR493" i="9"/>
  <c r="AJ493" i="9"/>
  <c r="AM492" i="9"/>
  <c r="AP491" i="9"/>
  <c r="AS490" i="9"/>
  <c r="AK490" i="9"/>
  <c r="AN489" i="9"/>
  <c r="AQ488" i="9"/>
  <c r="AI488" i="9"/>
  <c r="AL487" i="9"/>
  <c r="AO486" i="9"/>
  <c r="AP583" i="9"/>
  <c r="AR580" i="9"/>
  <c r="AM579" i="9"/>
  <c r="AO573" i="9"/>
  <c r="AJ572" i="9"/>
  <c r="AQ567" i="9"/>
  <c r="AL566" i="9"/>
  <c r="AS561" i="9"/>
  <c r="AN560" i="9"/>
  <c r="AI559" i="9"/>
  <c r="AP557" i="9"/>
  <c r="AK556" i="9"/>
  <c r="AQ554" i="9"/>
  <c r="AL553" i="9"/>
  <c r="AR551" i="9"/>
  <c r="AM550" i="9"/>
  <c r="AS548" i="9"/>
  <c r="AN547" i="9"/>
  <c r="AI546" i="9"/>
  <c r="AO544" i="9"/>
  <c r="AJ543" i="9"/>
  <c r="AP541" i="9"/>
  <c r="AK540" i="9"/>
  <c r="AQ538" i="9"/>
  <c r="AL537" i="9"/>
  <c r="AR535" i="9"/>
  <c r="AM534" i="9"/>
  <c r="AS532" i="9"/>
  <c r="AN531" i="9"/>
  <c r="AI530" i="9"/>
  <c r="AO528" i="9"/>
  <c r="AJ527" i="9"/>
  <c r="AP525" i="9"/>
  <c r="AK524" i="9"/>
  <c r="AQ522" i="9"/>
  <c r="AL521" i="9"/>
  <c r="AR519" i="9"/>
  <c r="AS518" i="9"/>
  <c r="AN517" i="9"/>
  <c r="AS516" i="9"/>
  <c r="AI516" i="9"/>
  <c r="AN515" i="9"/>
  <c r="AI514" i="9"/>
  <c r="AO513" i="9"/>
  <c r="AJ512" i="9"/>
  <c r="AP511" i="9"/>
  <c r="AN510" i="9"/>
  <c r="AQ509" i="9"/>
  <c r="AI509" i="9"/>
  <c r="AL508" i="9"/>
  <c r="AO507" i="9"/>
  <c r="AR506" i="9"/>
  <c r="AJ506" i="9"/>
  <c r="AM505" i="9"/>
  <c r="AP504" i="9"/>
  <c r="AS503" i="9"/>
  <c r="AK503" i="9"/>
  <c r="AN502" i="9"/>
  <c r="AQ501" i="9"/>
  <c r="AI501" i="9"/>
  <c r="AL500" i="9"/>
  <c r="AO499" i="9"/>
  <c r="AR498" i="9"/>
  <c r="AJ498" i="9"/>
  <c r="AM497" i="9"/>
  <c r="AP496" i="9"/>
  <c r="AS495" i="9"/>
  <c r="AK495" i="9"/>
  <c r="AN494" i="9"/>
  <c r="AQ493" i="9"/>
  <c r="AI493" i="9"/>
  <c r="AL492" i="9"/>
  <c r="AO491" i="9"/>
  <c r="AR490" i="9"/>
  <c r="AJ490" i="9"/>
  <c r="AM489" i="9"/>
  <c r="AP488" i="9"/>
  <c r="AS487" i="9"/>
  <c r="AK487" i="9"/>
  <c r="AN486" i="9"/>
  <c r="AQ485" i="9"/>
  <c r="AI485" i="9"/>
  <c r="AL484" i="9"/>
  <c r="AO483" i="9"/>
  <c r="AR482" i="9"/>
  <c r="AJ482" i="9"/>
  <c r="AM481" i="9"/>
  <c r="AP480" i="9"/>
  <c r="AS479" i="9"/>
  <c r="AK479" i="9"/>
  <c r="AN478" i="9"/>
  <c r="AQ477" i="9"/>
  <c r="AI477" i="9"/>
  <c r="AL476" i="9"/>
  <c r="AO475" i="9"/>
  <c r="AR474" i="9"/>
  <c r="AJ474" i="9"/>
  <c r="AM473" i="9"/>
  <c r="AP472" i="9"/>
  <c r="AS471" i="9"/>
  <c r="AK471" i="9"/>
  <c r="AN470" i="9"/>
  <c r="AQ469" i="9"/>
  <c r="AI469" i="9"/>
  <c r="AL468" i="9"/>
  <c r="AO467" i="9"/>
  <c r="AR466" i="9"/>
  <c r="AJ466" i="9"/>
  <c r="AM465" i="9"/>
  <c r="AP464" i="9"/>
  <c r="AS463" i="9"/>
  <c r="AK463" i="9"/>
  <c r="AN462" i="9"/>
  <c r="AQ461" i="9"/>
  <c r="AI461" i="9"/>
  <c r="AL460" i="9"/>
  <c r="AO459" i="9"/>
  <c r="AR458" i="9"/>
  <c r="AJ458" i="9"/>
  <c r="AM457" i="9"/>
  <c r="AP456" i="9"/>
  <c r="AS455" i="9"/>
  <c r="AK455" i="9"/>
  <c r="AN454" i="9"/>
  <c r="AQ453" i="9"/>
  <c r="AI453" i="9"/>
  <c r="AL452" i="9"/>
  <c r="AO451" i="9"/>
  <c r="AR450" i="9"/>
  <c r="AJ450" i="9"/>
  <c r="AM449" i="9"/>
  <c r="AP448" i="9"/>
  <c r="AS447" i="9"/>
  <c r="AK447" i="9"/>
  <c r="AN446" i="9"/>
  <c r="AQ445" i="9"/>
  <c r="AI445" i="9"/>
  <c r="AL444" i="9"/>
  <c r="AO443" i="9"/>
  <c r="AR442" i="9"/>
  <c r="AJ442" i="9"/>
  <c r="AR581" i="9"/>
  <c r="AK580" i="9"/>
  <c r="AR575" i="9"/>
  <c r="AM574" i="9"/>
  <c r="AO568" i="9"/>
  <c r="AJ567" i="9"/>
  <c r="AQ562" i="9"/>
  <c r="AL561" i="9"/>
  <c r="AO557" i="9"/>
  <c r="AJ556" i="9"/>
  <c r="AP554" i="9"/>
  <c r="AK553" i="9"/>
  <c r="AQ551" i="9"/>
  <c r="AL550" i="9"/>
  <c r="AR548" i="9"/>
  <c r="AM547" i="9"/>
  <c r="AS545" i="9"/>
  <c r="AN544" i="9"/>
  <c r="AI543" i="9"/>
  <c r="AO541" i="9"/>
  <c r="AJ540" i="9"/>
  <c r="AP538" i="9"/>
  <c r="AK537" i="9"/>
  <c r="AQ535" i="9"/>
  <c r="AL534" i="9"/>
  <c r="AR532" i="9"/>
  <c r="AM531" i="9"/>
  <c r="AS529" i="9"/>
  <c r="AN528" i="9"/>
  <c r="AI527" i="9"/>
  <c r="AO525" i="9"/>
  <c r="AJ524" i="9"/>
  <c r="AP522" i="9"/>
  <c r="AK521" i="9"/>
  <c r="AQ519" i="9"/>
  <c r="AQ518" i="9"/>
  <c r="AL517" i="9"/>
  <c r="AR516" i="9"/>
  <c r="AM515" i="9"/>
  <c r="AS514" i="9"/>
  <c r="AN513" i="9"/>
  <c r="AS512" i="9"/>
  <c r="AI512" i="9"/>
  <c r="AN511" i="9"/>
  <c r="AM510" i="9"/>
  <c r="AP509" i="9"/>
  <c r="AS508" i="9"/>
  <c r="AK508" i="9"/>
  <c r="AN507" i="9"/>
  <c r="AQ506" i="9"/>
  <c r="AI506" i="9"/>
  <c r="AL505" i="9"/>
  <c r="AO504" i="9"/>
  <c r="AR503" i="9"/>
  <c r="AJ503" i="9"/>
  <c r="AM502" i="9"/>
  <c r="AP501" i="9"/>
  <c r="AS500" i="9"/>
  <c r="AK500" i="9"/>
  <c r="AN499" i="9"/>
  <c r="AQ498" i="9"/>
  <c r="AI498" i="9"/>
  <c r="AL497" i="9"/>
  <c r="AO496" i="9"/>
  <c r="AR495" i="9"/>
  <c r="AJ495" i="9"/>
  <c r="AM494" i="9"/>
  <c r="AP493" i="9"/>
  <c r="AS492" i="9"/>
  <c r="AK492" i="9"/>
  <c r="AN491" i="9"/>
  <c r="AQ490" i="9"/>
  <c r="AI490" i="9"/>
  <c r="AL489" i="9"/>
  <c r="AO488" i="9"/>
  <c r="AR487" i="9"/>
  <c r="AJ487" i="9"/>
  <c r="AM486" i="9"/>
  <c r="AP485" i="9"/>
  <c r="AS484" i="9"/>
  <c r="AK484" i="9"/>
  <c r="AN483" i="9"/>
  <c r="AQ482" i="9"/>
  <c r="AI482" i="9"/>
  <c r="AL481" i="9"/>
  <c r="AO480" i="9"/>
  <c r="AR479" i="9"/>
  <c r="AJ479" i="9"/>
  <c r="AM478" i="9"/>
  <c r="AP477" i="9"/>
  <c r="AS476" i="9"/>
  <c r="AK476" i="9"/>
  <c r="AN475" i="9"/>
  <c r="AQ474" i="9"/>
  <c r="AI474" i="9"/>
  <c r="AL473" i="9"/>
  <c r="AO472" i="9"/>
  <c r="AR471" i="9"/>
  <c r="AJ471" i="9"/>
  <c r="AM470" i="9"/>
  <c r="AP469" i="9"/>
  <c r="AS468" i="9"/>
  <c r="AK468" i="9"/>
  <c r="AN467" i="9"/>
  <c r="AQ466" i="9"/>
  <c r="AI466" i="9"/>
  <c r="AL465" i="9"/>
  <c r="AO464" i="9"/>
  <c r="AR463" i="9"/>
  <c r="AJ463" i="9"/>
  <c r="AM462" i="9"/>
  <c r="AP461" i="9"/>
  <c r="AS460" i="9"/>
  <c r="AK460" i="9"/>
  <c r="AN459" i="9"/>
  <c r="AQ458" i="9"/>
  <c r="AI458" i="9"/>
  <c r="AL457" i="9"/>
  <c r="AO456" i="9"/>
  <c r="AR455" i="9"/>
  <c r="AJ455" i="9"/>
  <c r="AM454" i="9"/>
  <c r="AP453" i="9"/>
  <c r="AS452" i="9"/>
  <c r="AK452" i="9"/>
  <c r="AN451" i="9"/>
  <c r="AQ450" i="9"/>
  <c r="AI450" i="9"/>
  <c r="AL449" i="9"/>
  <c r="AO448" i="9"/>
  <c r="AR447" i="9"/>
  <c r="AJ447" i="9"/>
  <c r="AM446" i="9"/>
  <c r="AP445" i="9"/>
  <c r="AS444" i="9"/>
  <c r="AK444" i="9"/>
  <c r="AN443" i="9"/>
  <c r="AQ442" i="9"/>
  <c r="AI442" i="9"/>
  <c r="AQ581" i="9"/>
  <c r="AJ580" i="9"/>
  <c r="AQ575" i="9"/>
  <c r="AL574" i="9"/>
  <c r="AS569" i="9"/>
  <c r="AN568" i="9"/>
  <c r="AI567" i="9"/>
  <c r="AP562" i="9"/>
  <c r="AK561" i="9"/>
  <c r="AN557" i="9"/>
  <c r="AI556" i="9"/>
  <c r="AO554" i="9"/>
  <c r="AJ553" i="9"/>
  <c r="AP551" i="9"/>
  <c r="AK550" i="9"/>
  <c r="AQ548" i="9"/>
  <c r="AL547" i="9"/>
  <c r="AR545" i="9"/>
  <c r="AM544" i="9"/>
  <c r="AS542" i="9"/>
  <c r="AN541" i="9"/>
  <c r="AI540" i="9"/>
  <c r="AO538" i="9"/>
  <c r="AJ537" i="9"/>
  <c r="AP535" i="9"/>
  <c r="AK534" i="9"/>
  <c r="AQ532" i="9"/>
  <c r="AL531" i="9"/>
  <c r="AR529" i="9"/>
  <c r="AM528" i="9"/>
  <c r="AS526" i="9"/>
  <c r="AN525" i="9"/>
  <c r="AI524" i="9"/>
  <c r="AO522" i="9"/>
  <c r="AJ521" i="9"/>
  <c r="AP519" i="9"/>
  <c r="AP518" i="9"/>
  <c r="AK517" i="9"/>
  <c r="AQ516" i="9"/>
  <c r="AL515" i="9"/>
  <c r="AQ514" i="9"/>
  <c r="AL513" i="9"/>
  <c r="AR512" i="9"/>
  <c r="AM511" i="9"/>
  <c r="AL510" i="9"/>
  <c r="AO509" i="9"/>
  <c r="AR508" i="9"/>
  <c r="AJ508" i="9"/>
  <c r="AM507" i="9"/>
  <c r="AP506" i="9"/>
  <c r="AS505" i="9"/>
  <c r="AK505" i="9"/>
  <c r="AN504" i="9"/>
  <c r="AQ503" i="9"/>
  <c r="AI503" i="9"/>
  <c r="AL502" i="9"/>
  <c r="AO501" i="9"/>
  <c r="AR500" i="9"/>
  <c r="AJ500" i="9"/>
  <c r="AM499" i="9"/>
  <c r="AP498" i="9"/>
  <c r="AS497" i="9"/>
  <c r="AK497" i="9"/>
  <c r="AN496" i="9"/>
  <c r="AQ495" i="9"/>
  <c r="AI495" i="9"/>
  <c r="AL494" i="9"/>
  <c r="AO493" i="9"/>
  <c r="AR492" i="9"/>
  <c r="AJ492" i="9"/>
  <c r="AM491" i="9"/>
  <c r="AP490" i="9"/>
  <c r="AS489" i="9"/>
  <c r="AK489" i="9"/>
  <c r="AN488" i="9"/>
  <c r="AQ487" i="9"/>
  <c r="AI487" i="9"/>
  <c r="AL486" i="9"/>
  <c r="AO485" i="9"/>
  <c r="AR484" i="9"/>
  <c r="AJ484" i="9"/>
  <c r="AM483" i="9"/>
  <c r="AP482" i="9"/>
  <c r="AS481" i="9"/>
  <c r="AK481" i="9"/>
  <c r="AN480" i="9"/>
  <c r="AQ479" i="9"/>
  <c r="AI479" i="9"/>
  <c r="AL478" i="9"/>
  <c r="AO477" i="9"/>
  <c r="AR476" i="9"/>
  <c r="AJ476" i="9"/>
  <c r="AM475" i="9"/>
  <c r="AP474" i="9"/>
  <c r="AS473" i="9"/>
  <c r="AK473" i="9"/>
  <c r="AN472" i="9"/>
  <c r="AQ471" i="9"/>
  <c r="AI471" i="9"/>
  <c r="AL470" i="9"/>
  <c r="AO469" i="9"/>
  <c r="AR468" i="9"/>
  <c r="AJ468" i="9"/>
  <c r="AM467" i="9"/>
  <c r="AP466" i="9"/>
  <c r="AS465" i="9"/>
  <c r="AK465" i="9"/>
  <c r="AN464" i="9"/>
  <c r="AQ463" i="9"/>
  <c r="AI463" i="9"/>
  <c r="AL462" i="9"/>
  <c r="AO461" i="9"/>
  <c r="AR460" i="9"/>
  <c r="AJ460" i="9"/>
  <c r="AM459" i="9"/>
  <c r="AP458" i="9"/>
  <c r="AS457" i="9"/>
  <c r="AK457" i="9"/>
  <c r="AN456" i="9"/>
  <c r="AQ455" i="9"/>
  <c r="AI455" i="9"/>
  <c r="AL454" i="9"/>
  <c r="AO453" i="9"/>
  <c r="AR452" i="9"/>
  <c r="AJ452" i="9"/>
  <c r="AM451" i="9"/>
  <c r="AP450" i="9"/>
  <c r="AS449" i="9"/>
  <c r="AK449" i="9"/>
  <c r="AN448" i="9"/>
  <c r="AQ447" i="9"/>
  <c r="AI447" i="9"/>
  <c r="AL446" i="9"/>
  <c r="AO445" i="9"/>
  <c r="AR444" i="9"/>
  <c r="AJ444" i="9"/>
  <c r="AN508" i="9"/>
  <c r="AI507" i="9"/>
  <c r="AP502" i="9"/>
  <c r="AK501" i="9"/>
  <c r="AR496" i="9"/>
  <c r="AM495" i="9"/>
  <c r="AO489" i="9"/>
  <c r="AJ488" i="9"/>
  <c r="AK485" i="9"/>
  <c r="AQ483" i="9"/>
  <c r="AL482" i="9"/>
  <c r="AR480" i="9"/>
  <c r="AM479" i="9"/>
  <c r="AS477" i="9"/>
  <c r="AN476" i="9"/>
  <c r="AI475" i="9"/>
  <c r="AO473" i="9"/>
  <c r="AJ472" i="9"/>
  <c r="AP470" i="9"/>
  <c r="AK469" i="9"/>
  <c r="AQ467" i="9"/>
  <c r="AL466" i="9"/>
  <c r="AR464" i="9"/>
  <c r="AM463" i="9"/>
  <c r="AS461" i="9"/>
  <c r="AN460" i="9"/>
  <c r="AI459" i="9"/>
  <c r="AO457" i="9"/>
  <c r="AJ456" i="9"/>
  <c r="AP454" i="9"/>
  <c r="AK453" i="9"/>
  <c r="AQ451" i="9"/>
  <c r="AL450" i="9"/>
  <c r="AR448" i="9"/>
  <c r="AM447" i="9"/>
  <c r="AS445" i="9"/>
  <c r="AN444" i="9"/>
  <c r="AM443" i="9"/>
  <c r="AO442" i="9"/>
  <c r="AL441" i="9"/>
  <c r="AO440" i="9"/>
  <c r="AR439" i="9"/>
  <c r="AJ439" i="9"/>
  <c r="AM438" i="9"/>
  <c r="AP437" i="9"/>
  <c r="AS436" i="9"/>
  <c r="AK436" i="9"/>
  <c r="AN435" i="9"/>
  <c r="AQ434" i="9"/>
  <c r="AI434" i="9"/>
  <c r="AL433" i="9"/>
  <c r="AO432" i="9"/>
  <c r="AR431" i="9"/>
  <c r="AJ431" i="9"/>
  <c r="AM430" i="9"/>
  <c r="AP429" i="9"/>
  <c r="AS428" i="9"/>
  <c r="AK428" i="9"/>
  <c r="AN427" i="9"/>
  <c r="AQ426" i="9"/>
  <c r="AI426" i="9"/>
  <c r="AL425" i="9"/>
  <c r="AO424" i="9"/>
  <c r="AR423" i="9"/>
  <c r="AJ423" i="9"/>
  <c r="AM422" i="9"/>
  <c r="AP421" i="9"/>
  <c r="AS420" i="9"/>
  <c r="AK420" i="9"/>
  <c r="AN419" i="9"/>
  <c r="AQ418" i="9"/>
  <c r="AI418" i="9"/>
  <c r="AL417" i="9"/>
  <c r="AO416" i="9"/>
  <c r="AR415" i="9"/>
  <c r="AJ415" i="9"/>
  <c r="AM414" i="9"/>
  <c r="AP413" i="9"/>
  <c r="AS412" i="9"/>
  <c r="AK412" i="9"/>
  <c r="AN411" i="9"/>
  <c r="AQ410" i="9"/>
  <c r="AI410" i="9"/>
  <c r="AL409" i="9"/>
  <c r="AL509" i="9"/>
  <c r="AS504" i="9"/>
  <c r="AN503" i="9"/>
  <c r="AI502" i="9"/>
  <c r="AP497" i="9"/>
  <c r="AK496" i="9"/>
  <c r="AR491" i="9"/>
  <c r="AM490" i="9"/>
  <c r="AJ485" i="9"/>
  <c r="AP483" i="9"/>
  <c r="AK482" i="9"/>
  <c r="AQ480" i="9"/>
  <c r="AL479" i="9"/>
  <c r="AR477" i="9"/>
  <c r="AM476" i="9"/>
  <c r="AS474" i="9"/>
  <c r="AN473" i="9"/>
  <c r="AI472" i="9"/>
  <c r="AO470" i="9"/>
  <c r="AJ469" i="9"/>
  <c r="AP467" i="9"/>
  <c r="AK466" i="9"/>
  <c r="AQ464" i="9"/>
  <c r="AL463" i="9"/>
  <c r="AR461" i="9"/>
  <c r="AM460" i="9"/>
  <c r="AS458" i="9"/>
  <c r="AN457" i="9"/>
  <c r="AI456" i="9"/>
  <c r="AO454" i="9"/>
  <c r="AJ453" i="9"/>
  <c r="AP451" i="9"/>
  <c r="AK450" i="9"/>
  <c r="AQ448" i="9"/>
  <c r="AL447" i="9"/>
  <c r="AR445" i="9"/>
  <c r="AM444" i="9"/>
  <c r="AL443" i="9"/>
  <c r="AM442" i="9"/>
  <c r="AS441" i="9"/>
  <c r="AK441" i="9"/>
  <c r="AN440" i="9"/>
  <c r="AQ439" i="9"/>
  <c r="AI439" i="9"/>
  <c r="AL438" i="9"/>
  <c r="AO437" i="9"/>
  <c r="AR436" i="9"/>
  <c r="AJ436" i="9"/>
  <c r="AM435" i="9"/>
  <c r="AP434" i="9"/>
  <c r="AS433" i="9"/>
  <c r="AK433" i="9"/>
  <c r="AN432" i="9"/>
  <c r="AQ431" i="9"/>
  <c r="AI431" i="9"/>
  <c r="AL430" i="9"/>
  <c r="AO429" i="9"/>
  <c r="AR428" i="9"/>
  <c r="AJ428" i="9"/>
  <c r="AM427" i="9"/>
  <c r="AP426" i="9"/>
  <c r="AS425" i="9"/>
  <c r="AK425" i="9"/>
  <c r="AN424" i="9"/>
  <c r="AQ423" i="9"/>
  <c r="AI423" i="9"/>
  <c r="AL422" i="9"/>
  <c r="AO421" i="9"/>
  <c r="AR420" i="9"/>
  <c r="AJ420" i="9"/>
  <c r="AM419" i="9"/>
  <c r="AP418" i="9"/>
  <c r="AS417" i="9"/>
  <c r="AK417" i="9"/>
  <c r="AN416" i="9"/>
  <c r="AQ415" i="9"/>
  <c r="AI415" i="9"/>
  <c r="AL414" i="9"/>
  <c r="AO413" i="9"/>
  <c r="AR412" i="9"/>
  <c r="AJ412" i="9"/>
  <c r="AM411" i="9"/>
  <c r="AP410" i="9"/>
  <c r="AS409" i="9"/>
  <c r="AK409" i="9"/>
  <c r="AN408" i="9"/>
  <c r="AQ407" i="9"/>
  <c r="AI407" i="9"/>
  <c r="AL406" i="9"/>
  <c r="AO405" i="9"/>
  <c r="AR404" i="9"/>
  <c r="AJ404" i="9"/>
  <c r="AM403" i="9"/>
  <c r="AP402" i="9"/>
  <c r="AS401" i="9"/>
  <c r="AK401" i="9"/>
  <c r="AN400" i="9"/>
  <c r="AQ399" i="9"/>
  <c r="AI399" i="9"/>
  <c r="AL398" i="9"/>
  <c r="AO397" i="9"/>
  <c r="AR396" i="9"/>
  <c r="AJ396" i="9"/>
  <c r="AM395" i="9"/>
  <c r="AP394" i="9"/>
  <c r="AS393" i="9"/>
  <c r="AK393" i="9"/>
  <c r="AN392" i="9"/>
  <c r="AQ391" i="9"/>
  <c r="AI391" i="9"/>
  <c r="AL390" i="9"/>
  <c r="AO389" i="9"/>
  <c r="AR388" i="9"/>
  <c r="AJ388" i="9"/>
  <c r="AM387" i="9"/>
  <c r="AP386" i="9"/>
  <c r="AS385" i="9"/>
  <c r="AK385" i="9"/>
  <c r="AN384" i="9"/>
  <c r="AQ383" i="9"/>
  <c r="AI383" i="9"/>
  <c r="AL382" i="9"/>
  <c r="AO381" i="9"/>
  <c r="AR380" i="9"/>
  <c r="AJ380" i="9"/>
  <c r="AM379" i="9"/>
  <c r="AP378" i="9"/>
  <c r="AS377" i="9"/>
  <c r="AK377" i="9"/>
  <c r="AN376" i="9"/>
  <c r="AQ375" i="9"/>
  <c r="AI375" i="9"/>
  <c r="AL374" i="9"/>
  <c r="AO373" i="9"/>
  <c r="AR372" i="9"/>
  <c r="AJ372" i="9"/>
  <c r="AM371" i="9"/>
  <c r="AP370" i="9"/>
  <c r="AS369" i="9"/>
  <c r="AK369" i="9"/>
  <c r="AN368" i="9"/>
  <c r="AK509" i="9"/>
  <c r="AR504" i="9"/>
  <c r="AM503" i="9"/>
  <c r="AO497" i="9"/>
  <c r="AJ496" i="9"/>
  <c r="AQ491" i="9"/>
  <c r="AL490" i="9"/>
  <c r="AQ484" i="9"/>
  <c r="AL483" i="9"/>
  <c r="AR481" i="9"/>
  <c r="AM480" i="9"/>
  <c r="AS478" i="9"/>
  <c r="AN477" i="9"/>
  <c r="AI476" i="9"/>
  <c r="AO474" i="9"/>
  <c r="AJ473" i="9"/>
  <c r="AP471" i="9"/>
  <c r="AK470" i="9"/>
  <c r="AQ468" i="9"/>
  <c r="AL467" i="9"/>
  <c r="AR465" i="9"/>
  <c r="AM464" i="9"/>
  <c r="AS462" i="9"/>
  <c r="AN461" i="9"/>
  <c r="AI460" i="9"/>
  <c r="AO458" i="9"/>
  <c r="AJ457" i="9"/>
  <c r="AP455" i="9"/>
  <c r="AK454" i="9"/>
  <c r="AQ452" i="9"/>
  <c r="AL451" i="9"/>
  <c r="AR449" i="9"/>
  <c r="AM448" i="9"/>
  <c r="AS446" i="9"/>
  <c r="AN445" i="9"/>
  <c r="AI444" i="9"/>
  <c r="AJ443" i="9"/>
  <c r="AL442" i="9"/>
  <c r="AR441" i="9"/>
  <c r="AJ441" i="9"/>
  <c r="AM440" i="9"/>
  <c r="AP439" i="9"/>
  <c r="AS438" i="9"/>
  <c r="AK438" i="9"/>
  <c r="AN437" i="9"/>
  <c r="AQ436" i="9"/>
  <c r="AI436" i="9"/>
  <c r="AL435" i="9"/>
  <c r="AO434" i="9"/>
  <c r="AP505" i="9"/>
  <c r="AK504" i="9"/>
  <c r="AR499" i="9"/>
  <c r="AM498" i="9"/>
  <c r="AO492" i="9"/>
  <c r="AJ491" i="9"/>
  <c r="AQ486" i="9"/>
  <c r="AO484" i="9"/>
  <c r="AJ483" i="9"/>
  <c r="AP481" i="9"/>
  <c r="AK480" i="9"/>
  <c r="AQ478" i="9"/>
  <c r="AL477" i="9"/>
  <c r="AR475" i="9"/>
  <c r="AM474" i="9"/>
  <c r="AS472" i="9"/>
  <c r="AN471" i="9"/>
  <c r="AI470" i="9"/>
  <c r="AO468" i="9"/>
  <c r="AJ467" i="9"/>
  <c r="AP465" i="9"/>
  <c r="AK464" i="9"/>
  <c r="AQ462" i="9"/>
  <c r="AL461" i="9"/>
  <c r="AR459" i="9"/>
  <c r="AM458" i="9"/>
  <c r="AS456" i="9"/>
  <c r="AN455" i="9"/>
  <c r="AI454" i="9"/>
  <c r="AO452" i="9"/>
  <c r="AJ451" i="9"/>
  <c r="AP449" i="9"/>
  <c r="AK448" i="9"/>
  <c r="AQ446" i="9"/>
  <c r="AL445" i="9"/>
  <c r="AI443" i="9"/>
  <c r="AK442" i="9"/>
  <c r="AQ441" i="9"/>
  <c r="AI441" i="9"/>
  <c r="AL440" i="9"/>
  <c r="AO439" i="9"/>
  <c r="AR438" i="9"/>
  <c r="AJ438" i="9"/>
  <c r="AM437" i="9"/>
  <c r="AP436" i="9"/>
  <c r="AS435" i="9"/>
  <c r="AK435" i="9"/>
  <c r="AN434" i="9"/>
  <c r="AO505" i="9"/>
  <c r="AJ504" i="9"/>
  <c r="AQ499" i="9"/>
  <c r="AL498" i="9"/>
  <c r="AS493" i="9"/>
  <c r="AN492" i="9"/>
  <c r="AI491" i="9"/>
  <c r="AP486" i="9"/>
  <c r="AS485" i="9"/>
  <c r="AN484" i="9"/>
  <c r="AI483" i="9"/>
  <c r="AO481" i="9"/>
  <c r="AJ480" i="9"/>
  <c r="AP478" i="9"/>
  <c r="AK477" i="9"/>
  <c r="AQ475" i="9"/>
  <c r="AL474" i="9"/>
  <c r="AR472" i="9"/>
  <c r="AM471" i="9"/>
  <c r="AS469" i="9"/>
  <c r="AN468" i="9"/>
  <c r="AI467" i="9"/>
  <c r="AO465" i="9"/>
  <c r="AJ464" i="9"/>
  <c r="AP462" i="9"/>
  <c r="AK461" i="9"/>
  <c r="AQ459" i="9"/>
  <c r="AL458" i="9"/>
  <c r="AR456" i="9"/>
  <c r="AM455" i="9"/>
  <c r="AS453" i="9"/>
  <c r="AN452" i="9"/>
  <c r="AI451" i="9"/>
  <c r="AO449" i="9"/>
  <c r="AJ448" i="9"/>
  <c r="AP446" i="9"/>
  <c r="AK445" i="9"/>
  <c r="AP441" i="9"/>
  <c r="AS440" i="9"/>
  <c r="AK440" i="9"/>
  <c r="AN439" i="9"/>
  <c r="AQ438" i="9"/>
  <c r="AI438" i="9"/>
  <c r="AL437" i="9"/>
  <c r="AO436" i="9"/>
  <c r="AR435" i="9"/>
  <c r="AJ435" i="9"/>
  <c r="AM434" i="9"/>
  <c r="AP433" i="9"/>
  <c r="AS432" i="9"/>
  <c r="AK432" i="9"/>
  <c r="AN431" i="9"/>
  <c r="AQ430" i="9"/>
  <c r="AI430" i="9"/>
  <c r="AL429" i="9"/>
  <c r="AO428" i="9"/>
  <c r="AR427" i="9"/>
  <c r="AJ427" i="9"/>
  <c r="AM426" i="9"/>
  <c r="AP425" i="9"/>
  <c r="AS424" i="9"/>
  <c r="AK424" i="9"/>
  <c r="AN423" i="9"/>
  <c r="AQ422" i="9"/>
  <c r="AI422" i="9"/>
  <c r="AL421" i="9"/>
  <c r="AO420" i="9"/>
  <c r="AR419" i="9"/>
  <c r="AJ419" i="9"/>
  <c r="AM418" i="9"/>
  <c r="AP417" i="9"/>
  <c r="AS416" i="9"/>
  <c r="AK416" i="9"/>
  <c r="AN415" i="9"/>
  <c r="AQ414" i="9"/>
  <c r="AI414" i="9"/>
  <c r="AL413" i="9"/>
  <c r="AO412" i="9"/>
  <c r="AR411" i="9"/>
  <c r="AJ411" i="9"/>
  <c r="AR507" i="9"/>
  <c r="AM506" i="9"/>
  <c r="AO500" i="9"/>
  <c r="AJ499" i="9"/>
  <c r="AQ494" i="9"/>
  <c r="AL493" i="9"/>
  <c r="AS488" i="9"/>
  <c r="AN487" i="9"/>
  <c r="AI486" i="9"/>
  <c r="AR485" i="9"/>
  <c r="AM484" i="9"/>
  <c r="AS482" i="9"/>
  <c r="AN481" i="9"/>
  <c r="AI480" i="9"/>
  <c r="AO478" i="9"/>
  <c r="AJ477" i="9"/>
  <c r="AP475" i="9"/>
  <c r="AK474" i="9"/>
  <c r="AQ472" i="9"/>
  <c r="AL471" i="9"/>
  <c r="AR469" i="9"/>
  <c r="AM468" i="9"/>
  <c r="AS466" i="9"/>
  <c r="AN465" i="9"/>
  <c r="AI464" i="9"/>
  <c r="AO462" i="9"/>
  <c r="AJ461" i="9"/>
  <c r="AP459" i="9"/>
  <c r="AK458" i="9"/>
  <c r="AQ456" i="9"/>
  <c r="AL455" i="9"/>
  <c r="AR453" i="9"/>
  <c r="AM452" i="9"/>
  <c r="AS450" i="9"/>
  <c r="AN449" i="9"/>
  <c r="AI448" i="9"/>
  <c r="AO446" i="9"/>
  <c r="AJ445" i="9"/>
  <c r="AR443" i="9"/>
  <c r="AO441" i="9"/>
  <c r="AR440" i="9"/>
  <c r="AJ440" i="9"/>
  <c r="AM439" i="9"/>
  <c r="AP438" i="9"/>
  <c r="AS437" i="9"/>
  <c r="AK437" i="9"/>
  <c r="AN436" i="9"/>
  <c r="AQ435" i="9"/>
  <c r="AI435" i="9"/>
  <c r="AL434" i="9"/>
  <c r="AO433" i="9"/>
  <c r="AR432" i="9"/>
  <c r="AJ432" i="9"/>
  <c r="AM431" i="9"/>
  <c r="AP430" i="9"/>
  <c r="AS429" i="9"/>
  <c r="AK429" i="9"/>
  <c r="AN428" i="9"/>
  <c r="AQ427" i="9"/>
  <c r="AI427" i="9"/>
  <c r="AL426" i="9"/>
  <c r="AO425" i="9"/>
  <c r="AR424" i="9"/>
  <c r="AJ424" i="9"/>
  <c r="AM423" i="9"/>
  <c r="AP422" i="9"/>
  <c r="AS421" i="9"/>
  <c r="AK421" i="9"/>
  <c r="AN420" i="9"/>
  <c r="AQ419" i="9"/>
  <c r="AI419" i="9"/>
  <c r="AL418" i="9"/>
  <c r="AO417" i="9"/>
  <c r="AR416" i="9"/>
  <c r="AJ416" i="9"/>
  <c r="AM415" i="9"/>
  <c r="AP414" i="9"/>
  <c r="AS413" i="9"/>
  <c r="AK413" i="9"/>
  <c r="AN412" i="9"/>
  <c r="AQ411" i="9"/>
  <c r="AI411" i="9"/>
  <c r="AL410" i="9"/>
  <c r="AO409" i="9"/>
  <c r="AR408" i="9"/>
  <c r="AJ408" i="9"/>
  <c r="AM407" i="9"/>
  <c r="AP406" i="9"/>
  <c r="AS405" i="9"/>
  <c r="AK405" i="9"/>
  <c r="AN404" i="9"/>
  <c r="AQ403" i="9"/>
  <c r="AI403" i="9"/>
  <c r="AL402" i="9"/>
  <c r="AO401" i="9"/>
  <c r="AR400" i="9"/>
  <c r="AJ400" i="9"/>
  <c r="AM399" i="9"/>
  <c r="AP398" i="9"/>
  <c r="AS397" i="9"/>
  <c r="AK397" i="9"/>
  <c r="AN396" i="9"/>
  <c r="AQ395" i="9"/>
  <c r="AI395" i="9"/>
  <c r="AL394" i="9"/>
  <c r="AO393" i="9"/>
  <c r="AR392" i="9"/>
  <c r="AJ392" i="9"/>
  <c r="AM391" i="9"/>
  <c r="AP390" i="9"/>
  <c r="AS389" i="9"/>
  <c r="AK389" i="9"/>
  <c r="AN388" i="9"/>
  <c r="AQ387" i="9"/>
  <c r="AI387" i="9"/>
  <c r="AL386" i="9"/>
  <c r="AO385" i="9"/>
  <c r="AR384" i="9"/>
  <c r="AJ384" i="9"/>
  <c r="AM383" i="9"/>
  <c r="AP382" i="9"/>
  <c r="AS381" i="9"/>
  <c r="AK381" i="9"/>
  <c r="AN380" i="9"/>
  <c r="AQ379" i="9"/>
  <c r="AI379" i="9"/>
  <c r="AL378" i="9"/>
  <c r="AO377" i="9"/>
  <c r="AR376" i="9"/>
  <c r="AJ376" i="9"/>
  <c r="AM375" i="9"/>
  <c r="AP374" i="9"/>
  <c r="AS373" i="9"/>
  <c r="AK373" i="9"/>
  <c r="AN372" i="9"/>
  <c r="AQ371" i="9"/>
  <c r="AI371" i="9"/>
  <c r="AL370" i="9"/>
  <c r="AO369" i="9"/>
  <c r="AR368" i="9"/>
  <c r="AJ368" i="9"/>
  <c r="AQ507" i="9"/>
  <c r="AL506" i="9"/>
  <c r="AS501" i="9"/>
  <c r="AN500" i="9"/>
  <c r="AI499" i="9"/>
  <c r="AP494" i="9"/>
  <c r="AK493" i="9"/>
  <c r="AR488" i="9"/>
  <c r="AM487" i="9"/>
  <c r="AN485" i="9"/>
  <c r="AI484" i="9"/>
  <c r="AO482" i="9"/>
  <c r="AJ481" i="9"/>
  <c r="AP479" i="9"/>
  <c r="AK478" i="9"/>
  <c r="AQ476" i="9"/>
  <c r="AL475" i="9"/>
  <c r="AR473" i="9"/>
  <c r="AM472" i="9"/>
  <c r="AS470" i="9"/>
  <c r="AN469" i="9"/>
  <c r="AI468" i="9"/>
  <c r="AO466" i="9"/>
  <c r="AJ465" i="9"/>
  <c r="AP463" i="9"/>
  <c r="AK462" i="9"/>
  <c r="AQ460" i="9"/>
  <c r="AL459" i="9"/>
  <c r="AR457" i="9"/>
  <c r="AM456" i="9"/>
  <c r="AS454" i="9"/>
  <c r="AN453" i="9"/>
  <c r="AI452" i="9"/>
  <c r="AO450" i="9"/>
  <c r="AJ449" i="9"/>
  <c r="AP447" i="9"/>
  <c r="AK446" i="9"/>
  <c r="AQ444" i="9"/>
  <c r="AQ443" i="9"/>
  <c r="AS442" i="9"/>
  <c r="AN441" i="9"/>
  <c r="AQ440" i="9"/>
  <c r="AI440" i="9"/>
  <c r="AL439" i="9"/>
  <c r="AO438" i="9"/>
  <c r="AR437" i="9"/>
  <c r="AJ437" i="9"/>
  <c r="AM436" i="9"/>
  <c r="AP435" i="9"/>
  <c r="AS434" i="9"/>
  <c r="AK434" i="9"/>
  <c r="AN433" i="9"/>
  <c r="AQ432" i="9"/>
  <c r="AI432" i="9"/>
  <c r="AL431" i="9"/>
  <c r="AO430" i="9"/>
  <c r="AR429" i="9"/>
  <c r="AJ429" i="9"/>
  <c r="AM428" i="9"/>
  <c r="AP427" i="9"/>
  <c r="AS426" i="9"/>
  <c r="AK426" i="9"/>
  <c r="AN425" i="9"/>
  <c r="AQ424" i="9"/>
  <c r="AI424" i="9"/>
  <c r="AL423" i="9"/>
  <c r="AO422" i="9"/>
  <c r="AR421" i="9"/>
  <c r="AJ421" i="9"/>
  <c r="AM420" i="9"/>
  <c r="AP419" i="9"/>
  <c r="AS418" i="9"/>
  <c r="AK418" i="9"/>
  <c r="AN417" i="9"/>
  <c r="AQ416" i="9"/>
  <c r="AI416" i="9"/>
  <c r="AL415" i="9"/>
  <c r="AO414" i="9"/>
  <c r="AR413" i="9"/>
  <c r="AJ413" i="9"/>
  <c r="AM412" i="9"/>
  <c r="AP411" i="9"/>
  <c r="AS410" i="9"/>
  <c r="AK410" i="9"/>
  <c r="AN409" i="9"/>
  <c r="AQ408" i="9"/>
  <c r="AI408" i="9"/>
  <c r="AL407" i="9"/>
  <c r="AO406" i="9"/>
  <c r="AR405" i="9"/>
  <c r="AJ405" i="9"/>
  <c r="AM404" i="9"/>
  <c r="AP403" i="9"/>
  <c r="AS402" i="9"/>
  <c r="AK402" i="9"/>
  <c r="AN401" i="9"/>
  <c r="AQ400" i="9"/>
  <c r="AI400" i="9"/>
  <c r="AL399" i="9"/>
  <c r="AO398" i="9"/>
  <c r="AR397" i="9"/>
  <c r="AJ397" i="9"/>
  <c r="AM396" i="9"/>
  <c r="AP395" i="9"/>
  <c r="AS394" i="9"/>
  <c r="AK394" i="9"/>
  <c r="AN393" i="9"/>
  <c r="AQ392" i="9"/>
  <c r="AI392" i="9"/>
  <c r="AL391" i="9"/>
  <c r="AO390" i="9"/>
  <c r="AR389" i="9"/>
  <c r="AJ389" i="9"/>
  <c r="AM388" i="9"/>
  <c r="AP387" i="9"/>
  <c r="AS386" i="9"/>
  <c r="AK386" i="9"/>
  <c r="AN385" i="9"/>
  <c r="AQ384" i="9"/>
  <c r="AI384" i="9"/>
  <c r="AL383" i="9"/>
  <c r="AO382" i="9"/>
  <c r="AR381" i="9"/>
  <c r="AJ381" i="9"/>
  <c r="AM380" i="9"/>
  <c r="AP379" i="9"/>
  <c r="AS378" i="9"/>
  <c r="AK378" i="9"/>
  <c r="AN377" i="9"/>
  <c r="AQ376" i="9"/>
  <c r="AI376" i="9"/>
  <c r="AL375" i="9"/>
  <c r="AO374" i="9"/>
  <c r="AR373" i="9"/>
  <c r="AO508" i="9"/>
  <c r="AJ507" i="9"/>
  <c r="AQ502" i="9"/>
  <c r="AL501" i="9"/>
  <c r="AS496" i="9"/>
  <c r="AN495" i="9"/>
  <c r="AI494" i="9"/>
  <c r="AP489" i="9"/>
  <c r="AK488" i="9"/>
  <c r="AL485" i="9"/>
  <c r="AR483" i="9"/>
  <c r="AM482" i="9"/>
  <c r="AS480" i="9"/>
  <c r="AN479" i="9"/>
  <c r="AI478" i="9"/>
  <c r="AO476" i="9"/>
  <c r="AJ475" i="9"/>
  <c r="AP473" i="9"/>
  <c r="AK472" i="9"/>
  <c r="AQ470" i="9"/>
  <c r="AL469" i="9"/>
  <c r="AR467" i="9"/>
  <c r="AM466" i="9"/>
  <c r="AS464" i="9"/>
  <c r="AN463" i="9"/>
  <c r="AI462" i="9"/>
  <c r="AO460" i="9"/>
  <c r="AJ459" i="9"/>
  <c r="AP457" i="9"/>
  <c r="AK456" i="9"/>
  <c r="AQ454" i="9"/>
  <c r="AL453" i="9"/>
  <c r="AR451" i="9"/>
  <c r="AM450" i="9"/>
  <c r="AS448" i="9"/>
  <c r="AN447" i="9"/>
  <c r="AI446" i="9"/>
  <c r="AO444" i="9"/>
  <c r="AP443" i="9"/>
  <c r="AP442" i="9"/>
  <c r="AM441" i="9"/>
  <c r="AP440" i="9"/>
  <c r="AS439" i="9"/>
  <c r="AK439" i="9"/>
  <c r="AN438" i="9"/>
  <c r="AQ437" i="9"/>
  <c r="AI437" i="9"/>
  <c r="AL436" i="9"/>
  <c r="AO435" i="9"/>
  <c r="AR434" i="9"/>
  <c r="AJ434" i="9"/>
  <c r="AM433" i="9"/>
  <c r="AP432" i="9"/>
  <c r="AS431" i="9"/>
  <c r="AK431" i="9"/>
  <c r="AN430" i="9"/>
  <c r="AQ429" i="9"/>
  <c r="AI429" i="9"/>
  <c r="AL428" i="9"/>
  <c r="AO427" i="9"/>
  <c r="AR426" i="9"/>
  <c r="AJ426" i="9"/>
  <c r="AM425" i="9"/>
  <c r="AP424" i="9"/>
  <c r="AS423" i="9"/>
  <c r="AK423" i="9"/>
  <c r="AN422" i="9"/>
  <c r="AQ421" i="9"/>
  <c r="AI421" i="9"/>
  <c r="AL420" i="9"/>
  <c r="AO419" i="9"/>
  <c r="AR418" i="9"/>
  <c r="AJ418" i="9"/>
  <c r="AM417" i="9"/>
  <c r="AP416" i="9"/>
  <c r="AS415" i="9"/>
  <c r="AK415" i="9"/>
  <c r="AN414" i="9"/>
  <c r="AQ413" i="9"/>
  <c r="AI413" i="9"/>
  <c r="AL412" i="9"/>
  <c r="AO411" i="9"/>
  <c r="AR410" i="9"/>
  <c r="AJ410" i="9"/>
  <c r="AM409" i="9"/>
  <c r="AP408" i="9"/>
  <c r="AS407" i="9"/>
  <c r="AK407" i="9"/>
  <c r="AN406" i="9"/>
  <c r="AQ405" i="9"/>
  <c r="AI405" i="9"/>
  <c r="AL404" i="9"/>
  <c r="AO403" i="9"/>
  <c r="AR402" i="9"/>
  <c r="AJ402" i="9"/>
  <c r="AM401" i="9"/>
  <c r="AP400" i="9"/>
  <c r="AS399" i="9"/>
  <c r="AK399" i="9"/>
  <c r="AN398" i="9"/>
  <c r="AQ397" i="9"/>
  <c r="AI397" i="9"/>
  <c r="AL396" i="9"/>
  <c r="AO395" i="9"/>
  <c r="AR394" i="9"/>
  <c r="AJ394" i="9"/>
  <c r="AM393" i="9"/>
  <c r="AP392" i="9"/>
  <c r="AS391" i="9"/>
  <c r="AK391" i="9"/>
  <c r="AN390" i="9"/>
  <c r="AQ389" i="9"/>
  <c r="AI389" i="9"/>
  <c r="AL388" i="9"/>
  <c r="AO387" i="9"/>
  <c r="AR386" i="9"/>
  <c r="AJ386" i="9"/>
  <c r="AM385" i="9"/>
  <c r="AP384" i="9"/>
  <c r="AS383" i="9"/>
  <c r="AK383" i="9"/>
  <c r="AN382" i="9"/>
  <c r="AQ381" i="9"/>
  <c r="AI381" i="9"/>
  <c r="AL380" i="9"/>
  <c r="AO379" i="9"/>
  <c r="AR378" i="9"/>
  <c r="AJ378" i="9"/>
  <c r="AM377" i="9"/>
  <c r="AP376" i="9"/>
  <c r="AS375" i="9"/>
  <c r="AK375" i="9"/>
  <c r="AN374" i="9"/>
  <c r="AQ373" i="9"/>
  <c r="AI373" i="9"/>
  <c r="AL372" i="9"/>
  <c r="AO371" i="9"/>
  <c r="AR370" i="9"/>
  <c r="AJ370" i="9"/>
  <c r="AM369" i="9"/>
  <c r="AS430" i="9"/>
  <c r="AN429" i="9"/>
  <c r="AI428" i="9"/>
  <c r="AP423" i="9"/>
  <c r="AK422" i="9"/>
  <c r="AR417" i="9"/>
  <c r="AM416" i="9"/>
  <c r="AM408" i="9"/>
  <c r="AS406" i="9"/>
  <c r="AN405" i="9"/>
  <c r="AI404" i="9"/>
  <c r="AO402" i="9"/>
  <c r="AJ401" i="9"/>
  <c r="AP399" i="9"/>
  <c r="AK398" i="9"/>
  <c r="AQ396" i="9"/>
  <c r="AL395" i="9"/>
  <c r="AR393" i="9"/>
  <c r="AM392" i="9"/>
  <c r="AS390" i="9"/>
  <c r="AN389" i="9"/>
  <c r="AI388" i="9"/>
  <c r="AO386" i="9"/>
  <c r="AJ385" i="9"/>
  <c r="AP383" i="9"/>
  <c r="AK382" i="9"/>
  <c r="AQ380" i="9"/>
  <c r="AL379" i="9"/>
  <c r="AR377" i="9"/>
  <c r="AM376" i="9"/>
  <c r="AS374" i="9"/>
  <c r="AN373" i="9"/>
  <c r="AP372" i="9"/>
  <c r="AR371" i="9"/>
  <c r="AS370" i="9"/>
  <c r="AL368" i="9"/>
  <c r="AN367" i="9"/>
  <c r="AQ366" i="9"/>
  <c r="AI366" i="9"/>
  <c r="AL365" i="9"/>
  <c r="AO364" i="9"/>
  <c r="AR363" i="9"/>
  <c r="AJ363" i="9"/>
  <c r="AM362" i="9"/>
  <c r="AP361" i="9"/>
  <c r="AS360" i="9"/>
  <c r="AK360" i="9"/>
  <c r="AN359" i="9"/>
  <c r="AQ358" i="9"/>
  <c r="AI358" i="9"/>
  <c r="AL357" i="9"/>
  <c r="AO356" i="9"/>
  <c r="AR355" i="9"/>
  <c r="AJ355" i="9"/>
  <c r="AM354" i="9"/>
  <c r="AP353" i="9"/>
  <c r="AS352" i="9"/>
  <c r="AK352" i="9"/>
  <c r="AN351" i="9"/>
  <c r="AQ350" i="9"/>
  <c r="AI350" i="9"/>
  <c r="AL349" i="9"/>
  <c r="AO348" i="9"/>
  <c r="AR347" i="9"/>
  <c r="AJ347" i="9"/>
  <c r="AM346" i="9"/>
  <c r="AP345" i="9"/>
  <c r="AS344" i="9"/>
  <c r="AK344" i="9"/>
  <c r="AN343" i="9"/>
  <c r="AQ342" i="9"/>
  <c r="AI342" i="9"/>
  <c r="AL341" i="9"/>
  <c r="AO340" i="9"/>
  <c r="AR339" i="9"/>
  <c r="AJ339" i="9"/>
  <c r="AM338" i="9"/>
  <c r="AP337" i="9"/>
  <c r="AS336" i="9"/>
  <c r="AK336" i="9"/>
  <c r="AN335" i="9"/>
  <c r="AQ334" i="9"/>
  <c r="AI334" i="9"/>
  <c r="AL333" i="9"/>
  <c r="AO332" i="9"/>
  <c r="AR331" i="9"/>
  <c r="AJ331" i="9"/>
  <c r="AM330" i="9"/>
  <c r="AP329" i="9"/>
  <c r="AS328" i="9"/>
  <c r="AK328" i="9"/>
  <c r="AN327" i="9"/>
  <c r="AQ326" i="9"/>
  <c r="AI326" i="9"/>
  <c r="AL325" i="9"/>
  <c r="AO324" i="9"/>
  <c r="AR323" i="9"/>
  <c r="AJ323" i="9"/>
  <c r="AM322" i="9"/>
  <c r="AP321" i="9"/>
  <c r="AS320" i="9"/>
  <c r="AK320" i="9"/>
  <c r="AN319" i="9"/>
  <c r="AQ318" i="9"/>
  <c r="AI318" i="9"/>
  <c r="AL317" i="9"/>
  <c r="AO316" i="9"/>
  <c r="AR315" i="9"/>
  <c r="AJ315" i="9"/>
  <c r="AR430" i="9"/>
  <c r="AM429" i="9"/>
  <c r="AO423" i="9"/>
  <c r="AJ422" i="9"/>
  <c r="AQ417" i="9"/>
  <c r="AL416" i="9"/>
  <c r="AS411" i="9"/>
  <c r="AO410" i="9"/>
  <c r="AL408" i="9"/>
  <c r="AR406" i="9"/>
  <c r="AM405" i="9"/>
  <c r="AS403" i="9"/>
  <c r="AN402" i="9"/>
  <c r="AI401" i="9"/>
  <c r="AO399" i="9"/>
  <c r="AJ398" i="9"/>
  <c r="AP396" i="9"/>
  <c r="AK395" i="9"/>
  <c r="AQ393" i="9"/>
  <c r="AL392" i="9"/>
  <c r="AR390" i="9"/>
  <c r="AM389" i="9"/>
  <c r="AS387" i="9"/>
  <c r="AN386" i="9"/>
  <c r="AI385" i="9"/>
  <c r="AO383" i="9"/>
  <c r="AJ382" i="9"/>
  <c r="AP380" i="9"/>
  <c r="AK379" i="9"/>
  <c r="AQ377" i="9"/>
  <c r="AL376" i="9"/>
  <c r="AR374" i="9"/>
  <c r="AM373" i="9"/>
  <c r="AO372" i="9"/>
  <c r="AP371" i="9"/>
  <c r="AQ370" i="9"/>
  <c r="AR369" i="9"/>
  <c r="AK368" i="9"/>
  <c r="AM367" i="9"/>
  <c r="AP366" i="9"/>
  <c r="AS365" i="9"/>
  <c r="AK365" i="9"/>
  <c r="AN364" i="9"/>
  <c r="AQ363" i="9"/>
  <c r="AI363" i="9"/>
  <c r="AL362" i="9"/>
  <c r="AO361" i="9"/>
  <c r="AR360" i="9"/>
  <c r="AJ360" i="9"/>
  <c r="AM359" i="9"/>
  <c r="AP358" i="9"/>
  <c r="AS357" i="9"/>
  <c r="AK357" i="9"/>
  <c r="AN356" i="9"/>
  <c r="AQ355" i="9"/>
  <c r="AI355" i="9"/>
  <c r="AL354" i="9"/>
  <c r="AO353" i="9"/>
  <c r="AR352" i="9"/>
  <c r="AJ352" i="9"/>
  <c r="AM351" i="9"/>
  <c r="AP350" i="9"/>
  <c r="AS349" i="9"/>
  <c r="AK349" i="9"/>
  <c r="AN348" i="9"/>
  <c r="AQ347" i="9"/>
  <c r="AI347" i="9"/>
  <c r="AL346" i="9"/>
  <c r="AO345" i="9"/>
  <c r="AR344" i="9"/>
  <c r="AJ344" i="9"/>
  <c r="AM343" i="9"/>
  <c r="AP342" i="9"/>
  <c r="AS341" i="9"/>
  <c r="AK341" i="9"/>
  <c r="AN340" i="9"/>
  <c r="AQ339" i="9"/>
  <c r="AI339" i="9"/>
  <c r="AL338" i="9"/>
  <c r="AO337" i="9"/>
  <c r="AR336" i="9"/>
  <c r="AJ336" i="9"/>
  <c r="AM335" i="9"/>
  <c r="AP334" i="9"/>
  <c r="AS333" i="9"/>
  <c r="AK333" i="9"/>
  <c r="AN332" i="9"/>
  <c r="AQ331" i="9"/>
  <c r="AI331" i="9"/>
  <c r="AL330" i="9"/>
  <c r="AO329" i="9"/>
  <c r="AR328" i="9"/>
  <c r="AJ328" i="9"/>
  <c r="AM327" i="9"/>
  <c r="AP326" i="9"/>
  <c r="AS325" i="9"/>
  <c r="AK325" i="9"/>
  <c r="AN324" i="9"/>
  <c r="AQ323" i="9"/>
  <c r="AI323" i="9"/>
  <c r="AL322" i="9"/>
  <c r="AO321" i="9"/>
  <c r="AR320" i="9"/>
  <c r="AJ320" i="9"/>
  <c r="AM319" i="9"/>
  <c r="AP318" i="9"/>
  <c r="AS317" i="9"/>
  <c r="AK317" i="9"/>
  <c r="AN316" i="9"/>
  <c r="AQ315" i="9"/>
  <c r="AI315" i="9"/>
  <c r="AL314" i="9"/>
  <c r="AO313" i="9"/>
  <c r="AR312" i="9"/>
  <c r="AJ312" i="9"/>
  <c r="AM311" i="9"/>
  <c r="AP310" i="9"/>
  <c r="AS309" i="9"/>
  <c r="AK309" i="9"/>
  <c r="AN308" i="9"/>
  <c r="AQ307" i="9"/>
  <c r="AI307" i="9"/>
  <c r="AL306" i="9"/>
  <c r="AO305" i="9"/>
  <c r="AR304" i="9"/>
  <c r="AJ304" i="9"/>
  <c r="AM303" i="9"/>
  <c r="AP302" i="9"/>
  <c r="AS301" i="9"/>
  <c r="AK301" i="9"/>
  <c r="AN300" i="9"/>
  <c r="AQ299" i="9"/>
  <c r="AI299" i="9"/>
  <c r="AL298" i="9"/>
  <c r="AO297" i="9"/>
  <c r="AR296" i="9"/>
  <c r="AJ296" i="9"/>
  <c r="AM295" i="9"/>
  <c r="AP294" i="9"/>
  <c r="AS293" i="9"/>
  <c r="AP431" i="9"/>
  <c r="AK430" i="9"/>
  <c r="AR425" i="9"/>
  <c r="AM424" i="9"/>
  <c r="AO418" i="9"/>
  <c r="AJ417" i="9"/>
  <c r="AQ412" i="9"/>
  <c r="AL411" i="9"/>
  <c r="AN410" i="9"/>
  <c r="AR409" i="9"/>
  <c r="AK408" i="9"/>
  <c r="AQ406" i="9"/>
  <c r="AL405" i="9"/>
  <c r="AR403" i="9"/>
  <c r="AM402" i="9"/>
  <c r="AS400" i="9"/>
  <c r="AN399" i="9"/>
  <c r="AI398" i="9"/>
  <c r="AO396" i="9"/>
  <c r="AJ395" i="9"/>
  <c r="AP393" i="9"/>
  <c r="AK392" i="9"/>
  <c r="AQ390" i="9"/>
  <c r="AL389" i="9"/>
  <c r="AR387" i="9"/>
  <c r="AM386" i="9"/>
  <c r="AS384" i="9"/>
  <c r="AN383" i="9"/>
  <c r="AI382" i="9"/>
  <c r="AO380" i="9"/>
  <c r="AJ379" i="9"/>
  <c r="AP377" i="9"/>
  <c r="AK376" i="9"/>
  <c r="AQ374" i="9"/>
  <c r="AL373" i="9"/>
  <c r="AM372" i="9"/>
  <c r="AN371" i="9"/>
  <c r="AO370" i="9"/>
  <c r="AQ369" i="9"/>
  <c r="AI368" i="9"/>
  <c r="AL367" i="9"/>
  <c r="AO366" i="9"/>
  <c r="AR365" i="9"/>
  <c r="AJ365" i="9"/>
  <c r="AM364" i="9"/>
  <c r="AP363" i="9"/>
  <c r="AS362" i="9"/>
  <c r="AK362" i="9"/>
  <c r="AN361" i="9"/>
  <c r="AQ360" i="9"/>
  <c r="AI360" i="9"/>
  <c r="AL359" i="9"/>
  <c r="AO358" i="9"/>
  <c r="AR357" i="9"/>
  <c r="AJ357" i="9"/>
  <c r="AM356" i="9"/>
  <c r="AP355" i="9"/>
  <c r="AS354" i="9"/>
  <c r="AK354" i="9"/>
  <c r="AN353" i="9"/>
  <c r="AQ352" i="9"/>
  <c r="AI352" i="9"/>
  <c r="AL351" i="9"/>
  <c r="AO350" i="9"/>
  <c r="AR349" i="9"/>
  <c r="AJ349" i="9"/>
  <c r="AM348" i="9"/>
  <c r="AP347" i="9"/>
  <c r="AS346" i="9"/>
  <c r="AK346" i="9"/>
  <c r="AN345" i="9"/>
  <c r="AQ344" i="9"/>
  <c r="AI344" i="9"/>
  <c r="AL343" i="9"/>
  <c r="AO342" i="9"/>
  <c r="AR341" i="9"/>
  <c r="AJ341" i="9"/>
  <c r="AM340" i="9"/>
  <c r="AP339" i="9"/>
  <c r="AS338" i="9"/>
  <c r="AK338" i="9"/>
  <c r="AN337" i="9"/>
  <c r="AQ336" i="9"/>
  <c r="AI336" i="9"/>
  <c r="AL335" i="9"/>
  <c r="AO334" i="9"/>
  <c r="AR333" i="9"/>
  <c r="AJ333" i="9"/>
  <c r="AM332" i="9"/>
  <c r="AP331" i="9"/>
  <c r="AS330" i="9"/>
  <c r="AK330" i="9"/>
  <c r="AN329" i="9"/>
  <c r="AQ328" i="9"/>
  <c r="AI328" i="9"/>
  <c r="AL327" i="9"/>
  <c r="AO326" i="9"/>
  <c r="AR325" i="9"/>
  <c r="AJ325" i="9"/>
  <c r="AM324" i="9"/>
  <c r="AP323" i="9"/>
  <c r="AS322" i="9"/>
  <c r="AK322" i="9"/>
  <c r="AN321" i="9"/>
  <c r="AQ320" i="9"/>
  <c r="AI320" i="9"/>
  <c r="AL319" i="9"/>
  <c r="AO318" i="9"/>
  <c r="AR317" i="9"/>
  <c r="AJ317" i="9"/>
  <c r="AM316" i="9"/>
  <c r="AP315" i="9"/>
  <c r="AS314" i="9"/>
  <c r="AK314" i="9"/>
  <c r="AN313" i="9"/>
  <c r="AQ312" i="9"/>
  <c r="AI312" i="9"/>
  <c r="AL311" i="9"/>
  <c r="AO310" i="9"/>
  <c r="AR309" i="9"/>
  <c r="AJ309" i="9"/>
  <c r="AM308" i="9"/>
  <c r="AP307" i="9"/>
  <c r="AS306" i="9"/>
  <c r="AK306" i="9"/>
  <c r="AN305" i="9"/>
  <c r="AQ304" i="9"/>
  <c r="AI304" i="9"/>
  <c r="AO431" i="9"/>
  <c r="AJ430" i="9"/>
  <c r="AQ425" i="9"/>
  <c r="AL424" i="9"/>
  <c r="AS419" i="9"/>
  <c r="AN418" i="9"/>
  <c r="AI417" i="9"/>
  <c r="AP412" i="9"/>
  <c r="AK411" i="9"/>
  <c r="AM410" i="9"/>
  <c r="AQ409" i="9"/>
  <c r="AR407" i="9"/>
  <c r="AM406" i="9"/>
  <c r="AS404" i="9"/>
  <c r="AN403" i="9"/>
  <c r="AI402" i="9"/>
  <c r="AO400" i="9"/>
  <c r="AJ399" i="9"/>
  <c r="AP397" i="9"/>
  <c r="AK396" i="9"/>
  <c r="AQ394" i="9"/>
  <c r="AL393" i="9"/>
  <c r="AR391" i="9"/>
  <c r="AM390" i="9"/>
  <c r="AS388" i="9"/>
  <c r="AN387" i="9"/>
  <c r="AI386" i="9"/>
  <c r="AO384" i="9"/>
  <c r="AJ383" i="9"/>
  <c r="AP381" i="9"/>
  <c r="AK380" i="9"/>
  <c r="AQ378" i="9"/>
  <c r="AL377" i="9"/>
  <c r="AR375" i="9"/>
  <c r="AM374" i="9"/>
  <c r="AJ373" i="9"/>
  <c r="AK372" i="9"/>
  <c r="AL371" i="9"/>
  <c r="AN370" i="9"/>
  <c r="AP369" i="9"/>
  <c r="AS368" i="9"/>
  <c r="AS367" i="9"/>
  <c r="AK367" i="9"/>
  <c r="AN366" i="9"/>
  <c r="AQ365" i="9"/>
  <c r="AI365" i="9"/>
  <c r="AL364" i="9"/>
  <c r="AO363" i="9"/>
  <c r="AR362" i="9"/>
  <c r="AJ362" i="9"/>
  <c r="AM361" i="9"/>
  <c r="AP360" i="9"/>
  <c r="AS359" i="9"/>
  <c r="AK359" i="9"/>
  <c r="AN358" i="9"/>
  <c r="AQ357" i="9"/>
  <c r="AI357" i="9"/>
  <c r="AL356" i="9"/>
  <c r="AO355" i="9"/>
  <c r="AR354" i="9"/>
  <c r="AJ354" i="9"/>
  <c r="AM353" i="9"/>
  <c r="AP352" i="9"/>
  <c r="AS351" i="9"/>
  <c r="AK351" i="9"/>
  <c r="AN350" i="9"/>
  <c r="AQ349" i="9"/>
  <c r="AI349" i="9"/>
  <c r="AL348" i="9"/>
  <c r="AO347" i="9"/>
  <c r="AR346" i="9"/>
  <c r="AJ346" i="9"/>
  <c r="AM345" i="9"/>
  <c r="AP344" i="9"/>
  <c r="AS343" i="9"/>
  <c r="AK343" i="9"/>
  <c r="AN342" i="9"/>
  <c r="AQ341" i="9"/>
  <c r="AI341" i="9"/>
  <c r="AL340" i="9"/>
  <c r="AO339" i="9"/>
  <c r="AR338" i="9"/>
  <c r="AJ338" i="9"/>
  <c r="AM337" i="9"/>
  <c r="AP336" i="9"/>
  <c r="AS335" i="9"/>
  <c r="AK335" i="9"/>
  <c r="AN334" i="9"/>
  <c r="AQ333" i="9"/>
  <c r="AI333" i="9"/>
  <c r="AL332" i="9"/>
  <c r="AO331" i="9"/>
  <c r="AR330" i="9"/>
  <c r="AJ330" i="9"/>
  <c r="AM329" i="9"/>
  <c r="AP328" i="9"/>
  <c r="AS327" i="9"/>
  <c r="AK327" i="9"/>
  <c r="AN326" i="9"/>
  <c r="AQ325" i="9"/>
  <c r="AI325" i="9"/>
  <c r="AL324" i="9"/>
  <c r="AO323" i="9"/>
  <c r="AR322" i="9"/>
  <c r="AJ322" i="9"/>
  <c r="AM321" i="9"/>
  <c r="AP320" i="9"/>
  <c r="AS319" i="9"/>
  <c r="AK319" i="9"/>
  <c r="AN318" i="9"/>
  <c r="AQ317" i="9"/>
  <c r="AI317" i="9"/>
  <c r="AL316" i="9"/>
  <c r="AO315" i="9"/>
  <c r="AR314" i="9"/>
  <c r="AJ314" i="9"/>
  <c r="AM313" i="9"/>
  <c r="AP312" i="9"/>
  <c r="AS311" i="9"/>
  <c r="AK311" i="9"/>
  <c r="AN310" i="9"/>
  <c r="AQ309" i="9"/>
  <c r="AI309" i="9"/>
  <c r="AL308" i="9"/>
  <c r="AO307" i="9"/>
  <c r="AR306" i="9"/>
  <c r="AJ306" i="9"/>
  <c r="AM305" i="9"/>
  <c r="AP304" i="9"/>
  <c r="AS303" i="9"/>
  <c r="AK303" i="9"/>
  <c r="AN302" i="9"/>
  <c r="AQ301" i="9"/>
  <c r="AI301" i="9"/>
  <c r="AL300" i="9"/>
  <c r="AO299" i="9"/>
  <c r="AR298" i="9"/>
  <c r="AJ298" i="9"/>
  <c r="AM297" i="9"/>
  <c r="AP296" i="9"/>
  <c r="AS295" i="9"/>
  <c r="AK295" i="9"/>
  <c r="AR433" i="9"/>
  <c r="AM432" i="9"/>
  <c r="AO426" i="9"/>
  <c r="AJ425" i="9"/>
  <c r="AQ420" i="9"/>
  <c r="AL419" i="9"/>
  <c r="AS414" i="9"/>
  <c r="AN413" i="9"/>
  <c r="AI412" i="9"/>
  <c r="AP409" i="9"/>
  <c r="AP407" i="9"/>
  <c r="AK406" i="9"/>
  <c r="AQ404" i="9"/>
  <c r="AL403" i="9"/>
  <c r="AR401" i="9"/>
  <c r="AM400" i="9"/>
  <c r="AS398" i="9"/>
  <c r="AN397" i="9"/>
  <c r="AI396" i="9"/>
  <c r="AO394" i="9"/>
  <c r="AJ393" i="9"/>
  <c r="AP391" i="9"/>
  <c r="AK390" i="9"/>
  <c r="AQ388" i="9"/>
  <c r="AL387" i="9"/>
  <c r="AR385" i="9"/>
  <c r="AM384" i="9"/>
  <c r="AS382" i="9"/>
  <c r="AN381" i="9"/>
  <c r="AI380" i="9"/>
  <c r="AO378" i="9"/>
  <c r="AJ377" i="9"/>
  <c r="AP375" i="9"/>
  <c r="AK374" i="9"/>
  <c r="AI372" i="9"/>
  <c r="AK371" i="9"/>
  <c r="AM370" i="9"/>
  <c r="AN369" i="9"/>
  <c r="AQ368" i="9"/>
  <c r="AR367" i="9"/>
  <c r="AJ367" i="9"/>
  <c r="AM366" i="9"/>
  <c r="AP365" i="9"/>
  <c r="AS364" i="9"/>
  <c r="AK364" i="9"/>
  <c r="AN363" i="9"/>
  <c r="AQ362" i="9"/>
  <c r="AI362" i="9"/>
  <c r="AL361" i="9"/>
  <c r="AO360" i="9"/>
  <c r="AR359" i="9"/>
  <c r="AJ359" i="9"/>
  <c r="AM358" i="9"/>
  <c r="AP357" i="9"/>
  <c r="AS356" i="9"/>
  <c r="AK356" i="9"/>
  <c r="AN355" i="9"/>
  <c r="AQ354" i="9"/>
  <c r="AI354" i="9"/>
  <c r="AL353" i="9"/>
  <c r="AO352" i="9"/>
  <c r="AR351" i="9"/>
  <c r="AJ351" i="9"/>
  <c r="AM350" i="9"/>
  <c r="AP349" i="9"/>
  <c r="AS348" i="9"/>
  <c r="AK348" i="9"/>
  <c r="AN347" i="9"/>
  <c r="AQ346" i="9"/>
  <c r="AI346" i="9"/>
  <c r="AL345" i="9"/>
  <c r="AO344" i="9"/>
  <c r="AR343" i="9"/>
  <c r="AJ343" i="9"/>
  <c r="AM342" i="9"/>
  <c r="AP341" i="9"/>
  <c r="AS340" i="9"/>
  <c r="AK340" i="9"/>
  <c r="AN339" i="9"/>
  <c r="AQ338" i="9"/>
  <c r="AI338" i="9"/>
  <c r="AL337" i="9"/>
  <c r="AO336" i="9"/>
  <c r="AR335" i="9"/>
  <c r="AJ335" i="9"/>
  <c r="AM334" i="9"/>
  <c r="AP333" i="9"/>
  <c r="AS332" i="9"/>
  <c r="AK332" i="9"/>
  <c r="AN331" i="9"/>
  <c r="AQ330" i="9"/>
  <c r="AI330" i="9"/>
  <c r="AL329" i="9"/>
  <c r="AO328" i="9"/>
  <c r="AR327" i="9"/>
  <c r="AJ327" i="9"/>
  <c r="AM326" i="9"/>
  <c r="AP325" i="9"/>
  <c r="AS324" i="9"/>
  <c r="AK324" i="9"/>
  <c r="AN323" i="9"/>
  <c r="AQ322" i="9"/>
  <c r="AI322" i="9"/>
  <c r="AL321" i="9"/>
  <c r="AO320" i="9"/>
  <c r="AR319" i="9"/>
  <c r="AJ319" i="9"/>
  <c r="AM318" i="9"/>
  <c r="AP317" i="9"/>
  <c r="AS316" i="9"/>
  <c r="AK316" i="9"/>
  <c r="AN315" i="9"/>
  <c r="AQ314" i="9"/>
  <c r="AI314" i="9"/>
  <c r="AQ433" i="9"/>
  <c r="AL432" i="9"/>
  <c r="AS427" i="9"/>
  <c r="AN426" i="9"/>
  <c r="AI425" i="9"/>
  <c r="AP420" i="9"/>
  <c r="AK419" i="9"/>
  <c r="AR414" i="9"/>
  <c r="AM413" i="9"/>
  <c r="AJ409" i="9"/>
  <c r="AO407" i="9"/>
  <c r="AJ406" i="9"/>
  <c r="AP404" i="9"/>
  <c r="AK403" i="9"/>
  <c r="AQ401" i="9"/>
  <c r="AL400" i="9"/>
  <c r="AR398" i="9"/>
  <c r="AM397" i="9"/>
  <c r="AS395" i="9"/>
  <c r="AN394" i="9"/>
  <c r="AI393" i="9"/>
  <c r="AO391" i="9"/>
  <c r="AJ390" i="9"/>
  <c r="AP388" i="9"/>
  <c r="AK387" i="9"/>
  <c r="AQ385" i="9"/>
  <c r="AL384" i="9"/>
  <c r="AR382" i="9"/>
  <c r="AM381" i="9"/>
  <c r="AS379" i="9"/>
  <c r="AN378" i="9"/>
  <c r="AI377" i="9"/>
  <c r="AO375" i="9"/>
  <c r="AJ374" i="9"/>
  <c r="AJ371" i="9"/>
  <c r="AK370" i="9"/>
  <c r="AL369" i="9"/>
  <c r="AP368" i="9"/>
  <c r="AQ367" i="9"/>
  <c r="AI367" i="9"/>
  <c r="AL366" i="9"/>
  <c r="AO365" i="9"/>
  <c r="AR364" i="9"/>
  <c r="AJ364" i="9"/>
  <c r="AM363" i="9"/>
  <c r="AP362" i="9"/>
  <c r="AS361" i="9"/>
  <c r="AK361" i="9"/>
  <c r="AN360" i="9"/>
  <c r="AQ359" i="9"/>
  <c r="AI359" i="9"/>
  <c r="AL358" i="9"/>
  <c r="AO357" i="9"/>
  <c r="AR356" i="9"/>
  <c r="AJ356" i="9"/>
  <c r="AM355" i="9"/>
  <c r="AP354" i="9"/>
  <c r="AS353" i="9"/>
  <c r="AK353" i="9"/>
  <c r="AN352" i="9"/>
  <c r="AQ351" i="9"/>
  <c r="AI351" i="9"/>
  <c r="AL350" i="9"/>
  <c r="AO349" i="9"/>
  <c r="AR348" i="9"/>
  <c r="AJ348" i="9"/>
  <c r="AM347" i="9"/>
  <c r="AP346" i="9"/>
  <c r="AS345" i="9"/>
  <c r="AK345" i="9"/>
  <c r="AN344" i="9"/>
  <c r="AQ343" i="9"/>
  <c r="AI343" i="9"/>
  <c r="AL342" i="9"/>
  <c r="AO341" i="9"/>
  <c r="AR340" i="9"/>
  <c r="AJ340" i="9"/>
  <c r="AM339" i="9"/>
  <c r="AP338" i="9"/>
  <c r="AS337" i="9"/>
  <c r="AK337" i="9"/>
  <c r="AN336" i="9"/>
  <c r="AQ335" i="9"/>
  <c r="AI335" i="9"/>
  <c r="AL334" i="9"/>
  <c r="AO333" i="9"/>
  <c r="AR332" i="9"/>
  <c r="AJ332" i="9"/>
  <c r="AM331" i="9"/>
  <c r="AP330" i="9"/>
  <c r="AS329" i="9"/>
  <c r="AK329" i="9"/>
  <c r="AN328" i="9"/>
  <c r="AQ327" i="9"/>
  <c r="AI327" i="9"/>
  <c r="AL326" i="9"/>
  <c r="AO325" i="9"/>
  <c r="AR324" i="9"/>
  <c r="AJ324" i="9"/>
  <c r="AM323" i="9"/>
  <c r="AP322" i="9"/>
  <c r="AS321" i="9"/>
  <c r="AK321" i="9"/>
  <c r="AN320" i="9"/>
  <c r="AQ319" i="9"/>
  <c r="AI319" i="9"/>
  <c r="AL318" i="9"/>
  <c r="AO317" i="9"/>
  <c r="AR316" i="9"/>
  <c r="AJ316" i="9"/>
  <c r="AM315" i="9"/>
  <c r="AP314" i="9"/>
  <c r="AS313" i="9"/>
  <c r="AK313" i="9"/>
  <c r="AN312" i="9"/>
  <c r="AQ311" i="9"/>
  <c r="AI311" i="9"/>
  <c r="AL310" i="9"/>
  <c r="AO309" i="9"/>
  <c r="AR308" i="9"/>
  <c r="AJ308" i="9"/>
  <c r="AM307" i="9"/>
  <c r="AP306" i="9"/>
  <c r="AS305" i="9"/>
  <c r="AK305" i="9"/>
  <c r="AN304" i="9"/>
  <c r="AQ303" i="9"/>
  <c r="AI303" i="9"/>
  <c r="AL302" i="9"/>
  <c r="AO301" i="9"/>
  <c r="AR300" i="9"/>
  <c r="AJ300" i="9"/>
  <c r="AM299" i="9"/>
  <c r="AP298" i="9"/>
  <c r="AS297" i="9"/>
  <c r="AK297" i="9"/>
  <c r="AN296" i="9"/>
  <c r="AQ295" i="9"/>
  <c r="AI295" i="9"/>
  <c r="AL294" i="9"/>
  <c r="AO293" i="9"/>
  <c r="AJ433" i="9"/>
  <c r="AQ428" i="9"/>
  <c r="AL427" i="9"/>
  <c r="AS422" i="9"/>
  <c r="AN421" i="9"/>
  <c r="AI420" i="9"/>
  <c r="AP415" i="9"/>
  <c r="AK414" i="9"/>
  <c r="AI409" i="9"/>
  <c r="AS408" i="9"/>
  <c r="AN407" i="9"/>
  <c r="AI406" i="9"/>
  <c r="AO404" i="9"/>
  <c r="AJ403" i="9"/>
  <c r="AP401" i="9"/>
  <c r="AK400" i="9"/>
  <c r="AQ398" i="9"/>
  <c r="AL397" i="9"/>
  <c r="AR395" i="9"/>
  <c r="AM394" i="9"/>
  <c r="AS392" i="9"/>
  <c r="AN391" i="9"/>
  <c r="AI390" i="9"/>
  <c r="AO388" i="9"/>
  <c r="AJ387" i="9"/>
  <c r="AP385" i="9"/>
  <c r="AK384" i="9"/>
  <c r="AQ382" i="9"/>
  <c r="AL381" i="9"/>
  <c r="AR379" i="9"/>
  <c r="AM378" i="9"/>
  <c r="AS376" i="9"/>
  <c r="AN375" i="9"/>
  <c r="AI374" i="9"/>
  <c r="AS372" i="9"/>
  <c r="AI370" i="9"/>
  <c r="AJ369" i="9"/>
  <c r="AO368" i="9"/>
  <c r="AP367" i="9"/>
  <c r="AS366" i="9"/>
  <c r="AK366" i="9"/>
  <c r="AN365" i="9"/>
  <c r="AQ364" i="9"/>
  <c r="AI364" i="9"/>
  <c r="AL363" i="9"/>
  <c r="AO362" i="9"/>
  <c r="AR361" i="9"/>
  <c r="AJ361" i="9"/>
  <c r="AM360" i="9"/>
  <c r="AP359" i="9"/>
  <c r="AS358" i="9"/>
  <c r="AK358" i="9"/>
  <c r="AN357" i="9"/>
  <c r="AQ356" i="9"/>
  <c r="AI356" i="9"/>
  <c r="AL355" i="9"/>
  <c r="AO354" i="9"/>
  <c r="AR353" i="9"/>
  <c r="AJ353" i="9"/>
  <c r="AM352" i="9"/>
  <c r="AP351" i="9"/>
  <c r="AS350" i="9"/>
  <c r="AK350" i="9"/>
  <c r="AN349" i="9"/>
  <c r="AQ348" i="9"/>
  <c r="AI348" i="9"/>
  <c r="AL347" i="9"/>
  <c r="AO346" i="9"/>
  <c r="AR345" i="9"/>
  <c r="AJ345" i="9"/>
  <c r="AM344" i="9"/>
  <c r="AP343" i="9"/>
  <c r="AS342" i="9"/>
  <c r="AK342" i="9"/>
  <c r="AN341" i="9"/>
  <c r="AQ340" i="9"/>
  <c r="AI340" i="9"/>
  <c r="AL339" i="9"/>
  <c r="AO338" i="9"/>
  <c r="AR337" i="9"/>
  <c r="AJ337" i="9"/>
  <c r="AM336" i="9"/>
  <c r="AP335" i="9"/>
  <c r="AS334" i="9"/>
  <c r="AK334" i="9"/>
  <c r="AN333" i="9"/>
  <c r="AQ332" i="9"/>
  <c r="AI332" i="9"/>
  <c r="AL331" i="9"/>
  <c r="AO330" i="9"/>
  <c r="AR329" i="9"/>
  <c r="AJ329" i="9"/>
  <c r="AM328" i="9"/>
  <c r="AP327" i="9"/>
  <c r="AS326" i="9"/>
  <c r="AK326" i="9"/>
  <c r="AN325" i="9"/>
  <c r="AQ324" i="9"/>
  <c r="AI324" i="9"/>
  <c r="AL323" i="9"/>
  <c r="AO322" i="9"/>
  <c r="AR321" i="9"/>
  <c r="AJ321" i="9"/>
  <c r="AM320" i="9"/>
  <c r="AP319" i="9"/>
  <c r="AS318" i="9"/>
  <c r="AK318" i="9"/>
  <c r="AN317" i="9"/>
  <c r="AQ316" i="9"/>
  <c r="AI316" i="9"/>
  <c r="AL315" i="9"/>
  <c r="AO314" i="9"/>
  <c r="AR313" i="9"/>
  <c r="AJ313" i="9"/>
  <c r="AM312" i="9"/>
  <c r="AP311" i="9"/>
  <c r="AS310" i="9"/>
  <c r="AK310" i="9"/>
  <c r="AN309" i="9"/>
  <c r="AQ308" i="9"/>
  <c r="AI308" i="9"/>
  <c r="AL307" i="9"/>
  <c r="AO306" i="9"/>
  <c r="AR305" i="9"/>
  <c r="AJ305" i="9"/>
  <c r="AM304" i="9"/>
  <c r="AP303" i="9"/>
  <c r="AS302" i="9"/>
  <c r="AK302" i="9"/>
  <c r="AN301" i="9"/>
  <c r="AQ300" i="9"/>
  <c r="AI300" i="9"/>
  <c r="AL299" i="9"/>
  <c r="AO298" i="9"/>
  <c r="AR297" i="9"/>
  <c r="AJ297" i="9"/>
  <c r="AI433" i="9"/>
  <c r="AP428" i="9"/>
  <c r="AK427" i="9"/>
  <c r="AR422" i="9"/>
  <c r="AM421" i="9"/>
  <c r="AO415" i="9"/>
  <c r="AJ414" i="9"/>
  <c r="AO408" i="9"/>
  <c r="AJ407" i="9"/>
  <c r="AP405" i="9"/>
  <c r="AK404" i="9"/>
  <c r="AQ402" i="9"/>
  <c r="AL401" i="9"/>
  <c r="AR399" i="9"/>
  <c r="AM398" i="9"/>
  <c r="AS396" i="9"/>
  <c r="AN395" i="9"/>
  <c r="AI394" i="9"/>
  <c r="AO392" i="9"/>
  <c r="AJ391" i="9"/>
  <c r="AP389" i="9"/>
  <c r="AK388" i="9"/>
  <c r="AQ386" i="9"/>
  <c r="AL385" i="9"/>
  <c r="AR383" i="9"/>
  <c r="AM382" i="9"/>
  <c r="AS380" i="9"/>
  <c r="AN379" i="9"/>
  <c r="AI378" i="9"/>
  <c r="AO376" i="9"/>
  <c r="AJ375" i="9"/>
  <c r="AP373" i="9"/>
  <c r="AQ372" i="9"/>
  <c r="AS371" i="9"/>
  <c r="AI369" i="9"/>
  <c r="AM368" i="9"/>
  <c r="AO367" i="9"/>
  <c r="AR366" i="9"/>
  <c r="AJ366" i="9"/>
  <c r="AM365" i="9"/>
  <c r="AP364" i="9"/>
  <c r="AS363" i="9"/>
  <c r="AK363" i="9"/>
  <c r="AN362" i="9"/>
  <c r="AQ361" i="9"/>
  <c r="AI361" i="9"/>
  <c r="AL360" i="9"/>
  <c r="AO359" i="9"/>
  <c r="AR358" i="9"/>
  <c r="AJ358" i="9"/>
  <c r="AM357" i="9"/>
  <c r="AP356" i="9"/>
  <c r="AS355" i="9"/>
  <c r="AK355" i="9"/>
  <c r="AN354" i="9"/>
  <c r="AQ353" i="9"/>
  <c r="AI353" i="9"/>
  <c r="AL352" i="9"/>
  <c r="AO351" i="9"/>
  <c r="AR350" i="9"/>
  <c r="AJ350" i="9"/>
  <c r="AM349" i="9"/>
  <c r="AP348" i="9"/>
  <c r="AS347" i="9"/>
  <c r="AK347" i="9"/>
  <c r="AN346" i="9"/>
  <c r="AQ345" i="9"/>
  <c r="AI345" i="9"/>
  <c r="AL344" i="9"/>
  <c r="AO343" i="9"/>
  <c r="AR342" i="9"/>
  <c r="AJ342" i="9"/>
  <c r="AM341" i="9"/>
  <c r="AP340" i="9"/>
  <c r="AS339" i="9"/>
  <c r="AK339" i="9"/>
  <c r="AN338" i="9"/>
  <c r="AQ337" i="9"/>
  <c r="AI337" i="9"/>
  <c r="AL336" i="9"/>
  <c r="AO335" i="9"/>
  <c r="AR334" i="9"/>
  <c r="AJ334" i="9"/>
  <c r="AM333" i="9"/>
  <c r="AP332" i="9"/>
  <c r="AS331" i="9"/>
  <c r="AK331" i="9"/>
  <c r="AN330" i="9"/>
  <c r="AQ329" i="9"/>
  <c r="AI329" i="9"/>
  <c r="AL328" i="9"/>
  <c r="AO327" i="9"/>
  <c r="AR326" i="9"/>
  <c r="AJ326" i="9"/>
  <c r="AM325" i="9"/>
  <c r="AP324" i="9"/>
  <c r="AS323" i="9"/>
  <c r="AK323" i="9"/>
  <c r="AN322" i="9"/>
  <c r="AQ321" i="9"/>
  <c r="AI321" i="9"/>
  <c r="AL320" i="9"/>
  <c r="AO319" i="9"/>
  <c r="AR318" i="9"/>
  <c r="AJ318" i="9"/>
  <c r="AM317" i="9"/>
  <c r="AP316" i="9"/>
  <c r="AS315" i="9"/>
  <c r="AK315" i="9"/>
  <c r="AN314" i="9"/>
  <c r="AQ313" i="9"/>
  <c r="AI313" i="9"/>
  <c r="AL312" i="9"/>
  <c r="AO311" i="9"/>
  <c r="AR310" i="9"/>
  <c r="AJ310" i="9"/>
  <c r="AM309" i="9"/>
  <c r="AP308" i="9"/>
  <c r="AS307" i="9"/>
  <c r="AK307" i="9"/>
  <c r="AN306" i="9"/>
  <c r="AQ305" i="9"/>
  <c r="AI305" i="9"/>
  <c r="AL304" i="9"/>
  <c r="AO308" i="9"/>
  <c r="AJ307" i="9"/>
  <c r="AO302" i="9"/>
  <c r="AJ301" i="9"/>
  <c r="AP299" i="9"/>
  <c r="AK298" i="9"/>
  <c r="AQ296" i="9"/>
  <c r="AR295" i="9"/>
  <c r="AJ294" i="9"/>
  <c r="AP293" i="9"/>
  <c r="AR292" i="9"/>
  <c r="AJ292" i="9"/>
  <c r="AM291" i="9"/>
  <c r="AP290" i="9"/>
  <c r="AS289" i="9"/>
  <c r="AK289" i="9"/>
  <c r="AN288" i="9"/>
  <c r="AQ287" i="9"/>
  <c r="AI287" i="9"/>
  <c r="AL286" i="9"/>
  <c r="AO285" i="9"/>
  <c r="AR284" i="9"/>
  <c r="AJ284" i="9"/>
  <c r="AM283" i="9"/>
  <c r="AP282" i="9"/>
  <c r="AS281" i="9"/>
  <c r="AK281" i="9"/>
  <c r="AN280" i="9"/>
  <c r="AQ279" i="9"/>
  <c r="AI279" i="9"/>
  <c r="AL278" i="9"/>
  <c r="AO277" i="9"/>
  <c r="AR276" i="9"/>
  <c r="AJ276" i="9"/>
  <c r="AM275" i="9"/>
  <c r="AP274" i="9"/>
  <c r="AS273" i="9"/>
  <c r="AK273" i="9"/>
  <c r="AN272" i="9"/>
  <c r="AQ271" i="9"/>
  <c r="AI271" i="9"/>
  <c r="AL270" i="9"/>
  <c r="AO269" i="9"/>
  <c r="AR268" i="9"/>
  <c r="AJ268" i="9"/>
  <c r="AM267" i="9"/>
  <c r="AP266" i="9"/>
  <c r="AS265" i="9"/>
  <c r="AK265" i="9"/>
  <c r="AN264" i="9"/>
  <c r="AQ263" i="9"/>
  <c r="AI263" i="9"/>
  <c r="AL262" i="9"/>
  <c r="AO261" i="9"/>
  <c r="AR260" i="9"/>
  <c r="AJ260" i="9"/>
  <c r="AM259" i="9"/>
  <c r="AP258" i="9"/>
  <c r="AS257" i="9"/>
  <c r="AK257" i="9"/>
  <c r="AN256" i="9"/>
  <c r="AQ255" i="9"/>
  <c r="AI255" i="9"/>
  <c r="AL254" i="9"/>
  <c r="AO253" i="9"/>
  <c r="AR252" i="9"/>
  <c r="AJ252" i="9"/>
  <c r="AM251" i="9"/>
  <c r="AP250" i="9"/>
  <c r="AS249" i="9"/>
  <c r="AK249" i="9"/>
  <c r="AN248" i="9"/>
  <c r="AQ247" i="9"/>
  <c r="AI247" i="9"/>
  <c r="AL246" i="9"/>
  <c r="AO245" i="9"/>
  <c r="AR244" i="9"/>
  <c r="AJ244" i="9"/>
  <c r="AM243" i="9"/>
  <c r="AP242" i="9"/>
  <c r="AS241" i="9"/>
  <c r="AK241" i="9"/>
  <c r="AN240" i="9"/>
  <c r="AQ239" i="9"/>
  <c r="AI239" i="9"/>
  <c r="AL238" i="9"/>
  <c r="AO237" i="9"/>
  <c r="AR236" i="9"/>
  <c r="AJ236" i="9"/>
  <c r="AM235" i="9"/>
  <c r="AP234" i="9"/>
  <c r="AS233" i="9"/>
  <c r="AK233" i="9"/>
  <c r="AN232" i="9"/>
  <c r="AQ231" i="9"/>
  <c r="AI231" i="9"/>
  <c r="AL230" i="9"/>
  <c r="AO229" i="9"/>
  <c r="AR228" i="9"/>
  <c r="AJ228" i="9"/>
  <c r="AM227" i="9"/>
  <c r="AP226" i="9"/>
  <c r="AS225" i="9"/>
  <c r="AK225" i="9"/>
  <c r="AN224" i="9"/>
  <c r="AQ223" i="9"/>
  <c r="AI223" i="9"/>
  <c r="AL222" i="9"/>
  <c r="AM314" i="9"/>
  <c r="AP309" i="9"/>
  <c r="AK308" i="9"/>
  <c r="AR303" i="9"/>
  <c r="AM302" i="9"/>
  <c r="AS300" i="9"/>
  <c r="AN299" i="9"/>
  <c r="AI298" i="9"/>
  <c r="AO296" i="9"/>
  <c r="AP295" i="9"/>
  <c r="AS294" i="9"/>
  <c r="AI294" i="9"/>
  <c r="AN293" i="9"/>
  <c r="AQ292" i="9"/>
  <c r="AI292" i="9"/>
  <c r="AL291" i="9"/>
  <c r="AO290" i="9"/>
  <c r="AR289" i="9"/>
  <c r="AJ289" i="9"/>
  <c r="AM288" i="9"/>
  <c r="AP287" i="9"/>
  <c r="AS286" i="9"/>
  <c r="AK286" i="9"/>
  <c r="AN285" i="9"/>
  <c r="AQ284" i="9"/>
  <c r="AI284" i="9"/>
  <c r="AL283" i="9"/>
  <c r="AO282" i="9"/>
  <c r="AR281" i="9"/>
  <c r="AJ281" i="9"/>
  <c r="AM280" i="9"/>
  <c r="AP279" i="9"/>
  <c r="AS278" i="9"/>
  <c r="AK278" i="9"/>
  <c r="AN277" i="9"/>
  <c r="AQ276" i="9"/>
  <c r="AI276" i="9"/>
  <c r="AL275" i="9"/>
  <c r="AO274" i="9"/>
  <c r="AR273" i="9"/>
  <c r="AJ273" i="9"/>
  <c r="AM272" i="9"/>
  <c r="AP271" i="9"/>
  <c r="AS270" i="9"/>
  <c r="AK270" i="9"/>
  <c r="AN269" i="9"/>
  <c r="AQ268" i="9"/>
  <c r="AI268" i="9"/>
  <c r="AL267" i="9"/>
  <c r="AO266" i="9"/>
  <c r="AR265" i="9"/>
  <c r="AJ265" i="9"/>
  <c r="AM264" i="9"/>
  <c r="AP263" i="9"/>
  <c r="AS262" i="9"/>
  <c r="AK262" i="9"/>
  <c r="AN261" i="9"/>
  <c r="AQ260" i="9"/>
  <c r="AI260" i="9"/>
  <c r="AL259" i="9"/>
  <c r="AO258" i="9"/>
  <c r="AR257" i="9"/>
  <c r="AJ257" i="9"/>
  <c r="AM256" i="9"/>
  <c r="AP255" i="9"/>
  <c r="AS254" i="9"/>
  <c r="AK254" i="9"/>
  <c r="AN253" i="9"/>
  <c r="AQ252" i="9"/>
  <c r="AI252" i="9"/>
  <c r="AL251" i="9"/>
  <c r="AO250" i="9"/>
  <c r="AR249" i="9"/>
  <c r="AJ249" i="9"/>
  <c r="AM248" i="9"/>
  <c r="AP247" i="9"/>
  <c r="AS246" i="9"/>
  <c r="AK246" i="9"/>
  <c r="AN245" i="9"/>
  <c r="AQ244" i="9"/>
  <c r="AI244" i="9"/>
  <c r="AL243" i="9"/>
  <c r="AO242" i="9"/>
  <c r="AR241" i="9"/>
  <c r="AJ241" i="9"/>
  <c r="AM240" i="9"/>
  <c r="AP239" i="9"/>
  <c r="AS238" i="9"/>
  <c r="AK238" i="9"/>
  <c r="AN237" i="9"/>
  <c r="AQ236" i="9"/>
  <c r="AI236" i="9"/>
  <c r="AL235" i="9"/>
  <c r="AO234" i="9"/>
  <c r="AR233" i="9"/>
  <c r="AJ233" i="9"/>
  <c r="AM232" i="9"/>
  <c r="AP231" i="9"/>
  <c r="AS230" i="9"/>
  <c r="AK230" i="9"/>
  <c r="AN229" i="9"/>
  <c r="AQ228" i="9"/>
  <c r="AI228" i="9"/>
  <c r="AL227" i="9"/>
  <c r="AO226" i="9"/>
  <c r="AR225" i="9"/>
  <c r="AJ225" i="9"/>
  <c r="AM224" i="9"/>
  <c r="AP223" i="9"/>
  <c r="AS222" i="9"/>
  <c r="AK222" i="9"/>
  <c r="AN221" i="9"/>
  <c r="AQ220" i="9"/>
  <c r="AI220" i="9"/>
  <c r="AL219" i="9"/>
  <c r="AO218" i="9"/>
  <c r="AR217" i="9"/>
  <c r="AJ217" i="9"/>
  <c r="AM216" i="9"/>
  <c r="AP215" i="9"/>
  <c r="AS214" i="9"/>
  <c r="AK214" i="9"/>
  <c r="AN213" i="9"/>
  <c r="AQ212" i="9"/>
  <c r="AI212" i="9"/>
  <c r="AL211" i="9"/>
  <c r="AO210" i="9"/>
  <c r="AR209" i="9"/>
  <c r="AJ209" i="9"/>
  <c r="AM208" i="9"/>
  <c r="AP207" i="9"/>
  <c r="AS206" i="9"/>
  <c r="AK206" i="9"/>
  <c r="AN205" i="9"/>
  <c r="AQ204" i="9"/>
  <c r="AI204" i="9"/>
  <c r="AL203" i="9"/>
  <c r="AO202" i="9"/>
  <c r="AR201" i="9"/>
  <c r="AJ201" i="9"/>
  <c r="AM200" i="9"/>
  <c r="AP199" i="9"/>
  <c r="AS198" i="9"/>
  <c r="AK198" i="9"/>
  <c r="AN197" i="9"/>
  <c r="AQ196" i="9"/>
  <c r="AI196" i="9"/>
  <c r="AL195" i="9"/>
  <c r="AO194" i="9"/>
  <c r="AR193" i="9"/>
  <c r="AJ193" i="9"/>
  <c r="AM192" i="9"/>
  <c r="AQ310" i="9"/>
  <c r="AL309" i="9"/>
  <c r="AS304" i="9"/>
  <c r="AO303" i="9"/>
  <c r="AJ302" i="9"/>
  <c r="AP300" i="9"/>
  <c r="AK299" i="9"/>
  <c r="AQ297" i="9"/>
  <c r="AM296" i="9"/>
  <c r="AO295" i="9"/>
  <c r="AR294" i="9"/>
  <c r="AM293" i="9"/>
  <c r="AP292" i="9"/>
  <c r="AS291" i="9"/>
  <c r="AK291" i="9"/>
  <c r="AN290" i="9"/>
  <c r="AQ289" i="9"/>
  <c r="AI289" i="9"/>
  <c r="AL288" i="9"/>
  <c r="AO287" i="9"/>
  <c r="AR286" i="9"/>
  <c r="AJ286" i="9"/>
  <c r="AM285" i="9"/>
  <c r="AP284" i="9"/>
  <c r="AS283" i="9"/>
  <c r="AK283" i="9"/>
  <c r="AN282" i="9"/>
  <c r="AQ281" i="9"/>
  <c r="AI281" i="9"/>
  <c r="AL280" i="9"/>
  <c r="AO279" i="9"/>
  <c r="AR278" i="9"/>
  <c r="AJ278" i="9"/>
  <c r="AM277" i="9"/>
  <c r="AP276" i="9"/>
  <c r="AS275" i="9"/>
  <c r="AK275" i="9"/>
  <c r="AN274" i="9"/>
  <c r="AQ273" i="9"/>
  <c r="AI273" i="9"/>
  <c r="AL272" i="9"/>
  <c r="AO271" i="9"/>
  <c r="AR270" i="9"/>
  <c r="AJ270" i="9"/>
  <c r="AM269" i="9"/>
  <c r="AP268" i="9"/>
  <c r="AS267" i="9"/>
  <c r="AK267" i="9"/>
  <c r="AN266" i="9"/>
  <c r="AQ265" i="9"/>
  <c r="AI265" i="9"/>
  <c r="AL264" i="9"/>
  <c r="AO263" i="9"/>
  <c r="AR262" i="9"/>
  <c r="AJ262" i="9"/>
  <c r="AM261" i="9"/>
  <c r="AP260" i="9"/>
  <c r="AS259" i="9"/>
  <c r="AK259" i="9"/>
  <c r="AN258" i="9"/>
  <c r="AQ257" i="9"/>
  <c r="AI257" i="9"/>
  <c r="AL256" i="9"/>
  <c r="AO255" i="9"/>
  <c r="AR254" i="9"/>
  <c r="AJ254" i="9"/>
  <c r="AM253" i="9"/>
  <c r="AP252" i="9"/>
  <c r="AS251" i="9"/>
  <c r="AK251" i="9"/>
  <c r="AN250" i="9"/>
  <c r="AQ249" i="9"/>
  <c r="AI249" i="9"/>
  <c r="AL248" i="9"/>
  <c r="AO247" i="9"/>
  <c r="AR246" i="9"/>
  <c r="AJ246" i="9"/>
  <c r="AM245" i="9"/>
  <c r="AP244" i="9"/>
  <c r="AS243" i="9"/>
  <c r="AK243" i="9"/>
  <c r="AN242" i="9"/>
  <c r="AQ241" i="9"/>
  <c r="AI241" i="9"/>
  <c r="AL240" i="9"/>
  <c r="AO239" i="9"/>
  <c r="AR238" i="9"/>
  <c r="AJ238" i="9"/>
  <c r="AM237" i="9"/>
  <c r="AP236" i="9"/>
  <c r="AS235" i="9"/>
  <c r="AK235" i="9"/>
  <c r="AN234" i="9"/>
  <c r="AQ233" i="9"/>
  <c r="AI233" i="9"/>
  <c r="AL232" i="9"/>
  <c r="AO231" i="9"/>
  <c r="AR230" i="9"/>
  <c r="AJ230" i="9"/>
  <c r="AM229" i="9"/>
  <c r="AP228" i="9"/>
  <c r="AS227" i="9"/>
  <c r="AK227" i="9"/>
  <c r="AN226" i="9"/>
  <c r="AQ225" i="9"/>
  <c r="AI225" i="9"/>
  <c r="AL224" i="9"/>
  <c r="AO223" i="9"/>
  <c r="AR222" i="9"/>
  <c r="AJ222" i="9"/>
  <c r="AM221" i="9"/>
  <c r="AP220" i="9"/>
  <c r="AS219" i="9"/>
  <c r="AK219" i="9"/>
  <c r="AN218" i="9"/>
  <c r="AQ217" i="9"/>
  <c r="AI217" i="9"/>
  <c r="AL216" i="9"/>
  <c r="AO215" i="9"/>
  <c r="AR214" i="9"/>
  <c r="AJ214" i="9"/>
  <c r="AM213" i="9"/>
  <c r="AP212" i="9"/>
  <c r="AS211" i="9"/>
  <c r="AK211" i="9"/>
  <c r="AN210" i="9"/>
  <c r="AQ209" i="9"/>
  <c r="AI209" i="9"/>
  <c r="AL208" i="9"/>
  <c r="AO207" i="9"/>
  <c r="AR206" i="9"/>
  <c r="AJ206" i="9"/>
  <c r="AM205" i="9"/>
  <c r="AP204" i="9"/>
  <c r="AS203" i="9"/>
  <c r="AK203" i="9"/>
  <c r="AN202" i="9"/>
  <c r="AQ201" i="9"/>
  <c r="AI201" i="9"/>
  <c r="AR311" i="9"/>
  <c r="AM310" i="9"/>
  <c r="AO304" i="9"/>
  <c r="AN303" i="9"/>
  <c r="AI302" i="9"/>
  <c r="AO300" i="9"/>
  <c r="AJ299" i="9"/>
  <c r="AP297" i="9"/>
  <c r="AL296" i="9"/>
  <c r="AN295" i="9"/>
  <c r="AQ294" i="9"/>
  <c r="AL293" i="9"/>
  <c r="AO292" i="9"/>
  <c r="AR291" i="9"/>
  <c r="AJ291" i="9"/>
  <c r="AM290" i="9"/>
  <c r="AP289" i="9"/>
  <c r="AS288" i="9"/>
  <c r="AK288" i="9"/>
  <c r="AN287" i="9"/>
  <c r="AQ286" i="9"/>
  <c r="AI286" i="9"/>
  <c r="AL285" i="9"/>
  <c r="AO284" i="9"/>
  <c r="AR283" i="9"/>
  <c r="AJ283" i="9"/>
  <c r="AM282" i="9"/>
  <c r="AP281" i="9"/>
  <c r="AS280" i="9"/>
  <c r="AK280" i="9"/>
  <c r="AN279" i="9"/>
  <c r="AQ278" i="9"/>
  <c r="AI278" i="9"/>
  <c r="AL277" i="9"/>
  <c r="AO276" i="9"/>
  <c r="AR275" i="9"/>
  <c r="AJ275" i="9"/>
  <c r="AM274" i="9"/>
  <c r="AP273" i="9"/>
  <c r="AS272" i="9"/>
  <c r="AK272" i="9"/>
  <c r="AN271" i="9"/>
  <c r="AQ270" i="9"/>
  <c r="AI270" i="9"/>
  <c r="AL269" i="9"/>
  <c r="AO268" i="9"/>
  <c r="AR267" i="9"/>
  <c r="AJ267" i="9"/>
  <c r="AM266" i="9"/>
  <c r="AP265" i="9"/>
  <c r="AS264" i="9"/>
  <c r="AK264" i="9"/>
  <c r="AN263" i="9"/>
  <c r="AQ262" i="9"/>
  <c r="AI262" i="9"/>
  <c r="AL261" i="9"/>
  <c r="AO260" i="9"/>
  <c r="AR259" i="9"/>
  <c r="AJ259" i="9"/>
  <c r="AM258" i="9"/>
  <c r="AP257" i="9"/>
  <c r="AS256" i="9"/>
  <c r="AK256" i="9"/>
  <c r="AN255" i="9"/>
  <c r="AQ254" i="9"/>
  <c r="AI254" i="9"/>
  <c r="AL253" i="9"/>
  <c r="AO252" i="9"/>
  <c r="AR251" i="9"/>
  <c r="AJ251" i="9"/>
  <c r="AM250" i="9"/>
  <c r="AP249" i="9"/>
  <c r="AS248" i="9"/>
  <c r="AK248" i="9"/>
  <c r="AN247" i="9"/>
  <c r="AQ246" i="9"/>
  <c r="AI246" i="9"/>
  <c r="AL245" i="9"/>
  <c r="AO244" i="9"/>
  <c r="AR243" i="9"/>
  <c r="AJ243" i="9"/>
  <c r="AM242" i="9"/>
  <c r="AP241" i="9"/>
  <c r="AS240" i="9"/>
  <c r="AK240" i="9"/>
  <c r="AN239" i="9"/>
  <c r="AQ238" i="9"/>
  <c r="AI238" i="9"/>
  <c r="AL237" i="9"/>
  <c r="AO236" i="9"/>
  <c r="AR235" i="9"/>
  <c r="AJ235" i="9"/>
  <c r="AM234" i="9"/>
  <c r="AP233" i="9"/>
  <c r="AS232" i="9"/>
  <c r="AK232" i="9"/>
  <c r="AN231" i="9"/>
  <c r="AQ230" i="9"/>
  <c r="AI230" i="9"/>
  <c r="AL229" i="9"/>
  <c r="AO228" i="9"/>
  <c r="AR227" i="9"/>
  <c r="AJ227" i="9"/>
  <c r="AM226" i="9"/>
  <c r="AP225" i="9"/>
  <c r="AS224" i="9"/>
  <c r="AK224" i="9"/>
  <c r="AN223" i="9"/>
  <c r="AQ222" i="9"/>
  <c r="AI222" i="9"/>
  <c r="AL221" i="9"/>
  <c r="AO220" i="9"/>
  <c r="AR219" i="9"/>
  <c r="AJ219" i="9"/>
  <c r="AM218" i="9"/>
  <c r="AP217" i="9"/>
  <c r="AS216" i="9"/>
  <c r="AK216" i="9"/>
  <c r="AN215" i="9"/>
  <c r="AQ214" i="9"/>
  <c r="AI214" i="9"/>
  <c r="AL213" i="9"/>
  <c r="AO212" i="9"/>
  <c r="AR211" i="9"/>
  <c r="AJ211" i="9"/>
  <c r="AM210" i="9"/>
  <c r="AP209" i="9"/>
  <c r="AS208" i="9"/>
  <c r="AK208" i="9"/>
  <c r="AN207" i="9"/>
  <c r="AQ206" i="9"/>
  <c r="AI206" i="9"/>
  <c r="AL205" i="9"/>
  <c r="AO204" i="9"/>
  <c r="AR203" i="9"/>
  <c r="AJ203" i="9"/>
  <c r="AM202" i="9"/>
  <c r="AP201" i="9"/>
  <c r="AS200" i="9"/>
  <c r="AK200" i="9"/>
  <c r="AN199" i="9"/>
  <c r="AQ198" i="9"/>
  <c r="AS312" i="9"/>
  <c r="AN311" i="9"/>
  <c r="AI310" i="9"/>
  <c r="AP305" i="9"/>
  <c r="AK304" i="9"/>
  <c r="AL303" i="9"/>
  <c r="AR301" i="9"/>
  <c r="AM300" i="9"/>
  <c r="AS298" i="9"/>
  <c r="AN297" i="9"/>
  <c r="AK296" i="9"/>
  <c r="AL295" i="9"/>
  <c r="AO294" i="9"/>
  <c r="AK293" i="9"/>
  <c r="AN292" i="9"/>
  <c r="AQ291" i="9"/>
  <c r="AI291" i="9"/>
  <c r="AL290" i="9"/>
  <c r="AO289" i="9"/>
  <c r="AR288" i="9"/>
  <c r="AJ288" i="9"/>
  <c r="AM287" i="9"/>
  <c r="AP286" i="9"/>
  <c r="AS285" i="9"/>
  <c r="AK285" i="9"/>
  <c r="AN284" i="9"/>
  <c r="AQ283" i="9"/>
  <c r="AI283" i="9"/>
  <c r="AL282" i="9"/>
  <c r="AO281" i="9"/>
  <c r="AR280" i="9"/>
  <c r="AJ280" i="9"/>
  <c r="AM279" i="9"/>
  <c r="AP278" i="9"/>
  <c r="AS277" i="9"/>
  <c r="AK277" i="9"/>
  <c r="AN276" i="9"/>
  <c r="AQ275" i="9"/>
  <c r="AI275" i="9"/>
  <c r="AL274" i="9"/>
  <c r="AO273" i="9"/>
  <c r="AR272" i="9"/>
  <c r="AJ272" i="9"/>
  <c r="AM271" i="9"/>
  <c r="AP270" i="9"/>
  <c r="AS269" i="9"/>
  <c r="AK269" i="9"/>
  <c r="AN268" i="9"/>
  <c r="AQ267" i="9"/>
  <c r="AI267" i="9"/>
  <c r="AL266" i="9"/>
  <c r="AO265" i="9"/>
  <c r="AR264" i="9"/>
  <c r="AJ264" i="9"/>
  <c r="AM263" i="9"/>
  <c r="AP262" i="9"/>
  <c r="AS261" i="9"/>
  <c r="AK261" i="9"/>
  <c r="AN260" i="9"/>
  <c r="AQ259" i="9"/>
  <c r="AI259" i="9"/>
  <c r="AL258" i="9"/>
  <c r="AO257" i="9"/>
  <c r="AR256" i="9"/>
  <c r="AJ256" i="9"/>
  <c r="AM255" i="9"/>
  <c r="AP254" i="9"/>
  <c r="AS253" i="9"/>
  <c r="AK253" i="9"/>
  <c r="AN252" i="9"/>
  <c r="AQ251" i="9"/>
  <c r="AI251" i="9"/>
  <c r="AL250" i="9"/>
  <c r="AO249" i="9"/>
  <c r="AR248" i="9"/>
  <c r="AJ248" i="9"/>
  <c r="AM247" i="9"/>
  <c r="AP246" i="9"/>
  <c r="AS245" i="9"/>
  <c r="AK245" i="9"/>
  <c r="AN244" i="9"/>
  <c r="AQ243" i="9"/>
  <c r="AI243" i="9"/>
  <c r="AL242" i="9"/>
  <c r="AO241" i="9"/>
  <c r="AR240" i="9"/>
  <c r="AJ240" i="9"/>
  <c r="AM239" i="9"/>
  <c r="AP238" i="9"/>
  <c r="AS237" i="9"/>
  <c r="AK237" i="9"/>
  <c r="AN236" i="9"/>
  <c r="AQ235" i="9"/>
  <c r="AI235" i="9"/>
  <c r="AL234" i="9"/>
  <c r="AO233" i="9"/>
  <c r="AR232" i="9"/>
  <c r="AJ232" i="9"/>
  <c r="AM231" i="9"/>
  <c r="AP230" i="9"/>
  <c r="AS229" i="9"/>
  <c r="AK229" i="9"/>
  <c r="AN228" i="9"/>
  <c r="AQ227" i="9"/>
  <c r="AI227" i="9"/>
  <c r="AL226" i="9"/>
  <c r="AO225" i="9"/>
  <c r="AR224" i="9"/>
  <c r="AJ224" i="9"/>
  <c r="AM223" i="9"/>
  <c r="AP222" i="9"/>
  <c r="AS221" i="9"/>
  <c r="AO312" i="9"/>
  <c r="AJ311" i="9"/>
  <c r="AQ306" i="9"/>
  <c r="AL305" i="9"/>
  <c r="AJ303" i="9"/>
  <c r="AP301" i="9"/>
  <c r="AK300" i="9"/>
  <c r="AQ298" i="9"/>
  <c r="AL297" i="9"/>
  <c r="AI296" i="9"/>
  <c r="AJ295" i="9"/>
  <c r="AN294" i="9"/>
  <c r="AJ293" i="9"/>
  <c r="AM292" i="9"/>
  <c r="AP291" i="9"/>
  <c r="AS290" i="9"/>
  <c r="AK290" i="9"/>
  <c r="AN289" i="9"/>
  <c r="AQ288" i="9"/>
  <c r="AI288" i="9"/>
  <c r="AL287" i="9"/>
  <c r="AO286" i="9"/>
  <c r="AR285" i="9"/>
  <c r="AJ285" i="9"/>
  <c r="AM284" i="9"/>
  <c r="AP283" i="9"/>
  <c r="AS282" i="9"/>
  <c r="AK282" i="9"/>
  <c r="AN281" i="9"/>
  <c r="AQ280" i="9"/>
  <c r="AI280" i="9"/>
  <c r="AL279" i="9"/>
  <c r="AO278" i="9"/>
  <c r="AR277" i="9"/>
  <c r="AJ277" i="9"/>
  <c r="AM276" i="9"/>
  <c r="AP275" i="9"/>
  <c r="AS274" i="9"/>
  <c r="AK274" i="9"/>
  <c r="AN273" i="9"/>
  <c r="AQ272" i="9"/>
  <c r="AI272" i="9"/>
  <c r="AL271" i="9"/>
  <c r="AO270" i="9"/>
  <c r="AR269" i="9"/>
  <c r="AJ269" i="9"/>
  <c r="AM268" i="9"/>
  <c r="AP267" i="9"/>
  <c r="AS266" i="9"/>
  <c r="AK266" i="9"/>
  <c r="AN265" i="9"/>
  <c r="AQ264" i="9"/>
  <c r="AI264" i="9"/>
  <c r="AL263" i="9"/>
  <c r="AO262" i="9"/>
  <c r="AR261" i="9"/>
  <c r="AJ261" i="9"/>
  <c r="AM260" i="9"/>
  <c r="AP259" i="9"/>
  <c r="AS258" i="9"/>
  <c r="AK258" i="9"/>
  <c r="AN257" i="9"/>
  <c r="AQ256" i="9"/>
  <c r="AI256" i="9"/>
  <c r="AL255" i="9"/>
  <c r="AO254" i="9"/>
  <c r="AR253" i="9"/>
  <c r="AJ253" i="9"/>
  <c r="AM252" i="9"/>
  <c r="AP251" i="9"/>
  <c r="AS250" i="9"/>
  <c r="AK250" i="9"/>
  <c r="AN249" i="9"/>
  <c r="AQ248" i="9"/>
  <c r="AI248" i="9"/>
  <c r="AL247" i="9"/>
  <c r="AO246" i="9"/>
  <c r="AR245" i="9"/>
  <c r="AJ245" i="9"/>
  <c r="AM244" i="9"/>
  <c r="AP243" i="9"/>
  <c r="AS242" i="9"/>
  <c r="AK242" i="9"/>
  <c r="AN241" i="9"/>
  <c r="AQ240" i="9"/>
  <c r="AI240" i="9"/>
  <c r="AL239" i="9"/>
  <c r="AO238" i="9"/>
  <c r="AR237" i="9"/>
  <c r="AJ237" i="9"/>
  <c r="AM236" i="9"/>
  <c r="AP235" i="9"/>
  <c r="AS234" i="9"/>
  <c r="AK234" i="9"/>
  <c r="AN233" i="9"/>
  <c r="AQ232" i="9"/>
  <c r="AI232" i="9"/>
  <c r="AL231" i="9"/>
  <c r="AO230" i="9"/>
  <c r="AR229" i="9"/>
  <c r="AJ229" i="9"/>
  <c r="AM228" i="9"/>
  <c r="AP227" i="9"/>
  <c r="AS226" i="9"/>
  <c r="AK226" i="9"/>
  <c r="AN225" i="9"/>
  <c r="AQ224" i="9"/>
  <c r="AI224" i="9"/>
  <c r="AL223" i="9"/>
  <c r="AO222" i="9"/>
  <c r="AR221" i="9"/>
  <c r="AJ221" i="9"/>
  <c r="AM220" i="9"/>
  <c r="AP219" i="9"/>
  <c r="AS218" i="9"/>
  <c r="AK218" i="9"/>
  <c r="AN217" i="9"/>
  <c r="AQ216" i="9"/>
  <c r="AI216" i="9"/>
  <c r="AL215" i="9"/>
  <c r="AO214" i="9"/>
  <c r="AR213" i="9"/>
  <c r="AJ213" i="9"/>
  <c r="AM212" i="9"/>
  <c r="AP211" i="9"/>
  <c r="AS210" i="9"/>
  <c r="AK210" i="9"/>
  <c r="AN209" i="9"/>
  <c r="AQ208" i="9"/>
  <c r="AI208" i="9"/>
  <c r="AL207" i="9"/>
  <c r="AO206" i="9"/>
  <c r="AR205" i="9"/>
  <c r="AJ205" i="9"/>
  <c r="AM204" i="9"/>
  <c r="AP203" i="9"/>
  <c r="AS202" i="9"/>
  <c r="AK202" i="9"/>
  <c r="AN201" i="9"/>
  <c r="AQ200" i="9"/>
  <c r="AI200" i="9"/>
  <c r="AL199" i="9"/>
  <c r="AO198" i="9"/>
  <c r="AR197" i="9"/>
  <c r="AJ197" i="9"/>
  <c r="AM196" i="9"/>
  <c r="AP195" i="9"/>
  <c r="AS194" i="9"/>
  <c r="AK194" i="9"/>
  <c r="AN193" i="9"/>
  <c r="AQ192" i="9"/>
  <c r="AI192" i="9"/>
  <c r="AP313" i="9"/>
  <c r="AK312" i="9"/>
  <c r="AR307" i="9"/>
  <c r="AM306" i="9"/>
  <c r="AR302" i="9"/>
  <c r="AM301" i="9"/>
  <c r="AS299" i="9"/>
  <c r="AN298" i="9"/>
  <c r="AI297" i="9"/>
  <c r="AM294" i="9"/>
  <c r="AR293" i="9"/>
  <c r="AI293" i="9"/>
  <c r="AL292" i="9"/>
  <c r="AO291" i="9"/>
  <c r="AR290" i="9"/>
  <c r="AJ290" i="9"/>
  <c r="AM289" i="9"/>
  <c r="AP288" i="9"/>
  <c r="AS287" i="9"/>
  <c r="AK287" i="9"/>
  <c r="AN286" i="9"/>
  <c r="AQ285" i="9"/>
  <c r="AI285" i="9"/>
  <c r="AL284" i="9"/>
  <c r="AO283" i="9"/>
  <c r="AR282" i="9"/>
  <c r="AJ282" i="9"/>
  <c r="AM281" i="9"/>
  <c r="AP280" i="9"/>
  <c r="AS279" i="9"/>
  <c r="AK279" i="9"/>
  <c r="AN278" i="9"/>
  <c r="AQ277" i="9"/>
  <c r="AI277" i="9"/>
  <c r="AL276" i="9"/>
  <c r="AO275" i="9"/>
  <c r="AR274" i="9"/>
  <c r="AJ274" i="9"/>
  <c r="AM273" i="9"/>
  <c r="AP272" i="9"/>
  <c r="AS271" i="9"/>
  <c r="AK271" i="9"/>
  <c r="AN270" i="9"/>
  <c r="AQ269" i="9"/>
  <c r="AI269" i="9"/>
  <c r="AL268" i="9"/>
  <c r="AO267" i="9"/>
  <c r="AR266" i="9"/>
  <c r="AJ266" i="9"/>
  <c r="AM265" i="9"/>
  <c r="AP264" i="9"/>
  <c r="AS263" i="9"/>
  <c r="AK263" i="9"/>
  <c r="AN262" i="9"/>
  <c r="AQ261" i="9"/>
  <c r="AI261" i="9"/>
  <c r="AL260" i="9"/>
  <c r="AO259" i="9"/>
  <c r="AR258" i="9"/>
  <c r="AJ258" i="9"/>
  <c r="AM257" i="9"/>
  <c r="AP256" i="9"/>
  <c r="AS255" i="9"/>
  <c r="AK255" i="9"/>
  <c r="AN254" i="9"/>
  <c r="AQ253" i="9"/>
  <c r="AI253" i="9"/>
  <c r="AL252" i="9"/>
  <c r="AO251" i="9"/>
  <c r="AR250" i="9"/>
  <c r="AJ250" i="9"/>
  <c r="AM249" i="9"/>
  <c r="AP248" i="9"/>
  <c r="AS247" i="9"/>
  <c r="AK247" i="9"/>
  <c r="AN246" i="9"/>
  <c r="AQ245" i="9"/>
  <c r="AI245" i="9"/>
  <c r="AL244" i="9"/>
  <c r="AO243" i="9"/>
  <c r="AR242" i="9"/>
  <c r="AJ242" i="9"/>
  <c r="AM241" i="9"/>
  <c r="AP240" i="9"/>
  <c r="AS239" i="9"/>
  <c r="AK239" i="9"/>
  <c r="AN238" i="9"/>
  <c r="AQ237" i="9"/>
  <c r="AI237" i="9"/>
  <c r="AL236" i="9"/>
  <c r="AO235" i="9"/>
  <c r="AR234" i="9"/>
  <c r="AJ234" i="9"/>
  <c r="AM233" i="9"/>
  <c r="AP232" i="9"/>
  <c r="AS231" i="9"/>
  <c r="AK231" i="9"/>
  <c r="AN230" i="9"/>
  <c r="AQ229" i="9"/>
  <c r="AI229" i="9"/>
  <c r="AL228" i="9"/>
  <c r="AO227" i="9"/>
  <c r="AR226" i="9"/>
  <c r="AJ226" i="9"/>
  <c r="AM225" i="9"/>
  <c r="AP224" i="9"/>
  <c r="AS223" i="9"/>
  <c r="AK223" i="9"/>
  <c r="AN222" i="9"/>
  <c r="AQ221" i="9"/>
  <c r="AI221" i="9"/>
  <c r="AL220" i="9"/>
  <c r="AO219" i="9"/>
  <c r="AR218" i="9"/>
  <c r="AJ218" i="9"/>
  <c r="AM217" i="9"/>
  <c r="AP216" i="9"/>
  <c r="AS215" i="9"/>
  <c r="AK215" i="9"/>
  <c r="AN214" i="9"/>
  <c r="AQ213" i="9"/>
  <c r="AI213" i="9"/>
  <c r="AL212" i="9"/>
  <c r="AO211" i="9"/>
  <c r="AR210" i="9"/>
  <c r="AJ210" i="9"/>
  <c r="AM209" i="9"/>
  <c r="AP208" i="9"/>
  <c r="AS207" i="9"/>
  <c r="AK207" i="9"/>
  <c r="AN206" i="9"/>
  <c r="AQ205" i="9"/>
  <c r="AI205" i="9"/>
  <c r="AL204" i="9"/>
  <c r="AO203" i="9"/>
  <c r="AR202" i="9"/>
  <c r="AJ202" i="9"/>
  <c r="AM201" i="9"/>
  <c r="AP200" i="9"/>
  <c r="AL313" i="9"/>
  <c r="AS308" i="9"/>
  <c r="AN307" i="9"/>
  <c r="AI306" i="9"/>
  <c r="AQ302" i="9"/>
  <c r="AL301" i="9"/>
  <c r="AR299" i="9"/>
  <c r="AM298" i="9"/>
  <c r="AS296" i="9"/>
  <c r="AK294" i="9"/>
  <c r="AQ293" i="9"/>
  <c r="AS292" i="9"/>
  <c r="AK292" i="9"/>
  <c r="AN291" i="9"/>
  <c r="AQ290" i="9"/>
  <c r="AI290" i="9"/>
  <c r="AL289" i="9"/>
  <c r="AO288" i="9"/>
  <c r="AR287" i="9"/>
  <c r="AJ287" i="9"/>
  <c r="AM286" i="9"/>
  <c r="AP285" i="9"/>
  <c r="AS284" i="9"/>
  <c r="AK284" i="9"/>
  <c r="AN283" i="9"/>
  <c r="AQ282" i="9"/>
  <c r="AI282" i="9"/>
  <c r="AL281" i="9"/>
  <c r="AO280" i="9"/>
  <c r="AR279" i="9"/>
  <c r="AJ279" i="9"/>
  <c r="AM278" i="9"/>
  <c r="AP277" i="9"/>
  <c r="AS276" i="9"/>
  <c r="AK276" i="9"/>
  <c r="AN275" i="9"/>
  <c r="AQ274" i="9"/>
  <c r="AI274" i="9"/>
  <c r="AL273" i="9"/>
  <c r="AO272" i="9"/>
  <c r="AR271" i="9"/>
  <c r="AJ271" i="9"/>
  <c r="AM270" i="9"/>
  <c r="AP269" i="9"/>
  <c r="AS268" i="9"/>
  <c r="AK268" i="9"/>
  <c r="AN267" i="9"/>
  <c r="AQ266" i="9"/>
  <c r="AI266" i="9"/>
  <c r="AL265" i="9"/>
  <c r="AO264" i="9"/>
  <c r="AR263" i="9"/>
  <c r="AJ263" i="9"/>
  <c r="AM262" i="9"/>
  <c r="AP261" i="9"/>
  <c r="AS260" i="9"/>
  <c r="AK260" i="9"/>
  <c r="AN259" i="9"/>
  <c r="AQ258" i="9"/>
  <c r="AI258" i="9"/>
  <c r="AL257" i="9"/>
  <c r="AO256" i="9"/>
  <c r="AR255" i="9"/>
  <c r="AJ255" i="9"/>
  <c r="AM254" i="9"/>
  <c r="AP253" i="9"/>
  <c r="AS252" i="9"/>
  <c r="AK252" i="9"/>
  <c r="AN251" i="9"/>
  <c r="AQ250" i="9"/>
  <c r="AI250" i="9"/>
  <c r="AL249" i="9"/>
  <c r="AO248" i="9"/>
  <c r="AR247" i="9"/>
  <c r="AJ247" i="9"/>
  <c r="AM246" i="9"/>
  <c r="AP245" i="9"/>
  <c r="AS244" i="9"/>
  <c r="AK244" i="9"/>
  <c r="AN243" i="9"/>
  <c r="AQ242" i="9"/>
  <c r="AI242" i="9"/>
  <c r="AL241" i="9"/>
  <c r="AO240" i="9"/>
  <c r="AR239" i="9"/>
  <c r="AJ239" i="9"/>
  <c r="AM238" i="9"/>
  <c r="AP237" i="9"/>
  <c r="AS236" i="9"/>
  <c r="AK236" i="9"/>
  <c r="AN235" i="9"/>
  <c r="AQ234" i="9"/>
  <c r="AI234" i="9"/>
  <c r="AL233" i="9"/>
  <c r="AO232" i="9"/>
  <c r="AR231" i="9"/>
  <c r="AJ231" i="9"/>
  <c r="AM230" i="9"/>
  <c r="AP229" i="9"/>
  <c r="AS228" i="9"/>
  <c r="AK228" i="9"/>
  <c r="AN227" i="9"/>
  <c r="AQ226" i="9"/>
  <c r="AI226" i="9"/>
  <c r="AL225" i="9"/>
  <c r="AO224" i="9"/>
  <c r="AR223" i="9"/>
  <c r="AJ223" i="9"/>
  <c r="AM222" i="9"/>
  <c r="AP221" i="9"/>
  <c r="AS220" i="9"/>
  <c r="AK220" i="9"/>
  <c r="AN219" i="9"/>
  <c r="AQ218" i="9"/>
  <c r="AI218" i="9"/>
  <c r="AL217" i="9"/>
  <c r="AO216" i="9"/>
  <c r="AR215" i="9"/>
  <c r="AJ215" i="9"/>
  <c r="AM214" i="9"/>
  <c r="AP213" i="9"/>
  <c r="AS212" i="9"/>
  <c r="AK212" i="9"/>
  <c r="AN211" i="9"/>
  <c r="AQ210" i="9"/>
  <c r="AI210" i="9"/>
  <c r="AL209" i="9"/>
  <c r="AO208" i="9"/>
  <c r="AR207" i="9"/>
  <c r="AJ207" i="9"/>
  <c r="AM206" i="9"/>
  <c r="AP205" i="9"/>
  <c r="AS204" i="9"/>
  <c r="AK204" i="9"/>
  <c r="AN203" i="9"/>
  <c r="AQ202" i="9"/>
  <c r="AI202" i="9"/>
  <c r="AL201" i="9"/>
  <c r="AO200" i="9"/>
  <c r="AR199" i="9"/>
  <c r="AJ199" i="9"/>
  <c r="AO221" i="9"/>
  <c r="AJ220" i="9"/>
  <c r="AQ215" i="9"/>
  <c r="AL214" i="9"/>
  <c r="AS209" i="9"/>
  <c r="AN208" i="9"/>
  <c r="AI207" i="9"/>
  <c r="AP202" i="9"/>
  <c r="AK201" i="9"/>
  <c r="AL200" i="9"/>
  <c r="AM197" i="9"/>
  <c r="AS196" i="9"/>
  <c r="AN195" i="9"/>
  <c r="AI194" i="9"/>
  <c r="AO193" i="9"/>
  <c r="AJ192" i="9"/>
  <c r="AR191" i="9"/>
  <c r="AJ191" i="9"/>
  <c r="AM190" i="9"/>
  <c r="AP189" i="9"/>
  <c r="AS188" i="9"/>
  <c r="AK188" i="9"/>
  <c r="AN187" i="9"/>
  <c r="AQ186" i="9"/>
  <c r="AI186" i="9"/>
  <c r="AL185" i="9"/>
  <c r="AO184" i="9"/>
  <c r="AR183" i="9"/>
  <c r="AJ183" i="9"/>
  <c r="AM182" i="9"/>
  <c r="AP181" i="9"/>
  <c r="AS180" i="9"/>
  <c r="AK180" i="9"/>
  <c r="AN179" i="9"/>
  <c r="AQ178" i="9"/>
  <c r="AI178" i="9"/>
  <c r="AL177" i="9"/>
  <c r="AO176" i="9"/>
  <c r="AR175" i="9"/>
  <c r="AJ175" i="9"/>
  <c r="AM174" i="9"/>
  <c r="AP173" i="9"/>
  <c r="AS172" i="9"/>
  <c r="AK172" i="9"/>
  <c r="AN171" i="9"/>
  <c r="AQ170" i="9"/>
  <c r="AI170" i="9"/>
  <c r="AL169" i="9"/>
  <c r="AO168" i="9"/>
  <c r="AR167" i="9"/>
  <c r="AJ167" i="9"/>
  <c r="AM166" i="9"/>
  <c r="AP165" i="9"/>
  <c r="AS164" i="9"/>
  <c r="AK164" i="9"/>
  <c r="AN163" i="9"/>
  <c r="AQ162" i="9"/>
  <c r="AI162" i="9"/>
  <c r="AL161" i="9"/>
  <c r="AO160" i="9"/>
  <c r="AR159" i="9"/>
  <c r="AJ159" i="9"/>
  <c r="AM158" i="9"/>
  <c r="AP157" i="9"/>
  <c r="AS156" i="9"/>
  <c r="AK156" i="9"/>
  <c r="AN155" i="9"/>
  <c r="AQ154" i="9"/>
  <c r="AI154" i="9"/>
  <c r="AL153" i="9"/>
  <c r="AO152" i="9"/>
  <c r="AR151" i="9"/>
  <c r="AJ151" i="9"/>
  <c r="AM150" i="9"/>
  <c r="AP149" i="9"/>
  <c r="AS148" i="9"/>
  <c r="AK148" i="9"/>
  <c r="AN147" i="9"/>
  <c r="AQ146" i="9"/>
  <c r="AI146" i="9"/>
  <c r="AL145" i="9"/>
  <c r="AO144" i="9"/>
  <c r="AR143" i="9"/>
  <c r="AJ143" i="9"/>
  <c r="AM142" i="9"/>
  <c r="AP141" i="9"/>
  <c r="AS140" i="9"/>
  <c r="AK140" i="9"/>
  <c r="AN139" i="9"/>
  <c r="AQ138" i="9"/>
  <c r="AI138" i="9"/>
  <c r="AL137" i="9"/>
  <c r="AO136" i="9"/>
  <c r="AR135" i="9"/>
  <c r="AJ135" i="9"/>
  <c r="AM134" i="9"/>
  <c r="AP133" i="9"/>
  <c r="AS132" i="9"/>
  <c r="AK132" i="9"/>
  <c r="AN131" i="9"/>
  <c r="AQ130" i="9"/>
  <c r="AI130" i="9"/>
  <c r="AL129" i="9"/>
  <c r="AO128" i="9"/>
  <c r="AR127" i="9"/>
  <c r="AJ127" i="9"/>
  <c r="AM126" i="9"/>
  <c r="AP125" i="9"/>
  <c r="AS124" i="9"/>
  <c r="AK124" i="9"/>
  <c r="AN123" i="9"/>
  <c r="AQ122" i="9"/>
  <c r="AI122" i="9"/>
  <c r="AL121" i="9"/>
  <c r="AO120" i="9"/>
  <c r="AR119" i="9"/>
  <c r="AJ119" i="9"/>
  <c r="AM118" i="9"/>
  <c r="AP117" i="9"/>
  <c r="AS116" i="9"/>
  <c r="AK116" i="9"/>
  <c r="AN115" i="9"/>
  <c r="AQ114" i="9"/>
  <c r="AI114" i="9"/>
  <c r="AL113" i="9"/>
  <c r="AO112" i="9"/>
  <c r="AR111" i="9"/>
  <c r="AJ111" i="9"/>
  <c r="AM110" i="9"/>
  <c r="AP109" i="9"/>
  <c r="AS108" i="9"/>
  <c r="AK108" i="9"/>
  <c r="AN107" i="9"/>
  <c r="AQ106" i="9"/>
  <c r="AI106" i="9"/>
  <c r="AL105" i="9"/>
  <c r="AO104" i="9"/>
  <c r="AR103" i="9"/>
  <c r="AJ103" i="9"/>
  <c r="AM102" i="9"/>
  <c r="AK221" i="9"/>
  <c r="AR216" i="9"/>
  <c r="AM215" i="9"/>
  <c r="AO209" i="9"/>
  <c r="AJ208" i="9"/>
  <c r="AQ203" i="9"/>
  <c r="AL202" i="9"/>
  <c r="AJ200" i="9"/>
  <c r="AR198" i="9"/>
  <c r="AL197" i="9"/>
  <c r="AR196" i="9"/>
  <c r="AM195" i="9"/>
  <c r="AR194" i="9"/>
  <c r="AM193" i="9"/>
  <c r="AS192" i="9"/>
  <c r="AQ191" i="9"/>
  <c r="AI191" i="9"/>
  <c r="AL190" i="9"/>
  <c r="AO189" i="9"/>
  <c r="AR188" i="9"/>
  <c r="AJ188" i="9"/>
  <c r="AM187" i="9"/>
  <c r="AP186" i="9"/>
  <c r="AS185" i="9"/>
  <c r="AK185" i="9"/>
  <c r="AN184" i="9"/>
  <c r="AQ183" i="9"/>
  <c r="AI183" i="9"/>
  <c r="AL182" i="9"/>
  <c r="AO181" i="9"/>
  <c r="AR180" i="9"/>
  <c r="AJ180" i="9"/>
  <c r="AM179" i="9"/>
  <c r="AP178" i="9"/>
  <c r="AS177" i="9"/>
  <c r="AK177" i="9"/>
  <c r="AN176" i="9"/>
  <c r="AQ175" i="9"/>
  <c r="AI175" i="9"/>
  <c r="AL174" i="9"/>
  <c r="AO173" i="9"/>
  <c r="AR172" i="9"/>
  <c r="AJ172" i="9"/>
  <c r="AM171" i="9"/>
  <c r="AP170" i="9"/>
  <c r="AS169" i="9"/>
  <c r="AK169" i="9"/>
  <c r="AN168" i="9"/>
  <c r="AQ167" i="9"/>
  <c r="AI167" i="9"/>
  <c r="AL166" i="9"/>
  <c r="AO165" i="9"/>
  <c r="AR164" i="9"/>
  <c r="AJ164" i="9"/>
  <c r="AM163" i="9"/>
  <c r="AP162" i="9"/>
  <c r="AS161" i="9"/>
  <c r="AK161" i="9"/>
  <c r="AN160" i="9"/>
  <c r="AQ159" i="9"/>
  <c r="AI159" i="9"/>
  <c r="AL158" i="9"/>
  <c r="AO157" i="9"/>
  <c r="AR156" i="9"/>
  <c r="AJ156" i="9"/>
  <c r="AM155" i="9"/>
  <c r="AP154" i="9"/>
  <c r="AS153" i="9"/>
  <c r="AK153" i="9"/>
  <c r="AN152" i="9"/>
  <c r="AQ151" i="9"/>
  <c r="AI151" i="9"/>
  <c r="AL150" i="9"/>
  <c r="AO149" i="9"/>
  <c r="AR148" i="9"/>
  <c r="AJ148" i="9"/>
  <c r="AM147" i="9"/>
  <c r="AP146" i="9"/>
  <c r="AS145" i="9"/>
  <c r="AK145" i="9"/>
  <c r="AN144" i="9"/>
  <c r="AQ143" i="9"/>
  <c r="AI143" i="9"/>
  <c r="AL142" i="9"/>
  <c r="AO141" i="9"/>
  <c r="AR140" i="9"/>
  <c r="AJ140" i="9"/>
  <c r="AM139" i="9"/>
  <c r="AP138" i="9"/>
  <c r="AS137" i="9"/>
  <c r="AK137" i="9"/>
  <c r="AN136" i="9"/>
  <c r="AQ135" i="9"/>
  <c r="AI135" i="9"/>
  <c r="AL134" i="9"/>
  <c r="AO133" i="9"/>
  <c r="AR132" i="9"/>
  <c r="AJ132" i="9"/>
  <c r="AM131" i="9"/>
  <c r="AP130" i="9"/>
  <c r="AS129" i="9"/>
  <c r="AK129" i="9"/>
  <c r="AN128" i="9"/>
  <c r="AQ127" i="9"/>
  <c r="AI127" i="9"/>
  <c r="AL126" i="9"/>
  <c r="AO125" i="9"/>
  <c r="AR124" i="9"/>
  <c r="AJ124" i="9"/>
  <c r="AM123" i="9"/>
  <c r="AP122" i="9"/>
  <c r="AS121" i="9"/>
  <c r="AK121" i="9"/>
  <c r="AN120" i="9"/>
  <c r="AQ119" i="9"/>
  <c r="AI119" i="9"/>
  <c r="AL118" i="9"/>
  <c r="AO117" i="9"/>
  <c r="AR116" i="9"/>
  <c r="AJ116" i="9"/>
  <c r="AM115" i="9"/>
  <c r="AP114" i="9"/>
  <c r="AS113" i="9"/>
  <c r="AK113" i="9"/>
  <c r="AN112" i="9"/>
  <c r="AQ111" i="9"/>
  <c r="AI111" i="9"/>
  <c r="AL110" i="9"/>
  <c r="AO109" i="9"/>
  <c r="AR108" i="9"/>
  <c r="AJ108" i="9"/>
  <c r="AM107" i="9"/>
  <c r="AP106" i="9"/>
  <c r="AS105" i="9"/>
  <c r="AK105" i="9"/>
  <c r="AN104" i="9"/>
  <c r="AQ103" i="9"/>
  <c r="AI103" i="9"/>
  <c r="AL102" i="9"/>
  <c r="AS217" i="9"/>
  <c r="AN216" i="9"/>
  <c r="AI215" i="9"/>
  <c r="AP210" i="9"/>
  <c r="AK209" i="9"/>
  <c r="AR204" i="9"/>
  <c r="AM203" i="9"/>
  <c r="AS199" i="9"/>
  <c r="AP198" i="9"/>
  <c r="AK197" i="9"/>
  <c r="AP196" i="9"/>
  <c r="AK195" i="9"/>
  <c r="AQ194" i="9"/>
  <c r="AL193" i="9"/>
  <c r="AR192" i="9"/>
  <c r="AP191" i="9"/>
  <c r="AS190" i="9"/>
  <c r="AK190" i="9"/>
  <c r="AN189" i="9"/>
  <c r="AQ188" i="9"/>
  <c r="AI188" i="9"/>
  <c r="AL187" i="9"/>
  <c r="AO186" i="9"/>
  <c r="AR185" i="9"/>
  <c r="AJ185" i="9"/>
  <c r="AM184" i="9"/>
  <c r="AP183" i="9"/>
  <c r="AS182" i="9"/>
  <c r="AK182" i="9"/>
  <c r="AN181" i="9"/>
  <c r="AQ180" i="9"/>
  <c r="AI180" i="9"/>
  <c r="AL179" i="9"/>
  <c r="AO178" i="9"/>
  <c r="AR177" i="9"/>
  <c r="AJ177" i="9"/>
  <c r="AM176" i="9"/>
  <c r="AP175" i="9"/>
  <c r="AS174" i="9"/>
  <c r="AK174" i="9"/>
  <c r="AN173" i="9"/>
  <c r="AQ172" i="9"/>
  <c r="AI172" i="9"/>
  <c r="AL171" i="9"/>
  <c r="AO170" i="9"/>
  <c r="AR169" i="9"/>
  <c r="AJ169" i="9"/>
  <c r="AM168" i="9"/>
  <c r="AP167" i="9"/>
  <c r="AS166" i="9"/>
  <c r="AK166" i="9"/>
  <c r="AN165" i="9"/>
  <c r="AQ164" i="9"/>
  <c r="AI164" i="9"/>
  <c r="AL163" i="9"/>
  <c r="AO162" i="9"/>
  <c r="AR161" i="9"/>
  <c r="AJ161" i="9"/>
  <c r="AM160" i="9"/>
  <c r="AP159" i="9"/>
  <c r="AS158" i="9"/>
  <c r="AK158" i="9"/>
  <c r="AN157" i="9"/>
  <c r="AQ156" i="9"/>
  <c r="AI156" i="9"/>
  <c r="AL155" i="9"/>
  <c r="AO154" i="9"/>
  <c r="AR153" i="9"/>
  <c r="AJ153" i="9"/>
  <c r="AM152" i="9"/>
  <c r="AP151" i="9"/>
  <c r="AS150" i="9"/>
  <c r="AK150" i="9"/>
  <c r="AN149" i="9"/>
  <c r="AQ148" i="9"/>
  <c r="AI148" i="9"/>
  <c r="AL147" i="9"/>
  <c r="AO146" i="9"/>
  <c r="AR145" i="9"/>
  <c r="AJ145" i="9"/>
  <c r="AM144" i="9"/>
  <c r="AP143" i="9"/>
  <c r="AS142" i="9"/>
  <c r="AK142" i="9"/>
  <c r="AN141" i="9"/>
  <c r="AQ140" i="9"/>
  <c r="AI140" i="9"/>
  <c r="AL139" i="9"/>
  <c r="AO138" i="9"/>
  <c r="AR137" i="9"/>
  <c r="AJ137" i="9"/>
  <c r="AM136" i="9"/>
  <c r="AP135" i="9"/>
  <c r="AS134" i="9"/>
  <c r="AK134" i="9"/>
  <c r="AN133" i="9"/>
  <c r="AQ132" i="9"/>
  <c r="AI132" i="9"/>
  <c r="AL131" i="9"/>
  <c r="AO130" i="9"/>
  <c r="AR129" i="9"/>
  <c r="AJ129" i="9"/>
  <c r="AM128" i="9"/>
  <c r="AP127" i="9"/>
  <c r="AS126" i="9"/>
  <c r="AK126" i="9"/>
  <c r="AN125" i="9"/>
  <c r="AQ124" i="9"/>
  <c r="AI124" i="9"/>
  <c r="AL123" i="9"/>
  <c r="AO122" i="9"/>
  <c r="AR121" i="9"/>
  <c r="AJ121" i="9"/>
  <c r="AM120" i="9"/>
  <c r="AP119" i="9"/>
  <c r="AS118" i="9"/>
  <c r="AK118" i="9"/>
  <c r="AN117" i="9"/>
  <c r="AQ116" i="9"/>
  <c r="AI116" i="9"/>
  <c r="AL115" i="9"/>
  <c r="AO114" i="9"/>
  <c r="AR113" i="9"/>
  <c r="AJ113" i="9"/>
  <c r="AM112" i="9"/>
  <c r="AP111" i="9"/>
  <c r="AS110" i="9"/>
  <c r="AK110" i="9"/>
  <c r="AN109" i="9"/>
  <c r="AQ108" i="9"/>
  <c r="AI108" i="9"/>
  <c r="AL107" i="9"/>
  <c r="AO106" i="9"/>
  <c r="AO217" i="9"/>
  <c r="AJ216" i="9"/>
  <c r="AQ211" i="9"/>
  <c r="AL210" i="9"/>
  <c r="AS205" i="9"/>
  <c r="AN204" i="9"/>
  <c r="AI203" i="9"/>
  <c r="AQ199" i="9"/>
  <c r="AN198" i="9"/>
  <c r="AI197" i="9"/>
  <c r="AO196" i="9"/>
  <c r="AJ195" i="9"/>
  <c r="AP194" i="9"/>
  <c r="AK193" i="9"/>
  <c r="AP192" i="9"/>
  <c r="AO191" i="9"/>
  <c r="AR190" i="9"/>
  <c r="AJ190" i="9"/>
  <c r="AM189" i="9"/>
  <c r="AP188" i="9"/>
  <c r="AS187" i="9"/>
  <c r="AK187" i="9"/>
  <c r="AN186" i="9"/>
  <c r="AQ185" i="9"/>
  <c r="AI185" i="9"/>
  <c r="AL184" i="9"/>
  <c r="AO183" i="9"/>
  <c r="AR182" i="9"/>
  <c r="AJ182" i="9"/>
  <c r="AM181" i="9"/>
  <c r="AP180" i="9"/>
  <c r="AS179" i="9"/>
  <c r="AK179" i="9"/>
  <c r="AN178" i="9"/>
  <c r="AQ177" i="9"/>
  <c r="AI177" i="9"/>
  <c r="AL176" i="9"/>
  <c r="AO175" i="9"/>
  <c r="AR174" i="9"/>
  <c r="AJ174" i="9"/>
  <c r="AM173" i="9"/>
  <c r="AP172" i="9"/>
  <c r="AS171" i="9"/>
  <c r="AK171" i="9"/>
  <c r="AN170" i="9"/>
  <c r="AQ169" i="9"/>
  <c r="AI169" i="9"/>
  <c r="AL168" i="9"/>
  <c r="AO167" i="9"/>
  <c r="AR166" i="9"/>
  <c r="AJ166" i="9"/>
  <c r="AM165" i="9"/>
  <c r="AP164" i="9"/>
  <c r="AS163" i="9"/>
  <c r="AK163" i="9"/>
  <c r="AN162" i="9"/>
  <c r="AQ161" i="9"/>
  <c r="AI161" i="9"/>
  <c r="AL160" i="9"/>
  <c r="AO159" i="9"/>
  <c r="AR158" i="9"/>
  <c r="AJ158" i="9"/>
  <c r="AM157" i="9"/>
  <c r="AP156" i="9"/>
  <c r="AS155" i="9"/>
  <c r="AK155" i="9"/>
  <c r="AN154" i="9"/>
  <c r="AQ153" i="9"/>
  <c r="AI153" i="9"/>
  <c r="AL152" i="9"/>
  <c r="AO151" i="9"/>
  <c r="AR150" i="9"/>
  <c r="AJ150" i="9"/>
  <c r="AM149" i="9"/>
  <c r="AP148" i="9"/>
  <c r="AS147" i="9"/>
  <c r="AK147" i="9"/>
  <c r="AN146" i="9"/>
  <c r="AQ145" i="9"/>
  <c r="AI145" i="9"/>
  <c r="AL144" i="9"/>
  <c r="AO143" i="9"/>
  <c r="AR142" i="9"/>
  <c r="AJ142" i="9"/>
  <c r="AM141" i="9"/>
  <c r="AP140" i="9"/>
  <c r="AS139" i="9"/>
  <c r="AK139" i="9"/>
  <c r="AN138" i="9"/>
  <c r="AQ137" i="9"/>
  <c r="AI137" i="9"/>
  <c r="AL136" i="9"/>
  <c r="AO135" i="9"/>
  <c r="AR134" i="9"/>
  <c r="AJ134" i="9"/>
  <c r="AM133" i="9"/>
  <c r="AP132" i="9"/>
  <c r="AS131" i="9"/>
  <c r="AK131" i="9"/>
  <c r="AN130" i="9"/>
  <c r="AQ129" i="9"/>
  <c r="AI129" i="9"/>
  <c r="AL128" i="9"/>
  <c r="AO127" i="9"/>
  <c r="AR126" i="9"/>
  <c r="AJ126" i="9"/>
  <c r="AM125" i="9"/>
  <c r="AP124" i="9"/>
  <c r="AS123" i="9"/>
  <c r="AK123" i="9"/>
  <c r="AN122" i="9"/>
  <c r="AQ121" i="9"/>
  <c r="AI121" i="9"/>
  <c r="AL120" i="9"/>
  <c r="AO119" i="9"/>
  <c r="AR118" i="9"/>
  <c r="AJ118" i="9"/>
  <c r="AM117" i="9"/>
  <c r="AP116" i="9"/>
  <c r="AS115" i="9"/>
  <c r="AK115" i="9"/>
  <c r="AN114" i="9"/>
  <c r="AQ113" i="9"/>
  <c r="AI113" i="9"/>
  <c r="AL112" i="9"/>
  <c r="AO111" i="9"/>
  <c r="AR110" i="9"/>
  <c r="AJ110" i="9"/>
  <c r="AM109" i="9"/>
  <c r="AP108" i="9"/>
  <c r="AS107" i="9"/>
  <c r="AK107" i="9"/>
  <c r="AP218" i="9"/>
  <c r="AK217" i="9"/>
  <c r="AR212" i="9"/>
  <c r="AM211" i="9"/>
  <c r="AO205" i="9"/>
  <c r="AJ204" i="9"/>
  <c r="AO199" i="9"/>
  <c r="AM198" i="9"/>
  <c r="AS197" i="9"/>
  <c r="AN196" i="9"/>
  <c r="AS195" i="9"/>
  <c r="AI195" i="9"/>
  <c r="AN194" i="9"/>
  <c r="AI193" i="9"/>
  <c r="AO192" i="9"/>
  <c r="AN191" i="9"/>
  <c r="AQ190" i="9"/>
  <c r="AI190" i="9"/>
  <c r="AL189" i="9"/>
  <c r="AO188" i="9"/>
  <c r="AR187" i="9"/>
  <c r="AJ187" i="9"/>
  <c r="AM186" i="9"/>
  <c r="AP185" i="9"/>
  <c r="AS184" i="9"/>
  <c r="AK184" i="9"/>
  <c r="AN183" i="9"/>
  <c r="AQ182" i="9"/>
  <c r="AI182" i="9"/>
  <c r="AL181" i="9"/>
  <c r="AO180" i="9"/>
  <c r="AR179" i="9"/>
  <c r="AJ179" i="9"/>
  <c r="AM178" i="9"/>
  <c r="AP177" i="9"/>
  <c r="AS176" i="9"/>
  <c r="AK176" i="9"/>
  <c r="AN175" i="9"/>
  <c r="AQ174" i="9"/>
  <c r="AI174" i="9"/>
  <c r="AL173" i="9"/>
  <c r="AO172" i="9"/>
  <c r="AR171" i="9"/>
  <c r="AJ171" i="9"/>
  <c r="AM170" i="9"/>
  <c r="AP169" i="9"/>
  <c r="AS168" i="9"/>
  <c r="AK168" i="9"/>
  <c r="AN167" i="9"/>
  <c r="AQ166" i="9"/>
  <c r="AI166" i="9"/>
  <c r="AL165" i="9"/>
  <c r="AO164" i="9"/>
  <c r="AR163" i="9"/>
  <c r="AJ163" i="9"/>
  <c r="AM162" i="9"/>
  <c r="AP161" i="9"/>
  <c r="AS160" i="9"/>
  <c r="AK160" i="9"/>
  <c r="AN159" i="9"/>
  <c r="AQ158" i="9"/>
  <c r="AI158" i="9"/>
  <c r="AL157" i="9"/>
  <c r="AO156" i="9"/>
  <c r="AR155" i="9"/>
  <c r="AJ155" i="9"/>
  <c r="AM154" i="9"/>
  <c r="AP153" i="9"/>
  <c r="AS152" i="9"/>
  <c r="AK152" i="9"/>
  <c r="AN151" i="9"/>
  <c r="AQ150" i="9"/>
  <c r="AI150" i="9"/>
  <c r="AL149" i="9"/>
  <c r="AO148" i="9"/>
  <c r="AR147" i="9"/>
  <c r="AJ147" i="9"/>
  <c r="AM146" i="9"/>
  <c r="AP145" i="9"/>
  <c r="AS144" i="9"/>
  <c r="AK144" i="9"/>
  <c r="AN143" i="9"/>
  <c r="AQ142" i="9"/>
  <c r="AI142" i="9"/>
  <c r="AL141" i="9"/>
  <c r="AO140" i="9"/>
  <c r="AR139" i="9"/>
  <c r="AJ139" i="9"/>
  <c r="AM138" i="9"/>
  <c r="AP137" i="9"/>
  <c r="AS136" i="9"/>
  <c r="AK136" i="9"/>
  <c r="AN135" i="9"/>
  <c r="AQ134" i="9"/>
  <c r="AI134" i="9"/>
  <c r="AL133" i="9"/>
  <c r="AO132" i="9"/>
  <c r="AR131" i="9"/>
  <c r="AJ131" i="9"/>
  <c r="AM130" i="9"/>
  <c r="AP129" i="9"/>
  <c r="AS128" i="9"/>
  <c r="AK128" i="9"/>
  <c r="AN127" i="9"/>
  <c r="AQ126" i="9"/>
  <c r="AI126" i="9"/>
  <c r="AL125" i="9"/>
  <c r="AO124" i="9"/>
  <c r="AR123" i="9"/>
  <c r="AJ123" i="9"/>
  <c r="AM122" i="9"/>
  <c r="AP121" i="9"/>
  <c r="AS120" i="9"/>
  <c r="AK120" i="9"/>
  <c r="AN119" i="9"/>
  <c r="AQ118" i="9"/>
  <c r="AI118" i="9"/>
  <c r="AL117" i="9"/>
  <c r="AO116" i="9"/>
  <c r="AR115" i="9"/>
  <c r="AJ115" i="9"/>
  <c r="AM114" i="9"/>
  <c r="AP113" i="9"/>
  <c r="AS112" i="9"/>
  <c r="AK112" i="9"/>
  <c r="AN111" i="9"/>
  <c r="AQ110" i="9"/>
  <c r="AI110" i="9"/>
  <c r="AL109" i="9"/>
  <c r="AO108" i="9"/>
  <c r="AR107" i="9"/>
  <c r="AJ107" i="9"/>
  <c r="AM106" i="9"/>
  <c r="AQ219" i="9"/>
  <c r="AL218" i="9"/>
  <c r="AS213" i="9"/>
  <c r="AN212" i="9"/>
  <c r="AI211" i="9"/>
  <c r="AP206" i="9"/>
  <c r="AK205" i="9"/>
  <c r="AM199" i="9"/>
  <c r="AL198" i="9"/>
  <c r="AQ197" i="9"/>
  <c r="AL196" i="9"/>
  <c r="AR195" i="9"/>
  <c r="AM194" i="9"/>
  <c r="AS193" i="9"/>
  <c r="AN192" i="9"/>
  <c r="AM191" i="9"/>
  <c r="AP190" i="9"/>
  <c r="AS189" i="9"/>
  <c r="AK189" i="9"/>
  <c r="AN188" i="9"/>
  <c r="AQ187" i="9"/>
  <c r="AI187" i="9"/>
  <c r="AL186" i="9"/>
  <c r="AO185" i="9"/>
  <c r="AR184" i="9"/>
  <c r="AJ184" i="9"/>
  <c r="AM183" i="9"/>
  <c r="AP182" i="9"/>
  <c r="AS181" i="9"/>
  <c r="AK181" i="9"/>
  <c r="AN180" i="9"/>
  <c r="AQ179" i="9"/>
  <c r="AI179" i="9"/>
  <c r="AL178" i="9"/>
  <c r="AO177" i="9"/>
  <c r="AR176" i="9"/>
  <c r="AJ176" i="9"/>
  <c r="AM175" i="9"/>
  <c r="AP174" i="9"/>
  <c r="AS173" i="9"/>
  <c r="AK173" i="9"/>
  <c r="AN172" i="9"/>
  <c r="AQ171" i="9"/>
  <c r="AI171" i="9"/>
  <c r="AL170" i="9"/>
  <c r="AO169" i="9"/>
  <c r="AR168" i="9"/>
  <c r="AJ168" i="9"/>
  <c r="AM167" i="9"/>
  <c r="AP166" i="9"/>
  <c r="AS165" i="9"/>
  <c r="AK165" i="9"/>
  <c r="AN164" i="9"/>
  <c r="AQ163" i="9"/>
  <c r="AI163" i="9"/>
  <c r="AL162" i="9"/>
  <c r="AO161" i="9"/>
  <c r="AR160" i="9"/>
  <c r="AJ160" i="9"/>
  <c r="AM159" i="9"/>
  <c r="AP158" i="9"/>
  <c r="AS157" i="9"/>
  <c r="AK157" i="9"/>
  <c r="AN156" i="9"/>
  <c r="AQ155" i="9"/>
  <c r="AI155" i="9"/>
  <c r="AL154" i="9"/>
  <c r="AO153" i="9"/>
  <c r="AR152" i="9"/>
  <c r="AJ152" i="9"/>
  <c r="AM151" i="9"/>
  <c r="AP150" i="9"/>
  <c r="AS149" i="9"/>
  <c r="AK149" i="9"/>
  <c r="AN148" i="9"/>
  <c r="AQ147" i="9"/>
  <c r="AI147" i="9"/>
  <c r="AL146" i="9"/>
  <c r="AO145" i="9"/>
  <c r="AR144" i="9"/>
  <c r="AJ144" i="9"/>
  <c r="AM143" i="9"/>
  <c r="AP142" i="9"/>
  <c r="AS141" i="9"/>
  <c r="AK141" i="9"/>
  <c r="AN140" i="9"/>
  <c r="AQ139" i="9"/>
  <c r="AI139" i="9"/>
  <c r="AL138" i="9"/>
  <c r="AO137" i="9"/>
  <c r="AR136" i="9"/>
  <c r="AJ136" i="9"/>
  <c r="AM135" i="9"/>
  <c r="AP134" i="9"/>
  <c r="AS133" i="9"/>
  <c r="AK133" i="9"/>
  <c r="AN132" i="9"/>
  <c r="AQ131" i="9"/>
  <c r="AI131" i="9"/>
  <c r="AL130" i="9"/>
  <c r="AO129" i="9"/>
  <c r="AR128" i="9"/>
  <c r="AJ128" i="9"/>
  <c r="AM127" i="9"/>
  <c r="AP126" i="9"/>
  <c r="AS125" i="9"/>
  <c r="AK125" i="9"/>
  <c r="AN124" i="9"/>
  <c r="AQ123" i="9"/>
  <c r="AI123" i="9"/>
  <c r="AL122" i="9"/>
  <c r="AO121" i="9"/>
  <c r="AR120" i="9"/>
  <c r="AJ120" i="9"/>
  <c r="AM119" i="9"/>
  <c r="AP118" i="9"/>
  <c r="AS117" i="9"/>
  <c r="AK117" i="9"/>
  <c r="AN116" i="9"/>
  <c r="AQ115" i="9"/>
  <c r="AI115" i="9"/>
  <c r="AL114" i="9"/>
  <c r="AO113" i="9"/>
  <c r="AR112" i="9"/>
  <c r="AJ112" i="9"/>
  <c r="AM111" i="9"/>
  <c r="AP110" i="9"/>
  <c r="AS109" i="9"/>
  <c r="AK109" i="9"/>
  <c r="AN108" i="9"/>
  <c r="AQ107" i="9"/>
  <c r="AI107" i="9"/>
  <c r="AL106" i="9"/>
  <c r="AO105" i="9"/>
  <c r="AR104" i="9"/>
  <c r="AJ104" i="9"/>
  <c r="AM103" i="9"/>
  <c r="AP102" i="9"/>
  <c r="AR220" i="9"/>
  <c r="AM219" i="9"/>
  <c r="AO213" i="9"/>
  <c r="AJ212" i="9"/>
  <c r="AQ207" i="9"/>
  <c r="AL206" i="9"/>
  <c r="AS201" i="9"/>
  <c r="AR200" i="9"/>
  <c r="AK199" i="9"/>
  <c r="AJ198" i="9"/>
  <c r="AP197" i="9"/>
  <c r="AK196" i="9"/>
  <c r="AQ195" i="9"/>
  <c r="AL194" i="9"/>
  <c r="AQ193" i="9"/>
  <c r="AL192" i="9"/>
  <c r="AL191" i="9"/>
  <c r="AO190" i="9"/>
  <c r="AR189" i="9"/>
  <c r="AJ189" i="9"/>
  <c r="AM188" i="9"/>
  <c r="AP187" i="9"/>
  <c r="AS186" i="9"/>
  <c r="AK186" i="9"/>
  <c r="AN185" i="9"/>
  <c r="AQ184" i="9"/>
  <c r="AI184" i="9"/>
  <c r="AL183" i="9"/>
  <c r="AO182" i="9"/>
  <c r="AR181" i="9"/>
  <c r="AJ181" i="9"/>
  <c r="AM180" i="9"/>
  <c r="AP179" i="9"/>
  <c r="AS178" i="9"/>
  <c r="AK178" i="9"/>
  <c r="AN177" i="9"/>
  <c r="AQ176" i="9"/>
  <c r="AI176" i="9"/>
  <c r="AL175" i="9"/>
  <c r="AO174" i="9"/>
  <c r="AR173" i="9"/>
  <c r="AJ173" i="9"/>
  <c r="AM172" i="9"/>
  <c r="AP171" i="9"/>
  <c r="AS170" i="9"/>
  <c r="AK170" i="9"/>
  <c r="AN169" i="9"/>
  <c r="AQ168" i="9"/>
  <c r="AI168" i="9"/>
  <c r="AL167" i="9"/>
  <c r="AO166" i="9"/>
  <c r="AR165" i="9"/>
  <c r="AJ165" i="9"/>
  <c r="AM164" i="9"/>
  <c r="AP163" i="9"/>
  <c r="AS162" i="9"/>
  <c r="AK162" i="9"/>
  <c r="AN161" i="9"/>
  <c r="AQ160" i="9"/>
  <c r="AI160" i="9"/>
  <c r="AL159" i="9"/>
  <c r="AO158" i="9"/>
  <c r="AR157" i="9"/>
  <c r="AJ157" i="9"/>
  <c r="AM156" i="9"/>
  <c r="AP155" i="9"/>
  <c r="AS154" i="9"/>
  <c r="AK154" i="9"/>
  <c r="AN153" i="9"/>
  <c r="AQ152" i="9"/>
  <c r="AI152" i="9"/>
  <c r="AL151" i="9"/>
  <c r="AO150" i="9"/>
  <c r="AR149" i="9"/>
  <c r="AJ149" i="9"/>
  <c r="AM148" i="9"/>
  <c r="AP147" i="9"/>
  <c r="AS146" i="9"/>
  <c r="AK146" i="9"/>
  <c r="AN145" i="9"/>
  <c r="AQ144" i="9"/>
  <c r="AI144" i="9"/>
  <c r="AL143" i="9"/>
  <c r="AO142" i="9"/>
  <c r="AR141" i="9"/>
  <c r="AJ141" i="9"/>
  <c r="AM140" i="9"/>
  <c r="AP139" i="9"/>
  <c r="AS138" i="9"/>
  <c r="AK138" i="9"/>
  <c r="AN137" i="9"/>
  <c r="AQ136" i="9"/>
  <c r="AI136" i="9"/>
  <c r="AL135" i="9"/>
  <c r="AO134" i="9"/>
  <c r="AR133" i="9"/>
  <c r="AJ133" i="9"/>
  <c r="AM132" i="9"/>
  <c r="AP131" i="9"/>
  <c r="AS130" i="9"/>
  <c r="AK130" i="9"/>
  <c r="AN129" i="9"/>
  <c r="AQ128" i="9"/>
  <c r="AI128" i="9"/>
  <c r="AL127" i="9"/>
  <c r="AO126" i="9"/>
  <c r="AR125" i="9"/>
  <c r="AJ125" i="9"/>
  <c r="AM124" i="9"/>
  <c r="AP123" i="9"/>
  <c r="AS122" i="9"/>
  <c r="AK122" i="9"/>
  <c r="AN121" i="9"/>
  <c r="AQ120" i="9"/>
  <c r="AI120" i="9"/>
  <c r="AL119" i="9"/>
  <c r="AO118" i="9"/>
  <c r="AR117" i="9"/>
  <c r="AJ117" i="9"/>
  <c r="AM116" i="9"/>
  <c r="AP115" i="9"/>
  <c r="AS114" i="9"/>
  <c r="AK114" i="9"/>
  <c r="AN113" i="9"/>
  <c r="AN220" i="9"/>
  <c r="AI219" i="9"/>
  <c r="AP214" i="9"/>
  <c r="AK213" i="9"/>
  <c r="AR208" i="9"/>
  <c r="AM207" i="9"/>
  <c r="AO201" i="9"/>
  <c r="AN200" i="9"/>
  <c r="AI199" i="9"/>
  <c r="AI198" i="9"/>
  <c r="AO197" i="9"/>
  <c r="AJ196" i="9"/>
  <c r="AO195" i="9"/>
  <c r="AJ194" i="9"/>
  <c r="AP193" i="9"/>
  <c r="AK192" i="9"/>
  <c r="AS191" i="9"/>
  <c r="AK191" i="9"/>
  <c r="AN190" i="9"/>
  <c r="AQ189" i="9"/>
  <c r="AI189" i="9"/>
  <c r="AL188" i="9"/>
  <c r="AO187" i="9"/>
  <c r="AR186" i="9"/>
  <c r="AJ186" i="9"/>
  <c r="AM185" i="9"/>
  <c r="AP184" i="9"/>
  <c r="AS183" i="9"/>
  <c r="AK183" i="9"/>
  <c r="AN182" i="9"/>
  <c r="AQ181" i="9"/>
  <c r="AI181" i="9"/>
  <c r="AL180" i="9"/>
  <c r="AO179" i="9"/>
  <c r="AR178" i="9"/>
  <c r="AJ178" i="9"/>
  <c r="AM177" i="9"/>
  <c r="AP176" i="9"/>
  <c r="AS175" i="9"/>
  <c r="AK175" i="9"/>
  <c r="AN174" i="9"/>
  <c r="AQ173" i="9"/>
  <c r="AI173" i="9"/>
  <c r="AL172" i="9"/>
  <c r="AO171" i="9"/>
  <c r="AR170" i="9"/>
  <c r="AJ170" i="9"/>
  <c r="AM169" i="9"/>
  <c r="AP168" i="9"/>
  <c r="AS167" i="9"/>
  <c r="AK167" i="9"/>
  <c r="AN166" i="9"/>
  <c r="AQ165" i="9"/>
  <c r="AI165" i="9"/>
  <c r="AL164" i="9"/>
  <c r="AO163" i="9"/>
  <c r="AR162" i="9"/>
  <c r="AJ162" i="9"/>
  <c r="AM161" i="9"/>
  <c r="AP160" i="9"/>
  <c r="AS159" i="9"/>
  <c r="AK159" i="9"/>
  <c r="AN158" i="9"/>
  <c r="AQ157" i="9"/>
  <c r="AI157" i="9"/>
  <c r="AL156" i="9"/>
  <c r="AO155" i="9"/>
  <c r="AR154" i="9"/>
  <c r="AJ154" i="9"/>
  <c r="AM153" i="9"/>
  <c r="AP152" i="9"/>
  <c r="AS151" i="9"/>
  <c r="AK151" i="9"/>
  <c r="AN150" i="9"/>
  <c r="AQ149" i="9"/>
  <c r="AI149" i="9"/>
  <c r="AL148" i="9"/>
  <c r="AO147" i="9"/>
  <c r="AR146" i="9"/>
  <c r="AJ146" i="9"/>
  <c r="AM145" i="9"/>
  <c r="AP144" i="9"/>
  <c r="AS143" i="9"/>
  <c r="AK143" i="9"/>
  <c r="AN142" i="9"/>
  <c r="AQ141" i="9"/>
  <c r="AI141" i="9"/>
  <c r="AL140" i="9"/>
  <c r="AO139" i="9"/>
  <c r="AR138" i="9"/>
  <c r="AJ138" i="9"/>
  <c r="AM137" i="9"/>
  <c r="AP136" i="9"/>
  <c r="AS135" i="9"/>
  <c r="AK135" i="9"/>
  <c r="AN134" i="9"/>
  <c r="AQ133" i="9"/>
  <c r="AI133" i="9"/>
  <c r="AL132" i="9"/>
  <c r="AO131" i="9"/>
  <c r="AR130" i="9"/>
  <c r="AJ130" i="9"/>
  <c r="AM129" i="9"/>
  <c r="AP128" i="9"/>
  <c r="AS127" i="9"/>
  <c r="AK127" i="9"/>
  <c r="AN126" i="9"/>
  <c r="AQ125" i="9"/>
  <c r="AI125" i="9"/>
  <c r="AL124" i="9"/>
  <c r="AO123" i="9"/>
  <c r="AR122" i="9"/>
  <c r="AJ122" i="9"/>
  <c r="AM121" i="9"/>
  <c r="AP120" i="9"/>
  <c r="AS119" i="9"/>
  <c r="AK119" i="9"/>
  <c r="AN118" i="9"/>
  <c r="AQ117" i="9"/>
  <c r="AI117" i="9"/>
  <c r="AL116" i="9"/>
  <c r="AO115" i="9"/>
  <c r="AR114" i="9"/>
  <c r="AJ114" i="9"/>
  <c r="AM113" i="9"/>
  <c r="AP112" i="9"/>
  <c r="AS111" i="9"/>
  <c r="AK111" i="9"/>
  <c r="AN110" i="9"/>
  <c r="AQ109" i="9"/>
  <c r="AI109" i="9"/>
  <c r="AL108" i="9"/>
  <c r="AO107" i="9"/>
  <c r="AK11" i="9"/>
  <c r="W12" i="9"/>
  <c r="AE12" i="9"/>
  <c r="AM12" i="9"/>
  <c r="T13" i="9"/>
  <c r="AB13" i="9"/>
  <c r="AJ13" i="9"/>
  <c r="AR13" i="9"/>
  <c r="Y14" i="9"/>
  <c r="AG14" i="9"/>
  <c r="AO14" i="9"/>
  <c r="V15" i="9"/>
  <c r="AD15" i="9"/>
  <c r="AL15" i="9"/>
  <c r="AA16" i="9"/>
  <c r="AI16" i="9"/>
  <c r="AQ16" i="9"/>
  <c r="X17" i="9"/>
  <c r="AF17" i="9"/>
  <c r="AN17" i="9"/>
  <c r="U18" i="9"/>
  <c r="AC18" i="9"/>
  <c r="AK18" i="9"/>
  <c r="AS18" i="9"/>
  <c r="AP19" i="9"/>
  <c r="W20" i="9"/>
  <c r="AE20" i="9"/>
  <c r="AM20" i="9"/>
  <c r="T21" i="9"/>
  <c r="AB21" i="9"/>
  <c r="AJ21" i="9"/>
  <c r="AR21" i="9"/>
  <c r="Y22" i="9"/>
  <c r="AG22" i="9"/>
  <c r="AO22" i="9"/>
  <c r="V23" i="9"/>
  <c r="AD23" i="9"/>
  <c r="AL23" i="9"/>
  <c r="AA24" i="9"/>
  <c r="AI24" i="9"/>
  <c r="AQ24" i="9"/>
  <c r="X25" i="9"/>
  <c r="AF25" i="9"/>
  <c r="AN25" i="9"/>
  <c r="U26" i="9"/>
  <c r="AC26" i="9"/>
  <c r="AK26" i="9"/>
  <c r="AS26" i="9"/>
  <c r="AP27" i="9"/>
  <c r="W28" i="9"/>
  <c r="AE28" i="9"/>
  <c r="AM28" i="9"/>
  <c r="T29" i="9"/>
  <c r="AB29" i="9"/>
  <c r="AJ29" i="9"/>
  <c r="AR29" i="9"/>
  <c r="Y30" i="9"/>
  <c r="AG30" i="9"/>
  <c r="AO30" i="9"/>
  <c r="V31" i="9"/>
  <c r="AD31" i="9"/>
  <c r="AL31" i="9"/>
  <c r="AA32" i="9"/>
  <c r="AI32" i="9"/>
  <c r="AQ32" i="9"/>
  <c r="X33" i="9"/>
  <c r="AF33" i="9"/>
  <c r="AN33" i="9"/>
  <c r="U34" i="9"/>
  <c r="AC34" i="9"/>
  <c r="AK34" i="9"/>
  <c r="AS34" i="9"/>
  <c r="AP35" i="9"/>
  <c r="W36" i="9"/>
  <c r="AE36" i="9"/>
  <c r="AM36" i="9"/>
  <c r="T37" i="9"/>
  <c r="AB37" i="9"/>
  <c r="AJ37" i="9"/>
  <c r="AR37" i="9"/>
  <c r="Y38" i="9"/>
  <c r="AG38" i="9"/>
  <c r="AO38" i="9"/>
  <c r="V39" i="9"/>
  <c r="AD39" i="9"/>
  <c r="AL39" i="9"/>
  <c r="AA40" i="9"/>
  <c r="AI40" i="9"/>
  <c r="AQ40" i="9"/>
  <c r="X41" i="9"/>
  <c r="AF41" i="9"/>
  <c r="AN41" i="9"/>
  <c r="U42" i="9"/>
  <c r="AC42" i="9"/>
  <c r="AK42" i="9"/>
  <c r="AS42" i="9"/>
  <c r="AP43" i="9"/>
  <c r="W44" i="9"/>
  <c r="AE44" i="9"/>
  <c r="AM44" i="9"/>
  <c r="T45" i="9"/>
  <c r="AB45" i="9"/>
  <c r="AJ45" i="9"/>
  <c r="AR45" i="9"/>
  <c r="Y46" i="9"/>
  <c r="AG46" i="9"/>
  <c r="AO46" i="9"/>
  <c r="V47" i="9"/>
  <c r="AD47" i="9"/>
  <c r="AL47" i="9"/>
  <c r="AA48" i="9"/>
  <c r="AI48" i="9"/>
  <c r="AQ48" i="9"/>
  <c r="X49" i="9"/>
  <c r="AF49" i="9"/>
  <c r="AN49" i="9"/>
  <c r="U50" i="9"/>
  <c r="AC50" i="9"/>
  <c r="AK50" i="9"/>
  <c r="AS50" i="9"/>
  <c r="AP51" i="9"/>
  <c r="W52" i="9"/>
  <c r="AE52" i="9"/>
  <c r="AM52" i="9"/>
  <c r="T53" i="9"/>
  <c r="AB53" i="9"/>
  <c r="AJ53" i="9"/>
  <c r="AR53" i="9"/>
  <c r="Y54" i="9"/>
  <c r="AG54" i="9"/>
  <c r="AO54" i="9"/>
  <c r="V55" i="9"/>
  <c r="AD55" i="9"/>
  <c r="AL55" i="9"/>
  <c r="AA56" i="9"/>
  <c r="AI56" i="9"/>
  <c r="AQ56" i="9"/>
  <c r="X57" i="9"/>
  <c r="AF57" i="9"/>
  <c r="AN57" i="9"/>
  <c r="U58" i="9"/>
  <c r="AC58" i="9"/>
  <c r="AK58" i="9"/>
  <c r="AS58" i="9"/>
  <c r="AP59" i="9"/>
  <c r="W60" i="9"/>
  <c r="AE60" i="9"/>
  <c r="AM60" i="9"/>
  <c r="T61" i="9"/>
  <c r="AB61" i="9"/>
  <c r="AJ61" i="9"/>
  <c r="AR61" i="9"/>
  <c r="Y62" i="9"/>
  <c r="AG62" i="9"/>
  <c r="AO62" i="9"/>
  <c r="V63" i="9"/>
  <c r="AD63" i="9"/>
  <c r="AL63" i="9"/>
  <c r="AA64" i="9"/>
  <c r="AI64" i="9"/>
  <c r="AQ64" i="9"/>
  <c r="X65" i="9"/>
  <c r="AF65" i="9"/>
  <c r="AN65" i="9"/>
  <c r="U66" i="9"/>
  <c r="AC66" i="9"/>
  <c r="AK66" i="9"/>
  <c r="AS66" i="9"/>
  <c r="AP67" i="9"/>
  <c r="W68" i="9"/>
  <c r="AE68" i="9"/>
  <c r="AM68" i="9"/>
  <c r="T69" i="9"/>
  <c r="AB69" i="9"/>
  <c r="AJ69" i="9"/>
  <c r="AR69" i="9"/>
  <c r="Y70" i="9"/>
  <c r="AG70" i="9"/>
  <c r="AO70" i="9"/>
  <c r="V71" i="9"/>
  <c r="AD71" i="9"/>
  <c r="AL71" i="9"/>
  <c r="AA72" i="9"/>
  <c r="AI72" i="9"/>
  <c r="AQ72" i="9"/>
  <c r="X73" i="9"/>
  <c r="AF73" i="9"/>
  <c r="AN73" i="9"/>
  <c r="U74" i="9"/>
  <c r="AC74" i="9"/>
  <c r="AK74" i="9"/>
  <c r="AS74" i="9"/>
  <c r="AP75" i="9"/>
  <c r="W76" i="9"/>
  <c r="AE76" i="9"/>
  <c r="AM76" i="9"/>
  <c r="T77" i="9"/>
  <c r="AB77" i="9"/>
  <c r="AJ77" i="9"/>
  <c r="AR77" i="9"/>
  <c r="Y78" i="9"/>
  <c r="AG78" i="9"/>
  <c r="AO78" i="9"/>
  <c r="V79" i="9"/>
  <c r="AD79" i="9"/>
  <c r="AL79" i="9"/>
  <c r="AA80" i="9"/>
  <c r="AI80" i="9"/>
  <c r="AQ80" i="9"/>
  <c r="X81" i="9"/>
  <c r="AF81" i="9"/>
  <c r="AN81" i="9"/>
  <c r="U82" i="9"/>
  <c r="AC82" i="9"/>
  <c r="AK82" i="9"/>
  <c r="AS82" i="9"/>
  <c r="AP83" i="9"/>
  <c r="W84" i="9"/>
  <c r="AE84" i="9"/>
  <c r="AM84" i="9"/>
  <c r="T85" i="9"/>
  <c r="AB85" i="9"/>
  <c r="AJ85" i="9"/>
  <c r="AR85" i="9"/>
  <c r="Y86" i="9"/>
  <c r="AG86" i="9"/>
  <c r="AO86" i="9"/>
  <c r="V87" i="9"/>
  <c r="AD87" i="9"/>
  <c r="AL87" i="9"/>
  <c r="AA88" i="9"/>
  <c r="AI88" i="9"/>
  <c r="AQ88" i="9"/>
  <c r="X89" i="9"/>
  <c r="AF89" i="9"/>
  <c r="AN89" i="9"/>
  <c r="U90" i="9"/>
  <c r="AC90" i="9"/>
  <c r="AK90" i="9"/>
  <c r="AS90" i="9"/>
  <c r="AP91" i="9"/>
  <c r="W92" i="9"/>
  <c r="AE92" i="9"/>
  <c r="AM92" i="9"/>
  <c r="T93" i="9"/>
  <c r="AB93" i="9"/>
  <c r="AJ93" i="9"/>
  <c r="AR93" i="9"/>
  <c r="Y94" i="9"/>
  <c r="AG94" i="9"/>
  <c r="AO94" i="9"/>
  <c r="V95" i="9"/>
  <c r="AD95" i="9"/>
  <c r="AL95" i="9"/>
  <c r="AA96" i="9"/>
  <c r="AI96" i="9"/>
  <c r="AQ96" i="9"/>
  <c r="X97" i="9"/>
  <c r="AF97" i="9"/>
  <c r="AN97" i="9"/>
  <c r="U98" i="9"/>
  <c r="AC98" i="9"/>
  <c r="AK98" i="9"/>
  <c r="AS98" i="9"/>
  <c r="AP99" i="9"/>
  <c r="W100" i="9"/>
  <c r="AE100" i="9"/>
  <c r="AM100" i="9"/>
  <c r="T101" i="9"/>
  <c r="AB101" i="9"/>
  <c r="AJ101" i="9"/>
  <c r="AR101" i="9"/>
  <c r="Y102" i="9"/>
  <c r="AI102" i="9"/>
  <c r="U103" i="9"/>
  <c r="AG103" i="9"/>
  <c r="AE104" i="9"/>
  <c r="AS104" i="9"/>
  <c r="AE105" i="9"/>
  <c r="AQ105" i="9"/>
  <c r="AC106" i="9"/>
  <c r="AS106" i="9"/>
  <c r="AM108" i="9"/>
  <c r="V111" i="9"/>
  <c r="AK10" i="9"/>
  <c r="AL11" i="9"/>
  <c r="X12" i="9"/>
  <c r="AF12" i="9"/>
  <c r="AN12" i="9"/>
  <c r="U13" i="9"/>
  <c r="AC13" i="9"/>
  <c r="AK13" i="9"/>
  <c r="AS13" i="9"/>
  <c r="AP14" i="9"/>
  <c r="W15" i="9"/>
  <c r="AE15" i="9"/>
  <c r="AM15" i="9"/>
  <c r="T16" i="9"/>
  <c r="AB16" i="9"/>
  <c r="AJ16" i="9"/>
  <c r="AR16" i="9"/>
  <c r="Y17" i="9"/>
  <c r="AG17" i="9"/>
  <c r="AO17" i="9"/>
  <c r="V18" i="9"/>
  <c r="AD18" i="9"/>
  <c r="AL18" i="9"/>
  <c r="AA19" i="9"/>
  <c r="AI19" i="9"/>
  <c r="AQ19" i="9"/>
  <c r="X20" i="9"/>
  <c r="AF20" i="9"/>
  <c r="AN20" i="9"/>
  <c r="U21" i="9"/>
  <c r="AC21" i="9"/>
  <c r="AK21" i="9"/>
  <c r="AS21" i="9"/>
  <c r="AP22" i="9"/>
  <c r="W23" i="9"/>
  <c r="AE23" i="9"/>
  <c r="AM23" i="9"/>
  <c r="T24" i="9"/>
  <c r="AB24" i="9"/>
  <c r="AJ24" i="9"/>
  <c r="AR24" i="9"/>
  <c r="Y25" i="9"/>
  <c r="AG25" i="9"/>
  <c r="AO25" i="9"/>
  <c r="V26" i="9"/>
  <c r="AD26" i="9"/>
  <c r="AL26" i="9"/>
  <c r="AA27" i="9"/>
  <c r="AI27" i="9"/>
  <c r="AQ27" i="9"/>
  <c r="X28" i="9"/>
  <c r="AF28" i="9"/>
  <c r="AN28" i="9"/>
  <c r="U29" i="9"/>
  <c r="AC29" i="9"/>
  <c r="AK29" i="9"/>
  <c r="AS29" i="9"/>
  <c r="AP30" i="9"/>
  <c r="W31" i="9"/>
  <c r="AE31" i="9"/>
  <c r="AM31" i="9"/>
  <c r="T32" i="9"/>
  <c r="AB32" i="9"/>
  <c r="AJ32" i="9"/>
  <c r="AR32" i="9"/>
  <c r="Y33" i="9"/>
  <c r="AG33" i="9"/>
  <c r="AO33" i="9"/>
  <c r="V34" i="9"/>
  <c r="AD34" i="9"/>
  <c r="AL34" i="9"/>
  <c r="AA35" i="9"/>
  <c r="AI35" i="9"/>
  <c r="AQ35" i="9"/>
  <c r="X36" i="9"/>
  <c r="AF36" i="9"/>
  <c r="AN36" i="9"/>
  <c r="U37" i="9"/>
  <c r="AC37" i="9"/>
  <c r="AK37" i="9"/>
  <c r="AS37" i="9"/>
  <c r="AP38" i="9"/>
  <c r="W39" i="9"/>
  <c r="AE39" i="9"/>
  <c r="AM39" i="9"/>
  <c r="T40" i="9"/>
  <c r="AB40" i="9"/>
  <c r="AJ40" i="9"/>
  <c r="AR40" i="9"/>
  <c r="Y41" i="9"/>
  <c r="AG41" i="9"/>
  <c r="AO41" i="9"/>
  <c r="V42" i="9"/>
  <c r="AD42" i="9"/>
  <c r="AL42" i="9"/>
  <c r="AA43" i="9"/>
  <c r="AI43" i="9"/>
  <c r="AQ43" i="9"/>
  <c r="X44" i="9"/>
  <c r="AF44" i="9"/>
  <c r="AN44" i="9"/>
  <c r="U45" i="9"/>
  <c r="AC45" i="9"/>
  <c r="AK45" i="9"/>
  <c r="AS45" i="9"/>
  <c r="AP46" i="9"/>
  <c r="W47" i="9"/>
  <c r="AE47" i="9"/>
  <c r="AM47" i="9"/>
  <c r="T48" i="9"/>
  <c r="AB48" i="9"/>
  <c r="AJ48" i="9"/>
  <c r="AR48" i="9"/>
  <c r="Y49" i="9"/>
  <c r="AG49" i="9"/>
  <c r="AO49" i="9"/>
  <c r="V50" i="9"/>
  <c r="AD50" i="9"/>
  <c r="AL50" i="9"/>
  <c r="AA51" i="9"/>
  <c r="AI51" i="9"/>
  <c r="AQ51" i="9"/>
  <c r="X52" i="9"/>
  <c r="AF52" i="9"/>
  <c r="AN52" i="9"/>
  <c r="U53" i="9"/>
  <c r="AC53" i="9"/>
  <c r="AK53" i="9"/>
  <c r="AS53" i="9"/>
  <c r="AP54" i="9"/>
  <c r="W55" i="9"/>
  <c r="AE55" i="9"/>
  <c r="AM55" i="9"/>
  <c r="T56" i="9"/>
  <c r="AB56" i="9"/>
  <c r="AJ56" i="9"/>
  <c r="AR56" i="9"/>
  <c r="Y57" i="9"/>
  <c r="AG57" i="9"/>
  <c r="AO57" i="9"/>
  <c r="V58" i="9"/>
  <c r="AD58" i="9"/>
  <c r="AL58" i="9"/>
  <c r="AA59" i="9"/>
  <c r="AI59" i="9"/>
  <c r="AQ59" i="9"/>
  <c r="X60" i="9"/>
  <c r="AF60" i="9"/>
  <c r="AN60" i="9"/>
  <c r="U61" i="9"/>
  <c r="AC61" i="9"/>
  <c r="AK61" i="9"/>
  <c r="AS61" i="9"/>
  <c r="AP62" i="9"/>
  <c r="W63" i="9"/>
  <c r="AE63" i="9"/>
  <c r="AM63" i="9"/>
  <c r="T64" i="9"/>
  <c r="AB64" i="9"/>
  <c r="AJ64" i="9"/>
  <c r="AR64" i="9"/>
  <c r="Y65" i="9"/>
  <c r="AG65" i="9"/>
  <c r="AO65" i="9"/>
  <c r="V66" i="9"/>
  <c r="AD66" i="9"/>
  <c r="AL66" i="9"/>
  <c r="AA67" i="9"/>
  <c r="AI67" i="9"/>
  <c r="AQ67" i="9"/>
  <c r="X68" i="9"/>
  <c r="AF68" i="9"/>
  <c r="AN68" i="9"/>
  <c r="U69" i="9"/>
  <c r="AC69" i="9"/>
  <c r="AK69" i="9"/>
  <c r="AS69" i="9"/>
  <c r="AP70" i="9"/>
  <c r="W71" i="9"/>
  <c r="AE71" i="9"/>
  <c r="AM71" i="9"/>
  <c r="T72" i="9"/>
  <c r="AB72" i="9"/>
  <c r="AJ72" i="9"/>
  <c r="AR72" i="9"/>
  <c r="Y73" i="9"/>
  <c r="AG73" i="9"/>
  <c r="AO73" i="9"/>
  <c r="V74" i="9"/>
  <c r="AD74" i="9"/>
  <c r="AL74" i="9"/>
  <c r="AA75" i="9"/>
  <c r="AI75" i="9"/>
  <c r="AQ75" i="9"/>
  <c r="X76" i="9"/>
  <c r="AF76" i="9"/>
  <c r="AN76" i="9"/>
  <c r="U77" i="9"/>
  <c r="AC77" i="9"/>
  <c r="AK77" i="9"/>
  <c r="AS77" i="9"/>
  <c r="AP78" i="9"/>
  <c r="W79" i="9"/>
  <c r="AE79" i="9"/>
  <c r="AM79" i="9"/>
  <c r="T80" i="9"/>
  <c r="AB80" i="9"/>
  <c r="AJ80" i="9"/>
  <c r="AR80" i="9"/>
  <c r="Y81" i="9"/>
  <c r="AG81" i="9"/>
  <c r="AO81" i="9"/>
  <c r="V82" i="9"/>
  <c r="AD82" i="9"/>
  <c r="AL82" i="9"/>
  <c r="AA83" i="9"/>
  <c r="AI83" i="9"/>
  <c r="AQ83" i="9"/>
  <c r="X84" i="9"/>
  <c r="AF84" i="9"/>
  <c r="AN84" i="9"/>
  <c r="U85" i="9"/>
  <c r="AC85" i="9"/>
  <c r="AK85" i="9"/>
  <c r="AS85" i="9"/>
  <c r="AP86" i="9"/>
  <c r="W87" i="9"/>
  <c r="AE87" i="9"/>
  <c r="AM87" i="9"/>
  <c r="T88" i="9"/>
  <c r="AB88" i="9"/>
  <c r="AJ88" i="9"/>
  <c r="AR88" i="9"/>
  <c r="Y89" i="9"/>
  <c r="AG89" i="9"/>
  <c r="AO89" i="9"/>
  <c r="V90" i="9"/>
  <c r="AD90" i="9"/>
  <c r="AL90" i="9"/>
  <c r="AA91" i="9"/>
  <c r="AI91" i="9"/>
  <c r="AQ91" i="9"/>
  <c r="X92" i="9"/>
  <c r="AF92" i="9"/>
  <c r="AN92" i="9"/>
  <c r="U93" i="9"/>
  <c r="AC93" i="9"/>
  <c r="AK93" i="9"/>
  <c r="AS93" i="9"/>
  <c r="AP94" i="9"/>
  <c r="W95" i="9"/>
  <c r="AE95" i="9"/>
  <c r="AM95" i="9"/>
  <c r="T96" i="9"/>
  <c r="AB96" i="9"/>
  <c r="AJ96" i="9"/>
  <c r="AR96" i="9"/>
  <c r="Y97" i="9"/>
  <c r="AG97" i="9"/>
  <c r="AO97" i="9"/>
  <c r="V98" i="9"/>
  <c r="AD98" i="9"/>
  <c r="AL98" i="9"/>
  <c r="AA99" i="9"/>
  <c r="AI99" i="9"/>
  <c r="AQ99" i="9"/>
  <c r="X100" i="9"/>
  <c r="AF100" i="9"/>
  <c r="AN100" i="9"/>
  <c r="U101" i="9"/>
  <c r="AC101" i="9"/>
  <c r="AK101" i="9"/>
  <c r="AS101" i="9"/>
  <c r="AJ102" i="9"/>
  <c r="V103" i="9"/>
  <c r="U104" i="9"/>
  <c r="AF105" i="9"/>
  <c r="AR105" i="9"/>
  <c r="AE106" i="9"/>
  <c r="U107" i="9"/>
  <c r="T109" i="9"/>
  <c r="AD111" i="9"/>
  <c r="AL10" i="9"/>
  <c r="AN11" i="9"/>
  <c r="Y12" i="9"/>
  <c r="AG12" i="9"/>
  <c r="AO12" i="9"/>
  <c r="V13" i="9"/>
  <c r="AD13" i="9"/>
  <c r="AL13" i="9"/>
  <c r="AA14" i="9"/>
  <c r="AI14" i="9"/>
  <c r="AQ14" i="9"/>
  <c r="X15" i="9"/>
  <c r="AF15" i="9"/>
  <c r="AN15" i="9"/>
  <c r="U16" i="9"/>
  <c r="AC16" i="9"/>
  <c r="AK16" i="9"/>
  <c r="AS16" i="9"/>
  <c r="AP17" i="9"/>
  <c r="W18" i="9"/>
  <c r="AE18" i="9"/>
  <c r="AM18" i="9"/>
  <c r="T19" i="9"/>
  <c r="AB19" i="9"/>
  <c r="AJ19" i="9"/>
  <c r="AR19" i="9"/>
  <c r="Y20" i="9"/>
  <c r="AG20" i="9"/>
  <c r="AO20" i="9"/>
  <c r="V21" i="9"/>
  <c r="AD21" i="9"/>
  <c r="AL21" i="9"/>
  <c r="AA22" i="9"/>
  <c r="AI22" i="9"/>
  <c r="AQ22" i="9"/>
  <c r="X23" i="9"/>
  <c r="AF23" i="9"/>
  <c r="AN23" i="9"/>
  <c r="U24" i="9"/>
  <c r="AC24" i="9"/>
  <c r="AK24" i="9"/>
  <c r="AS24" i="9"/>
  <c r="AP25" i="9"/>
  <c r="W26" i="9"/>
  <c r="AE26" i="9"/>
  <c r="AM26" i="9"/>
  <c r="T27" i="9"/>
  <c r="AB27" i="9"/>
  <c r="AJ27" i="9"/>
  <c r="AR27" i="9"/>
  <c r="Y28" i="9"/>
  <c r="AG28" i="9"/>
  <c r="AO28" i="9"/>
  <c r="V29" i="9"/>
  <c r="AD29" i="9"/>
  <c r="AL29" i="9"/>
  <c r="AA30" i="9"/>
  <c r="AI30" i="9"/>
  <c r="AQ30" i="9"/>
  <c r="X31" i="9"/>
  <c r="AF31" i="9"/>
  <c r="AN31" i="9"/>
  <c r="U32" i="9"/>
  <c r="AC32" i="9"/>
  <c r="AK32" i="9"/>
  <c r="AS32" i="9"/>
  <c r="AP33" i="9"/>
  <c r="W34" i="9"/>
  <c r="AE34" i="9"/>
  <c r="AM34" i="9"/>
  <c r="T35" i="9"/>
  <c r="AB35" i="9"/>
  <c r="AJ35" i="9"/>
  <c r="AR35" i="9"/>
  <c r="Y36" i="9"/>
  <c r="AG36" i="9"/>
  <c r="AO36" i="9"/>
  <c r="V37" i="9"/>
  <c r="AD37" i="9"/>
  <c r="AL37" i="9"/>
  <c r="AA38" i="9"/>
  <c r="AI38" i="9"/>
  <c r="AQ38" i="9"/>
  <c r="X39" i="9"/>
  <c r="AF39" i="9"/>
  <c r="AN39" i="9"/>
  <c r="U40" i="9"/>
  <c r="AC40" i="9"/>
  <c r="AK40" i="9"/>
  <c r="AS40" i="9"/>
  <c r="AP41" i="9"/>
  <c r="W42" i="9"/>
  <c r="AE42" i="9"/>
  <c r="AM42" i="9"/>
  <c r="T43" i="9"/>
  <c r="AB43" i="9"/>
  <c r="AJ43" i="9"/>
  <c r="AR43" i="9"/>
  <c r="Y44" i="9"/>
  <c r="AG44" i="9"/>
  <c r="AO44" i="9"/>
  <c r="V45" i="9"/>
  <c r="AD45" i="9"/>
  <c r="AL45" i="9"/>
  <c r="AA46" i="9"/>
  <c r="AI46" i="9"/>
  <c r="AQ46" i="9"/>
  <c r="X47" i="9"/>
  <c r="AF47" i="9"/>
  <c r="AN47" i="9"/>
  <c r="U48" i="9"/>
  <c r="AC48" i="9"/>
  <c r="AK48" i="9"/>
  <c r="AS48" i="9"/>
  <c r="AP49" i="9"/>
  <c r="W50" i="9"/>
  <c r="AE50" i="9"/>
  <c r="AM50" i="9"/>
  <c r="T51" i="9"/>
  <c r="AB51" i="9"/>
  <c r="AJ51" i="9"/>
  <c r="AR51" i="9"/>
  <c r="Y52" i="9"/>
  <c r="AG52" i="9"/>
  <c r="AO52" i="9"/>
  <c r="V53" i="9"/>
  <c r="AD53" i="9"/>
  <c r="AL53" i="9"/>
  <c r="AA54" i="9"/>
  <c r="AI54" i="9"/>
  <c r="AQ54" i="9"/>
  <c r="X55" i="9"/>
  <c r="AF55" i="9"/>
  <c r="AN55" i="9"/>
  <c r="U56" i="9"/>
  <c r="AC56" i="9"/>
  <c r="AK56" i="9"/>
  <c r="AS56" i="9"/>
  <c r="AP57" i="9"/>
  <c r="W58" i="9"/>
  <c r="AE58" i="9"/>
  <c r="AM58" i="9"/>
  <c r="T59" i="9"/>
  <c r="AB59" i="9"/>
  <c r="AJ59" i="9"/>
  <c r="AR59" i="9"/>
  <c r="Y60" i="9"/>
  <c r="AG60" i="9"/>
  <c r="AO60" i="9"/>
  <c r="V61" i="9"/>
  <c r="AD61" i="9"/>
  <c r="AL61" i="9"/>
  <c r="AA62" i="9"/>
  <c r="AI62" i="9"/>
  <c r="AQ62" i="9"/>
  <c r="X63" i="9"/>
  <c r="AF63" i="9"/>
  <c r="AN63" i="9"/>
  <c r="U64" i="9"/>
  <c r="AC64" i="9"/>
  <c r="AK64" i="9"/>
  <c r="AS64" i="9"/>
  <c r="AP65" i="9"/>
  <c r="W66" i="9"/>
  <c r="AE66" i="9"/>
  <c r="AM66" i="9"/>
  <c r="T67" i="9"/>
  <c r="AB67" i="9"/>
  <c r="AJ67" i="9"/>
  <c r="AR67" i="9"/>
  <c r="Y68" i="9"/>
  <c r="AG68" i="9"/>
  <c r="AO68" i="9"/>
  <c r="V69" i="9"/>
  <c r="AD69" i="9"/>
  <c r="AL69" i="9"/>
  <c r="AA70" i="9"/>
  <c r="AI70" i="9"/>
  <c r="AQ70" i="9"/>
  <c r="X71" i="9"/>
  <c r="AF71" i="9"/>
  <c r="AN71" i="9"/>
  <c r="U72" i="9"/>
  <c r="AC72" i="9"/>
  <c r="AK72" i="9"/>
  <c r="AS72" i="9"/>
  <c r="AP73" i="9"/>
  <c r="W74" i="9"/>
  <c r="AE74" i="9"/>
  <c r="AM74" i="9"/>
  <c r="T75" i="9"/>
  <c r="AB75" i="9"/>
  <c r="AJ75" i="9"/>
  <c r="AR75" i="9"/>
  <c r="Y76" i="9"/>
  <c r="AG76" i="9"/>
  <c r="AO76" i="9"/>
  <c r="V77" i="9"/>
  <c r="AD77" i="9"/>
  <c r="AL77" i="9"/>
  <c r="AA78" i="9"/>
  <c r="AI78" i="9"/>
  <c r="AQ78" i="9"/>
  <c r="X79" i="9"/>
  <c r="AF79" i="9"/>
  <c r="AN79" i="9"/>
  <c r="U80" i="9"/>
  <c r="AC80" i="9"/>
  <c r="AK80" i="9"/>
  <c r="AS80" i="9"/>
  <c r="AP81" i="9"/>
  <c r="W82" i="9"/>
  <c r="AE82" i="9"/>
  <c r="AM82" i="9"/>
  <c r="T83" i="9"/>
  <c r="AB83" i="9"/>
  <c r="AJ83" i="9"/>
  <c r="AR83" i="9"/>
  <c r="Y84" i="9"/>
  <c r="AG84" i="9"/>
  <c r="AO84" i="9"/>
  <c r="V85" i="9"/>
  <c r="AD85" i="9"/>
  <c r="AL85" i="9"/>
  <c r="AA86" i="9"/>
  <c r="AI86" i="9"/>
  <c r="AQ86" i="9"/>
  <c r="X87" i="9"/>
  <c r="AF87" i="9"/>
  <c r="AN87" i="9"/>
  <c r="U88" i="9"/>
  <c r="AC88" i="9"/>
  <c r="AK88" i="9"/>
  <c r="AS88" i="9"/>
  <c r="AP89" i="9"/>
  <c r="W90" i="9"/>
  <c r="AE90" i="9"/>
  <c r="AM90" i="9"/>
  <c r="T91" i="9"/>
  <c r="AB91" i="9"/>
  <c r="AJ91" i="9"/>
  <c r="AR91" i="9"/>
  <c r="Y92" i="9"/>
  <c r="AG92" i="9"/>
  <c r="AO92" i="9"/>
  <c r="V93" i="9"/>
  <c r="AD93" i="9"/>
  <c r="AL93" i="9"/>
  <c r="AA94" i="9"/>
  <c r="AI94" i="9"/>
  <c r="AQ94" i="9"/>
  <c r="X95" i="9"/>
  <c r="AF95" i="9"/>
  <c r="AN95" i="9"/>
  <c r="U96" i="9"/>
  <c r="AC96" i="9"/>
  <c r="AK96" i="9"/>
  <c r="AS96" i="9"/>
  <c r="AP97" i="9"/>
  <c r="W98" i="9"/>
  <c r="AE98" i="9"/>
  <c r="AM98" i="9"/>
  <c r="T99" i="9"/>
  <c r="AB99" i="9"/>
  <c r="AJ99" i="9"/>
  <c r="AR99" i="9"/>
  <c r="Y100" i="9"/>
  <c r="AG100" i="9"/>
  <c r="AO100" i="9"/>
  <c r="V101" i="9"/>
  <c r="AD101" i="9"/>
  <c r="AL101" i="9"/>
  <c r="AA102" i="9"/>
  <c r="AK102" i="9"/>
  <c r="X103" i="9"/>
  <c r="AK103" i="9"/>
  <c r="V104" i="9"/>
  <c r="AI104" i="9"/>
  <c r="T105" i="9"/>
  <c r="T106" i="9"/>
  <c r="AF106" i="9"/>
  <c r="Y107" i="9"/>
  <c r="AB109" i="9"/>
  <c r="AL111" i="9"/>
  <c r="AQ10" i="9"/>
  <c r="AS11" i="9"/>
  <c r="AP12" i="9"/>
  <c r="W13" i="9"/>
  <c r="AE13" i="9"/>
  <c r="AM13" i="9"/>
  <c r="T14" i="9"/>
  <c r="AB14" i="9"/>
  <c r="AJ14" i="9"/>
  <c r="AR14" i="9"/>
  <c r="Y15" i="9"/>
  <c r="AG15" i="9"/>
  <c r="AO15" i="9"/>
  <c r="V16" i="9"/>
  <c r="AD16" i="9"/>
  <c r="AL16" i="9"/>
  <c r="AA17" i="9"/>
  <c r="AI17" i="9"/>
  <c r="AQ17" i="9"/>
  <c r="X18" i="9"/>
  <c r="AF18" i="9"/>
  <c r="AN18" i="9"/>
  <c r="U19" i="9"/>
  <c r="AC19" i="9"/>
  <c r="AK19" i="9"/>
  <c r="AS19" i="9"/>
  <c r="AP20" i="9"/>
  <c r="W21" i="9"/>
  <c r="AE21" i="9"/>
  <c r="AM21" i="9"/>
  <c r="T22" i="9"/>
  <c r="AB22" i="9"/>
  <c r="AJ22" i="9"/>
  <c r="AR22" i="9"/>
  <c r="Y23" i="9"/>
  <c r="AG23" i="9"/>
  <c r="AO23" i="9"/>
  <c r="V24" i="9"/>
  <c r="AD24" i="9"/>
  <c r="AL24" i="9"/>
  <c r="AA25" i="9"/>
  <c r="AI25" i="9"/>
  <c r="AQ25" i="9"/>
  <c r="X26" i="9"/>
  <c r="AF26" i="9"/>
  <c r="AN26" i="9"/>
  <c r="U27" i="9"/>
  <c r="AC27" i="9"/>
  <c r="AK27" i="9"/>
  <c r="AS27" i="9"/>
  <c r="AP28" i="9"/>
  <c r="W29" i="9"/>
  <c r="AE29" i="9"/>
  <c r="AM29" i="9"/>
  <c r="T30" i="9"/>
  <c r="AB30" i="9"/>
  <c r="AJ30" i="9"/>
  <c r="AR30" i="9"/>
  <c r="Y31" i="9"/>
  <c r="AG31" i="9"/>
  <c r="AO31" i="9"/>
  <c r="V32" i="9"/>
  <c r="AD32" i="9"/>
  <c r="AL32" i="9"/>
  <c r="AA33" i="9"/>
  <c r="AI33" i="9"/>
  <c r="AQ33" i="9"/>
  <c r="X34" i="9"/>
  <c r="AF34" i="9"/>
  <c r="AN34" i="9"/>
  <c r="U35" i="9"/>
  <c r="AC35" i="9"/>
  <c r="AK35" i="9"/>
  <c r="AS35" i="9"/>
  <c r="AP36" i="9"/>
  <c r="W37" i="9"/>
  <c r="AE37" i="9"/>
  <c r="AM37" i="9"/>
  <c r="T38" i="9"/>
  <c r="AB38" i="9"/>
  <c r="AJ38" i="9"/>
  <c r="AR38" i="9"/>
  <c r="Y39" i="9"/>
  <c r="AG39" i="9"/>
  <c r="AO39" i="9"/>
  <c r="V40" i="9"/>
  <c r="AD40" i="9"/>
  <c r="AL40" i="9"/>
  <c r="AA41" i="9"/>
  <c r="AI41" i="9"/>
  <c r="AQ41" i="9"/>
  <c r="X42" i="9"/>
  <c r="AF42" i="9"/>
  <c r="AN42" i="9"/>
  <c r="U43" i="9"/>
  <c r="AC43" i="9"/>
  <c r="AK43" i="9"/>
  <c r="AS43" i="9"/>
  <c r="AP44" i="9"/>
  <c r="W45" i="9"/>
  <c r="AE45" i="9"/>
  <c r="AM45" i="9"/>
  <c r="T46" i="9"/>
  <c r="AB46" i="9"/>
  <c r="AJ46" i="9"/>
  <c r="AR46" i="9"/>
  <c r="Y47" i="9"/>
  <c r="AG47" i="9"/>
  <c r="AO47" i="9"/>
  <c r="V48" i="9"/>
  <c r="AD48" i="9"/>
  <c r="AL48" i="9"/>
  <c r="AA49" i="9"/>
  <c r="AI49" i="9"/>
  <c r="AQ49" i="9"/>
  <c r="X50" i="9"/>
  <c r="AF50" i="9"/>
  <c r="AN50" i="9"/>
  <c r="U51" i="9"/>
  <c r="AC51" i="9"/>
  <c r="AK51" i="9"/>
  <c r="AS51" i="9"/>
  <c r="AP52" i="9"/>
  <c r="W53" i="9"/>
  <c r="AE53" i="9"/>
  <c r="AM53" i="9"/>
  <c r="T54" i="9"/>
  <c r="AB54" i="9"/>
  <c r="AJ54" i="9"/>
  <c r="AR54" i="9"/>
  <c r="Y55" i="9"/>
  <c r="AG55" i="9"/>
  <c r="AO55" i="9"/>
  <c r="V56" i="9"/>
  <c r="AD56" i="9"/>
  <c r="AL56" i="9"/>
  <c r="AA57" i="9"/>
  <c r="AI57" i="9"/>
  <c r="AQ57" i="9"/>
  <c r="X58" i="9"/>
  <c r="AF58" i="9"/>
  <c r="AN58" i="9"/>
  <c r="U59" i="9"/>
  <c r="AC59" i="9"/>
  <c r="AK59" i="9"/>
  <c r="AS59" i="9"/>
  <c r="AP60" i="9"/>
  <c r="W61" i="9"/>
  <c r="AE61" i="9"/>
  <c r="AM61" i="9"/>
  <c r="T62" i="9"/>
  <c r="AB62" i="9"/>
  <c r="AJ62" i="9"/>
  <c r="AR62" i="9"/>
  <c r="Y63" i="9"/>
  <c r="AG63" i="9"/>
  <c r="AO63" i="9"/>
  <c r="V64" i="9"/>
  <c r="AD64" i="9"/>
  <c r="AL64" i="9"/>
  <c r="AA65" i="9"/>
  <c r="AI65" i="9"/>
  <c r="AQ65" i="9"/>
  <c r="X66" i="9"/>
  <c r="AF66" i="9"/>
  <c r="AN66" i="9"/>
  <c r="U67" i="9"/>
  <c r="AC67" i="9"/>
  <c r="AK67" i="9"/>
  <c r="AS67" i="9"/>
  <c r="AP68" i="9"/>
  <c r="W69" i="9"/>
  <c r="AE69" i="9"/>
  <c r="AM69" i="9"/>
  <c r="T70" i="9"/>
  <c r="AB70" i="9"/>
  <c r="AJ70" i="9"/>
  <c r="AR70" i="9"/>
  <c r="Y71" i="9"/>
  <c r="AG71" i="9"/>
  <c r="AO71" i="9"/>
  <c r="V72" i="9"/>
  <c r="AD72" i="9"/>
  <c r="AL72" i="9"/>
  <c r="AA73" i="9"/>
  <c r="AI73" i="9"/>
  <c r="AQ73" i="9"/>
  <c r="X74" i="9"/>
  <c r="AF74" i="9"/>
  <c r="AN74" i="9"/>
  <c r="U75" i="9"/>
  <c r="AC75" i="9"/>
  <c r="AK75" i="9"/>
  <c r="AS75" i="9"/>
  <c r="AP76" i="9"/>
  <c r="W77" i="9"/>
  <c r="AE77" i="9"/>
  <c r="AM77" i="9"/>
  <c r="T78" i="9"/>
  <c r="AB78" i="9"/>
  <c r="AJ78" i="9"/>
  <c r="AR78" i="9"/>
  <c r="Y79" i="9"/>
  <c r="AG79" i="9"/>
  <c r="AO79" i="9"/>
  <c r="V80" i="9"/>
  <c r="AD80" i="9"/>
  <c r="AL80" i="9"/>
  <c r="AA81" i="9"/>
  <c r="AI81" i="9"/>
  <c r="AQ81" i="9"/>
  <c r="X82" i="9"/>
  <c r="AF82" i="9"/>
  <c r="AN82" i="9"/>
  <c r="U83" i="9"/>
  <c r="AC83" i="9"/>
  <c r="AK83" i="9"/>
  <c r="AS83" i="9"/>
  <c r="AP84" i="9"/>
  <c r="W85" i="9"/>
  <c r="AE85" i="9"/>
  <c r="AM85" i="9"/>
  <c r="T86" i="9"/>
  <c r="AB86" i="9"/>
  <c r="AJ86" i="9"/>
  <c r="AR86" i="9"/>
  <c r="Y87" i="9"/>
  <c r="AG87" i="9"/>
  <c r="AO87" i="9"/>
  <c r="V88" i="9"/>
  <c r="AD88" i="9"/>
  <c r="AL88" i="9"/>
  <c r="AA89" i="9"/>
  <c r="AI89" i="9"/>
  <c r="AQ89" i="9"/>
  <c r="X90" i="9"/>
  <c r="AF90" i="9"/>
  <c r="AN90" i="9"/>
  <c r="U91" i="9"/>
  <c r="AC91" i="9"/>
  <c r="AK91" i="9"/>
  <c r="AS91" i="9"/>
  <c r="AP92" i="9"/>
  <c r="W93" i="9"/>
  <c r="AE93" i="9"/>
  <c r="AM93" i="9"/>
  <c r="T94" i="9"/>
  <c r="AB94" i="9"/>
  <c r="AJ94" i="9"/>
  <c r="AR94" i="9"/>
  <c r="Y95" i="9"/>
  <c r="AG95" i="9"/>
  <c r="AO95" i="9"/>
  <c r="V96" i="9"/>
  <c r="AD96" i="9"/>
  <c r="AL96" i="9"/>
  <c r="AA97" i="9"/>
  <c r="AI97" i="9"/>
  <c r="AQ97" i="9"/>
  <c r="X98" i="9"/>
  <c r="AF98" i="9"/>
  <c r="AN98" i="9"/>
  <c r="U99" i="9"/>
  <c r="AC99" i="9"/>
  <c r="AK99" i="9"/>
  <c r="AS99" i="9"/>
  <c r="AP100" i="9"/>
  <c r="W101" i="9"/>
  <c r="AE101" i="9"/>
  <c r="AM101" i="9"/>
  <c r="T102" i="9"/>
  <c r="AB102" i="9"/>
  <c r="AN102" i="9"/>
  <c r="Y103" i="9"/>
  <c r="AL103" i="9"/>
  <c r="W104" i="9"/>
  <c r="AK104" i="9"/>
  <c r="W105" i="9"/>
  <c r="AI105" i="9"/>
  <c r="U106" i="9"/>
  <c r="AG106" i="9"/>
  <c r="AJ109" i="9"/>
  <c r="U11" i="9"/>
  <c r="AA12" i="9"/>
  <c r="AI12" i="9"/>
  <c r="AQ12" i="9"/>
  <c r="X13" i="9"/>
  <c r="AF13" i="9"/>
  <c r="AN13" i="9"/>
  <c r="U14" i="9"/>
  <c r="AC14" i="9"/>
  <c r="AK14" i="9"/>
  <c r="AS14" i="9"/>
  <c r="AP15" i="9"/>
  <c r="W16" i="9"/>
  <c r="AE16" i="9"/>
  <c r="AM16" i="9"/>
  <c r="T17" i="9"/>
  <c r="AB17" i="9"/>
  <c r="AJ17" i="9"/>
  <c r="AR17" i="9"/>
  <c r="Y18" i="9"/>
  <c r="AG18" i="9"/>
  <c r="AO18" i="9"/>
  <c r="V19" i="9"/>
  <c r="AD19" i="9"/>
  <c r="AL19" i="9"/>
  <c r="AA20" i="9"/>
  <c r="AI20" i="9"/>
  <c r="AQ20" i="9"/>
  <c r="X21" i="9"/>
  <c r="AF21" i="9"/>
  <c r="AN21" i="9"/>
  <c r="U22" i="9"/>
  <c r="AC22" i="9"/>
  <c r="AK22" i="9"/>
  <c r="AS22" i="9"/>
  <c r="AP23" i="9"/>
  <c r="W24" i="9"/>
  <c r="AE24" i="9"/>
  <c r="AM24" i="9"/>
  <c r="T25" i="9"/>
  <c r="AB25" i="9"/>
  <c r="AJ25" i="9"/>
  <c r="AR25" i="9"/>
  <c r="Y26" i="9"/>
  <c r="AG26" i="9"/>
  <c r="AO26" i="9"/>
  <c r="V27" i="9"/>
  <c r="AD27" i="9"/>
  <c r="AL27" i="9"/>
  <c r="AA28" i="9"/>
  <c r="AI28" i="9"/>
  <c r="AQ28" i="9"/>
  <c r="X29" i="9"/>
  <c r="AF29" i="9"/>
  <c r="AN29" i="9"/>
  <c r="U30" i="9"/>
  <c r="AC30" i="9"/>
  <c r="AK30" i="9"/>
  <c r="AS30" i="9"/>
  <c r="AP31" i="9"/>
  <c r="W32" i="9"/>
  <c r="AE32" i="9"/>
  <c r="AM32" i="9"/>
  <c r="T33" i="9"/>
  <c r="AB33" i="9"/>
  <c r="AJ33" i="9"/>
  <c r="AR33" i="9"/>
  <c r="Y34" i="9"/>
  <c r="AG34" i="9"/>
  <c r="AO34" i="9"/>
  <c r="V35" i="9"/>
  <c r="AD35" i="9"/>
  <c r="AL35" i="9"/>
  <c r="AA36" i="9"/>
  <c r="AI36" i="9"/>
  <c r="AQ36" i="9"/>
  <c r="X37" i="9"/>
  <c r="AF37" i="9"/>
  <c r="AN37" i="9"/>
  <c r="U38" i="9"/>
  <c r="AC38" i="9"/>
  <c r="AK38" i="9"/>
  <c r="AS38" i="9"/>
  <c r="AP39" i="9"/>
  <c r="W40" i="9"/>
  <c r="AE40" i="9"/>
  <c r="AM40" i="9"/>
  <c r="T41" i="9"/>
  <c r="AB41" i="9"/>
  <c r="AJ41" i="9"/>
  <c r="AR41" i="9"/>
  <c r="Y42" i="9"/>
  <c r="AG42" i="9"/>
  <c r="AO42" i="9"/>
  <c r="V43" i="9"/>
  <c r="AD43" i="9"/>
  <c r="AL43" i="9"/>
  <c r="AA44" i="9"/>
  <c r="AI44" i="9"/>
  <c r="AQ44" i="9"/>
  <c r="X45" i="9"/>
  <c r="AF45" i="9"/>
  <c r="AN45" i="9"/>
  <c r="U46" i="9"/>
  <c r="AC46" i="9"/>
  <c r="AK46" i="9"/>
  <c r="AS46" i="9"/>
  <c r="AP47" i="9"/>
  <c r="W48" i="9"/>
  <c r="AE48" i="9"/>
  <c r="AM48" i="9"/>
  <c r="T49" i="9"/>
  <c r="AB49" i="9"/>
  <c r="AJ49" i="9"/>
  <c r="AR49" i="9"/>
  <c r="Y50" i="9"/>
  <c r="AG50" i="9"/>
  <c r="AO50" i="9"/>
  <c r="V51" i="9"/>
  <c r="AD51" i="9"/>
  <c r="AL51" i="9"/>
  <c r="AA52" i="9"/>
  <c r="AI52" i="9"/>
  <c r="AQ52" i="9"/>
  <c r="X53" i="9"/>
  <c r="AF53" i="9"/>
  <c r="AN53" i="9"/>
  <c r="U54" i="9"/>
  <c r="AC54" i="9"/>
  <c r="AK54" i="9"/>
  <c r="AS54" i="9"/>
  <c r="AP55" i="9"/>
  <c r="W56" i="9"/>
  <c r="AE56" i="9"/>
  <c r="AM56" i="9"/>
  <c r="T57" i="9"/>
  <c r="AB57" i="9"/>
  <c r="AJ57" i="9"/>
  <c r="AR57" i="9"/>
  <c r="Y58" i="9"/>
  <c r="AG58" i="9"/>
  <c r="AO58" i="9"/>
  <c r="V59" i="9"/>
  <c r="AD59" i="9"/>
  <c r="AL59" i="9"/>
  <c r="AA60" i="9"/>
  <c r="AI60" i="9"/>
  <c r="AQ60" i="9"/>
  <c r="X61" i="9"/>
  <c r="AF61" i="9"/>
  <c r="AN61" i="9"/>
  <c r="U62" i="9"/>
  <c r="AC62" i="9"/>
  <c r="AK62" i="9"/>
  <c r="AS62" i="9"/>
  <c r="AP63" i="9"/>
  <c r="W64" i="9"/>
  <c r="AE64" i="9"/>
  <c r="AM64" i="9"/>
  <c r="T65" i="9"/>
  <c r="AB65" i="9"/>
  <c r="AJ65" i="9"/>
  <c r="AR65" i="9"/>
  <c r="Y66" i="9"/>
  <c r="AG66" i="9"/>
  <c r="AO66" i="9"/>
  <c r="V67" i="9"/>
  <c r="AD67" i="9"/>
  <c r="AL67" i="9"/>
  <c r="AA68" i="9"/>
  <c r="AI68" i="9"/>
  <c r="AQ68" i="9"/>
  <c r="X69" i="9"/>
  <c r="AF69" i="9"/>
  <c r="AN69" i="9"/>
  <c r="U70" i="9"/>
  <c r="AC70" i="9"/>
  <c r="AK70" i="9"/>
  <c r="AS70" i="9"/>
  <c r="AP71" i="9"/>
  <c r="W72" i="9"/>
  <c r="AE72" i="9"/>
  <c r="AM72" i="9"/>
  <c r="T73" i="9"/>
  <c r="AB73" i="9"/>
  <c r="AJ73" i="9"/>
  <c r="AR73" i="9"/>
  <c r="Y74" i="9"/>
  <c r="AG74" i="9"/>
  <c r="AO74" i="9"/>
  <c r="V75" i="9"/>
  <c r="AD75" i="9"/>
  <c r="AL75" i="9"/>
  <c r="AA76" i="9"/>
  <c r="AI76" i="9"/>
  <c r="AQ76" i="9"/>
  <c r="X77" i="9"/>
  <c r="AF77" i="9"/>
  <c r="AN77" i="9"/>
  <c r="U78" i="9"/>
  <c r="AC78" i="9"/>
  <c r="AK78" i="9"/>
  <c r="AS78" i="9"/>
  <c r="AP79" i="9"/>
  <c r="W80" i="9"/>
  <c r="AE80" i="9"/>
  <c r="AM80" i="9"/>
  <c r="T81" i="9"/>
  <c r="AB81" i="9"/>
  <c r="AJ81" i="9"/>
  <c r="AR81" i="9"/>
  <c r="Y82" i="9"/>
  <c r="AG82" i="9"/>
  <c r="AO82" i="9"/>
  <c r="V83" i="9"/>
  <c r="AD83" i="9"/>
  <c r="AL83" i="9"/>
  <c r="AA84" i="9"/>
  <c r="AI84" i="9"/>
  <c r="AQ84" i="9"/>
  <c r="X85" i="9"/>
  <c r="AF85" i="9"/>
  <c r="AN85" i="9"/>
  <c r="U86" i="9"/>
  <c r="AC86" i="9"/>
  <c r="AK86" i="9"/>
  <c r="AS86" i="9"/>
  <c r="AP87" i="9"/>
  <c r="W88" i="9"/>
  <c r="AE88" i="9"/>
  <c r="AM88" i="9"/>
  <c r="T89" i="9"/>
  <c r="AB89" i="9"/>
  <c r="AJ89" i="9"/>
  <c r="AR89" i="9"/>
  <c r="Y90" i="9"/>
  <c r="AG90" i="9"/>
  <c r="AO90" i="9"/>
  <c r="V91" i="9"/>
  <c r="AD91" i="9"/>
  <c r="AL91" i="9"/>
  <c r="AA92" i="9"/>
  <c r="AI92" i="9"/>
  <c r="AQ92" i="9"/>
  <c r="X93" i="9"/>
  <c r="AF93" i="9"/>
  <c r="AN93" i="9"/>
  <c r="U94" i="9"/>
  <c r="AC94" i="9"/>
  <c r="AK94" i="9"/>
  <c r="AS94" i="9"/>
  <c r="AP95" i="9"/>
  <c r="W96" i="9"/>
  <c r="AE96" i="9"/>
  <c r="AM96" i="9"/>
  <c r="T97" i="9"/>
  <c r="AB97" i="9"/>
  <c r="AJ97" i="9"/>
  <c r="AR97" i="9"/>
  <c r="Y98" i="9"/>
  <c r="AG98" i="9"/>
  <c r="AO98" i="9"/>
  <c r="V99" i="9"/>
  <c r="AD99" i="9"/>
  <c r="AL99" i="9"/>
  <c r="AA100" i="9"/>
  <c r="AI100" i="9"/>
  <c r="AQ100" i="9"/>
  <c r="X101" i="9"/>
  <c r="AF101" i="9"/>
  <c r="AN101" i="9"/>
  <c r="U102" i="9"/>
  <c r="AC102" i="9"/>
  <c r="AO102" i="9"/>
  <c r="AN103" i="9"/>
  <c r="AL104" i="9"/>
  <c r="X105" i="9"/>
  <c r="AJ105" i="9"/>
  <c r="W106" i="9"/>
  <c r="AJ106" i="9"/>
  <c r="AR109" i="9"/>
  <c r="AA112" i="9"/>
  <c r="V11" i="9"/>
  <c r="T12" i="9"/>
  <c r="AB12" i="9"/>
  <c r="AJ12" i="9"/>
  <c r="AR12" i="9"/>
  <c r="Y13" i="9"/>
  <c r="AG13" i="9"/>
  <c r="AO13" i="9"/>
  <c r="V14" i="9"/>
  <c r="AD14" i="9"/>
  <c r="AL14" i="9"/>
  <c r="AA15" i="9"/>
  <c r="AI15" i="9"/>
  <c r="AQ15" i="9"/>
  <c r="X16" i="9"/>
  <c r="AF16" i="9"/>
  <c r="AN16" i="9"/>
  <c r="U17" i="9"/>
  <c r="AC17" i="9"/>
  <c r="AK17" i="9"/>
  <c r="AS17" i="9"/>
  <c r="AP18" i="9"/>
  <c r="W19" i="9"/>
  <c r="AE19" i="9"/>
  <c r="AM19" i="9"/>
  <c r="T20" i="9"/>
  <c r="AB20" i="9"/>
  <c r="AJ20" i="9"/>
  <c r="AR20" i="9"/>
  <c r="Y21" i="9"/>
  <c r="AG21" i="9"/>
  <c r="AO21" i="9"/>
  <c r="V22" i="9"/>
  <c r="AD22" i="9"/>
  <c r="AL22" i="9"/>
  <c r="AA23" i="9"/>
  <c r="AI23" i="9"/>
  <c r="AQ23" i="9"/>
  <c r="X24" i="9"/>
  <c r="AF24" i="9"/>
  <c r="AN24" i="9"/>
  <c r="U25" i="9"/>
  <c r="AC25" i="9"/>
  <c r="AK25" i="9"/>
  <c r="AS25" i="9"/>
  <c r="AP26" i="9"/>
  <c r="W27" i="9"/>
  <c r="AE27" i="9"/>
  <c r="AM27" i="9"/>
  <c r="T28" i="9"/>
  <c r="AB28" i="9"/>
  <c r="AJ28" i="9"/>
  <c r="AR28" i="9"/>
  <c r="Y29" i="9"/>
  <c r="AG29" i="9"/>
  <c r="AO29" i="9"/>
  <c r="V30" i="9"/>
  <c r="AD30" i="9"/>
  <c r="AL30" i="9"/>
  <c r="AA31" i="9"/>
  <c r="AI31" i="9"/>
  <c r="AQ31" i="9"/>
  <c r="X32" i="9"/>
  <c r="AF32" i="9"/>
  <c r="AN32" i="9"/>
  <c r="U33" i="9"/>
  <c r="AC33" i="9"/>
  <c r="AK33" i="9"/>
  <c r="AS33" i="9"/>
  <c r="AP34" i="9"/>
  <c r="W35" i="9"/>
  <c r="AE35" i="9"/>
  <c r="AM35" i="9"/>
  <c r="T36" i="9"/>
  <c r="AB36" i="9"/>
  <c r="AJ36" i="9"/>
  <c r="AR36" i="9"/>
  <c r="Y37" i="9"/>
  <c r="AG37" i="9"/>
  <c r="AO37" i="9"/>
  <c r="V38" i="9"/>
  <c r="AD38" i="9"/>
  <c r="AL38" i="9"/>
  <c r="AA39" i="9"/>
  <c r="AI39" i="9"/>
  <c r="AQ39" i="9"/>
  <c r="X40" i="9"/>
  <c r="AF40" i="9"/>
  <c r="AN40" i="9"/>
  <c r="U41" i="9"/>
  <c r="AC41" i="9"/>
  <c r="AK41" i="9"/>
  <c r="AS41" i="9"/>
  <c r="AP42" i="9"/>
  <c r="W43" i="9"/>
  <c r="AE43" i="9"/>
  <c r="AM43" i="9"/>
  <c r="T44" i="9"/>
  <c r="AB44" i="9"/>
  <c r="AJ44" i="9"/>
  <c r="AR44" i="9"/>
  <c r="Y45" i="9"/>
  <c r="AG45" i="9"/>
  <c r="AO45" i="9"/>
  <c r="V46" i="9"/>
  <c r="AD46" i="9"/>
  <c r="AL46" i="9"/>
  <c r="AA47" i="9"/>
  <c r="AI47" i="9"/>
  <c r="AQ47" i="9"/>
  <c r="X48" i="9"/>
  <c r="AF48" i="9"/>
  <c r="AN48" i="9"/>
  <c r="U49" i="9"/>
  <c r="AC49" i="9"/>
  <c r="AK49" i="9"/>
  <c r="AS49" i="9"/>
  <c r="AP50" i="9"/>
  <c r="W51" i="9"/>
  <c r="AE51" i="9"/>
  <c r="AM51" i="9"/>
  <c r="T52" i="9"/>
  <c r="AB52" i="9"/>
  <c r="AJ52" i="9"/>
  <c r="AR52" i="9"/>
  <c r="Y53" i="9"/>
  <c r="AG53" i="9"/>
  <c r="AO53" i="9"/>
  <c r="V54" i="9"/>
  <c r="AD54" i="9"/>
  <c r="AL54" i="9"/>
  <c r="AA55" i="9"/>
  <c r="AI55" i="9"/>
  <c r="AQ55" i="9"/>
  <c r="X56" i="9"/>
  <c r="AF56" i="9"/>
  <c r="AN56" i="9"/>
  <c r="U57" i="9"/>
  <c r="AC57" i="9"/>
  <c r="AK57" i="9"/>
  <c r="AS57" i="9"/>
  <c r="AP58" i="9"/>
  <c r="W59" i="9"/>
  <c r="AE59" i="9"/>
  <c r="AM59" i="9"/>
  <c r="T60" i="9"/>
  <c r="AB60" i="9"/>
  <c r="AJ60" i="9"/>
  <c r="AR60" i="9"/>
  <c r="Y61" i="9"/>
  <c r="AG61" i="9"/>
  <c r="AO61" i="9"/>
  <c r="V62" i="9"/>
  <c r="AD62" i="9"/>
  <c r="AL62" i="9"/>
  <c r="AA63" i="9"/>
  <c r="AI63" i="9"/>
  <c r="AQ63" i="9"/>
  <c r="X64" i="9"/>
  <c r="AF64" i="9"/>
  <c r="AN64" i="9"/>
  <c r="U65" i="9"/>
  <c r="AC65" i="9"/>
  <c r="AK65" i="9"/>
  <c r="AS65" i="9"/>
  <c r="AP66" i="9"/>
  <c r="W67" i="9"/>
  <c r="AE67" i="9"/>
  <c r="AM67" i="9"/>
  <c r="T68" i="9"/>
  <c r="AB68" i="9"/>
  <c r="AJ68" i="9"/>
  <c r="AR68" i="9"/>
  <c r="Y69" i="9"/>
  <c r="AG69" i="9"/>
  <c r="AO69" i="9"/>
  <c r="V70" i="9"/>
  <c r="AD70" i="9"/>
  <c r="AL70" i="9"/>
  <c r="AA71" i="9"/>
  <c r="AI71" i="9"/>
  <c r="AQ71" i="9"/>
  <c r="X72" i="9"/>
  <c r="AF72" i="9"/>
  <c r="AN72" i="9"/>
  <c r="U73" i="9"/>
  <c r="AC73" i="9"/>
  <c r="AK73" i="9"/>
  <c r="AS73" i="9"/>
  <c r="AP74" i="9"/>
  <c r="W75" i="9"/>
  <c r="AE75" i="9"/>
  <c r="AM75" i="9"/>
  <c r="T76" i="9"/>
  <c r="AB76" i="9"/>
  <c r="AJ76" i="9"/>
  <c r="AR76" i="9"/>
  <c r="Y77" i="9"/>
  <c r="AG77" i="9"/>
  <c r="AO77" i="9"/>
  <c r="V78" i="9"/>
  <c r="AD78" i="9"/>
  <c r="AL78" i="9"/>
  <c r="AA79" i="9"/>
  <c r="AI79" i="9"/>
  <c r="AQ79" i="9"/>
  <c r="X80" i="9"/>
  <c r="AF80" i="9"/>
  <c r="AN80" i="9"/>
  <c r="U81" i="9"/>
  <c r="AC81" i="9"/>
  <c r="AK81" i="9"/>
  <c r="AS81" i="9"/>
  <c r="AP82" i="9"/>
  <c r="W83" i="9"/>
  <c r="AE83" i="9"/>
  <c r="AM83" i="9"/>
  <c r="T84" i="9"/>
  <c r="AB84" i="9"/>
  <c r="AJ84" i="9"/>
  <c r="AR84" i="9"/>
  <c r="Y85" i="9"/>
  <c r="AG85" i="9"/>
  <c r="AO85" i="9"/>
  <c r="V86" i="9"/>
  <c r="AD86" i="9"/>
  <c r="AL86" i="9"/>
  <c r="AA87" i="9"/>
  <c r="AI87" i="9"/>
  <c r="AQ87" i="9"/>
  <c r="X88" i="9"/>
  <c r="AF88" i="9"/>
  <c r="AN88" i="9"/>
  <c r="U89" i="9"/>
  <c r="AC89" i="9"/>
  <c r="AK89" i="9"/>
  <c r="AS89" i="9"/>
  <c r="AP90" i="9"/>
  <c r="W91" i="9"/>
  <c r="AE91" i="9"/>
  <c r="AM91" i="9"/>
  <c r="T92" i="9"/>
  <c r="AB92" i="9"/>
  <c r="AJ92" i="9"/>
  <c r="AR92" i="9"/>
  <c r="Y93" i="9"/>
  <c r="AG93" i="9"/>
  <c r="AO93" i="9"/>
  <c r="V94" i="9"/>
  <c r="AD94" i="9"/>
  <c r="AL94" i="9"/>
  <c r="AA95" i="9"/>
  <c r="AI95" i="9"/>
  <c r="AQ95" i="9"/>
  <c r="X96" i="9"/>
  <c r="AF96" i="9"/>
  <c r="AN96" i="9"/>
  <c r="U97" i="9"/>
  <c r="AC97" i="9"/>
  <c r="AK97" i="9"/>
  <c r="AS97" i="9"/>
  <c r="AP98" i="9"/>
  <c r="W99" i="9"/>
  <c r="AE99" i="9"/>
  <c r="AM99" i="9"/>
  <c r="T100" i="9"/>
  <c r="AB100" i="9"/>
  <c r="AJ100" i="9"/>
  <c r="AR100" i="9"/>
  <c r="Y101" i="9"/>
  <c r="AG101" i="9"/>
  <c r="AO101" i="9"/>
  <c r="V102" i="9"/>
  <c r="AE102" i="9"/>
  <c r="AQ102" i="9"/>
  <c r="AC103" i="9"/>
  <c r="AO103" i="9"/>
  <c r="AA104" i="9"/>
  <c r="AM104" i="9"/>
  <c r="AM105" i="9"/>
  <c r="X106" i="9"/>
  <c r="AK106" i="9"/>
  <c r="AP107" i="9"/>
  <c r="AI112" i="9"/>
  <c r="Y10" i="9"/>
  <c r="U1081" i="9"/>
  <c r="X1080" i="9"/>
  <c r="V1078" i="9"/>
  <c r="Y1077" i="9"/>
  <c r="T1076" i="9"/>
  <c r="W1075" i="9"/>
  <c r="U1073" i="9"/>
  <c r="X1072" i="9"/>
  <c r="V1070" i="9"/>
  <c r="Y1069" i="9"/>
  <c r="T1068" i="9"/>
  <c r="W1067" i="9"/>
  <c r="U1065" i="9"/>
  <c r="X1064" i="9"/>
  <c r="V1062" i="9"/>
  <c r="Y1061" i="9"/>
  <c r="T1060" i="9"/>
  <c r="W1059" i="9"/>
  <c r="U1057" i="9"/>
  <c r="T1081" i="9"/>
  <c r="W1080" i="9"/>
  <c r="U1078" i="9"/>
  <c r="X1077" i="9"/>
  <c r="V1075" i="9"/>
  <c r="Y1074" i="9"/>
  <c r="T1073" i="9"/>
  <c r="W1072" i="9"/>
  <c r="U1070" i="9"/>
  <c r="X1069" i="9"/>
  <c r="V1067" i="9"/>
  <c r="Y1066" i="9"/>
  <c r="T1065" i="9"/>
  <c r="W1064" i="9"/>
  <c r="U1062" i="9"/>
  <c r="X1061" i="9"/>
  <c r="V1059" i="9"/>
  <c r="Y1058" i="9"/>
  <c r="V1080" i="9"/>
  <c r="Y1079" i="9"/>
  <c r="T1078" i="9"/>
  <c r="W1077" i="9"/>
  <c r="U1075" i="9"/>
  <c r="X1074" i="9"/>
  <c r="V1072" i="9"/>
  <c r="Y1071" i="9"/>
  <c r="T1070" i="9"/>
  <c r="W1069" i="9"/>
  <c r="U1067" i="9"/>
  <c r="X1066" i="9"/>
  <c r="V1064" i="9"/>
  <c r="Y1063" i="9"/>
  <c r="T1062" i="9"/>
  <c r="W1061" i="9"/>
  <c r="U1059" i="9"/>
  <c r="X1058" i="9"/>
  <c r="U1080" i="9"/>
  <c r="X1079" i="9"/>
  <c r="V1077" i="9"/>
  <c r="Y1076" i="9"/>
  <c r="T1075" i="9"/>
  <c r="W1074" i="9"/>
  <c r="U1072" i="9"/>
  <c r="X1071" i="9"/>
  <c r="V1069" i="9"/>
  <c r="Y1068" i="9"/>
  <c r="T1067" i="9"/>
  <c r="W1066" i="9"/>
  <c r="U1064" i="9"/>
  <c r="X1063" i="9"/>
  <c r="V1061" i="9"/>
  <c r="Y1060" i="9"/>
  <c r="T1059" i="9"/>
  <c r="W1058" i="9"/>
  <c r="Y1081" i="9"/>
  <c r="T1080" i="9"/>
  <c r="W1079" i="9"/>
  <c r="U1077" i="9"/>
  <c r="X1076" i="9"/>
  <c r="V1074" i="9"/>
  <c r="Y1073" i="9"/>
  <c r="T1072" i="9"/>
  <c r="W1071" i="9"/>
  <c r="U1069" i="9"/>
  <c r="X1068" i="9"/>
  <c r="V1066" i="9"/>
  <c r="Y1065" i="9"/>
  <c r="T1064" i="9"/>
  <c r="W1063" i="9"/>
  <c r="U1061" i="9"/>
  <c r="X1060" i="9"/>
  <c r="V1058" i="9"/>
  <c r="Y1057" i="9"/>
  <c r="X1081" i="9"/>
  <c r="V1079" i="9"/>
  <c r="Y1078" i="9"/>
  <c r="T1077" i="9"/>
  <c r="W1076" i="9"/>
  <c r="U1074" i="9"/>
  <c r="X1073" i="9"/>
  <c r="V1071" i="9"/>
  <c r="Y1070" i="9"/>
  <c r="T1069" i="9"/>
  <c r="W1068" i="9"/>
  <c r="U1066" i="9"/>
  <c r="X1065" i="9"/>
  <c r="V1063" i="9"/>
  <c r="Y1062" i="9"/>
  <c r="T1061" i="9"/>
  <c r="W1060" i="9"/>
  <c r="U1058" i="9"/>
  <c r="X1057" i="9"/>
  <c r="W1081" i="9"/>
  <c r="U1079" i="9"/>
  <c r="X1078" i="9"/>
  <c r="V1076" i="9"/>
  <c r="Y1075" i="9"/>
  <c r="T1074" i="9"/>
  <c r="W1073" i="9"/>
  <c r="U1071" i="9"/>
  <c r="X1070" i="9"/>
  <c r="V1068" i="9"/>
  <c r="Y1067" i="9"/>
  <c r="T1066" i="9"/>
  <c r="W1065" i="9"/>
  <c r="U1063" i="9"/>
  <c r="X1062" i="9"/>
  <c r="V1060" i="9"/>
  <c r="Y1059" i="9"/>
  <c r="T1058" i="9"/>
  <c r="W1057" i="9"/>
  <c r="Y1072" i="9"/>
  <c r="V1065" i="9"/>
  <c r="T1057" i="9"/>
  <c r="T1056" i="9"/>
  <c r="W1055" i="9"/>
  <c r="U1053" i="9"/>
  <c r="X1052" i="9"/>
  <c r="V1050" i="9"/>
  <c r="Y1049" i="9"/>
  <c r="T1048" i="9"/>
  <c r="W1047" i="9"/>
  <c r="U1045" i="9"/>
  <c r="X1044" i="9"/>
  <c r="V1042" i="9"/>
  <c r="Y1041" i="9"/>
  <c r="T1040" i="9"/>
  <c r="W1039" i="9"/>
  <c r="U1037" i="9"/>
  <c r="X1036" i="9"/>
  <c r="V1034" i="9"/>
  <c r="Y1033" i="9"/>
  <c r="U1076" i="9"/>
  <c r="Y1064" i="9"/>
  <c r="Y1056" i="9"/>
  <c r="T1055" i="9"/>
  <c r="W1054" i="9"/>
  <c r="U1052" i="9"/>
  <c r="X1051" i="9"/>
  <c r="V1049" i="9"/>
  <c r="Y1048" i="9"/>
  <c r="T1047" i="9"/>
  <c r="W1046" i="9"/>
  <c r="U1044" i="9"/>
  <c r="X1043" i="9"/>
  <c r="V1041" i="9"/>
  <c r="Y1040" i="9"/>
  <c r="T1039" i="9"/>
  <c r="W1038" i="9"/>
  <c r="U1036" i="9"/>
  <c r="X1035" i="9"/>
  <c r="W1078" i="9"/>
  <c r="T1071" i="9"/>
  <c r="X1059" i="9"/>
  <c r="X1056" i="9"/>
  <c r="V1054" i="9"/>
  <c r="Y1053" i="9"/>
  <c r="T1052" i="9"/>
  <c r="W1051" i="9"/>
  <c r="U1049" i="9"/>
  <c r="X1048" i="9"/>
  <c r="V1046" i="9"/>
  <c r="Y1045" i="9"/>
  <c r="T1044" i="9"/>
  <c r="W1043" i="9"/>
  <c r="U1041" i="9"/>
  <c r="X1040" i="9"/>
  <c r="V1038" i="9"/>
  <c r="Y1080" i="9"/>
  <c r="V1073" i="9"/>
  <c r="W1056" i="9"/>
  <c r="U1054" i="9"/>
  <c r="X1053" i="9"/>
  <c r="V1051" i="9"/>
  <c r="Y1050" i="9"/>
  <c r="T1049" i="9"/>
  <c r="W1048" i="9"/>
  <c r="U1046" i="9"/>
  <c r="X1045" i="9"/>
  <c r="V1043" i="9"/>
  <c r="Y1042" i="9"/>
  <c r="T1041" i="9"/>
  <c r="W1040" i="9"/>
  <c r="U1038" i="9"/>
  <c r="X1075" i="9"/>
  <c r="U1068" i="9"/>
  <c r="V1056" i="9"/>
  <c r="Y1055" i="9"/>
  <c r="T1054" i="9"/>
  <c r="W1053" i="9"/>
  <c r="U1051" i="9"/>
  <c r="X1050" i="9"/>
  <c r="V1048" i="9"/>
  <c r="Y1047" i="9"/>
  <c r="T1046" i="9"/>
  <c r="W1045" i="9"/>
  <c r="U1043" i="9"/>
  <c r="X1042" i="9"/>
  <c r="V1040" i="9"/>
  <c r="Y1039" i="9"/>
  <c r="V1057" i="9"/>
  <c r="T1053" i="9"/>
  <c r="Y1052" i="9"/>
  <c r="W1049" i="9"/>
  <c r="V1045" i="9"/>
  <c r="T1042" i="9"/>
  <c r="X1041" i="9"/>
  <c r="X1038" i="9"/>
  <c r="W1037" i="9"/>
  <c r="W1035" i="9"/>
  <c r="W1034" i="9"/>
  <c r="V1033" i="9"/>
  <c r="X1032" i="9"/>
  <c r="V1030" i="9"/>
  <c r="Y1029" i="9"/>
  <c r="T1028" i="9"/>
  <c r="W1027" i="9"/>
  <c r="U1025" i="9"/>
  <c r="X1024" i="9"/>
  <c r="V1022" i="9"/>
  <c r="Y1021" i="9"/>
  <c r="T1020" i="9"/>
  <c r="W1019" i="9"/>
  <c r="U1017" i="9"/>
  <c r="X1016" i="9"/>
  <c r="T1079" i="9"/>
  <c r="U1060" i="9"/>
  <c r="V1055" i="9"/>
  <c r="Y1051" i="9"/>
  <c r="X1047" i="9"/>
  <c r="V1044" i="9"/>
  <c r="U1040" i="9"/>
  <c r="Y1036" i="9"/>
  <c r="T1035" i="9"/>
  <c r="U1032" i="9"/>
  <c r="X1031" i="9"/>
  <c r="V1029" i="9"/>
  <c r="Y1028" i="9"/>
  <c r="T1027" i="9"/>
  <c r="W1026" i="9"/>
  <c r="U1024" i="9"/>
  <c r="X1023" i="9"/>
  <c r="V1021" i="9"/>
  <c r="Y1020" i="9"/>
  <c r="T1019" i="9"/>
  <c r="W1018" i="9"/>
  <c r="U1055" i="9"/>
  <c r="Y1054" i="9"/>
  <c r="T1051" i="9"/>
  <c r="V1047" i="9"/>
  <c r="Y1043" i="9"/>
  <c r="X1039" i="9"/>
  <c r="W1036" i="9"/>
  <c r="T1032" i="9"/>
  <c r="W1031" i="9"/>
  <c r="U1029" i="9"/>
  <c r="X1028" i="9"/>
  <c r="V1026" i="9"/>
  <c r="Y1025" i="9"/>
  <c r="T1024" i="9"/>
  <c r="W1023" i="9"/>
  <c r="U1021" i="9"/>
  <c r="X1020" i="9"/>
  <c r="X1054" i="9"/>
  <c r="W1050" i="9"/>
  <c r="U1047" i="9"/>
  <c r="Y1046" i="9"/>
  <c r="T1043" i="9"/>
  <c r="V1039" i="9"/>
  <c r="V1036" i="9"/>
  <c r="V1031" i="9"/>
  <c r="Y1030" i="9"/>
  <c r="T1029" i="9"/>
  <c r="W1028" i="9"/>
  <c r="U1026" i="9"/>
  <c r="X1025" i="9"/>
  <c r="V1023" i="9"/>
  <c r="Y1022" i="9"/>
  <c r="T1021" i="9"/>
  <c r="W1070" i="9"/>
  <c r="U1050" i="9"/>
  <c r="X1046" i="9"/>
  <c r="W1042" i="9"/>
  <c r="U1039" i="9"/>
  <c r="Y1037" i="9"/>
  <c r="T1036" i="9"/>
  <c r="Y1034" i="9"/>
  <c r="X1033" i="9"/>
  <c r="U1031" i="9"/>
  <c r="X1030" i="9"/>
  <c r="V1028" i="9"/>
  <c r="Y1027" i="9"/>
  <c r="T1026" i="9"/>
  <c r="W1025" i="9"/>
  <c r="U1023" i="9"/>
  <c r="X1022" i="9"/>
  <c r="V1081" i="9"/>
  <c r="T1063" i="9"/>
  <c r="W1041" i="9"/>
  <c r="Y1035" i="9"/>
  <c r="W1030" i="9"/>
  <c r="U1027" i="9"/>
  <c r="Y1026" i="9"/>
  <c r="T1023" i="9"/>
  <c r="V1019" i="9"/>
  <c r="W1017" i="9"/>
  <c r="V1016" i="9"/>
  <c r="V1015" i="9"/>
  <c r="W1014" i="9"/>
  <c r="U1012" i="9"/>
  <c r="X1011" i="9"/>
  <c r="V1009" i="9"/>
  <c r="Y1008" i="9"/>
  <c r="T1007" i="9"/>
  <c r="W1006" i="9"/>
  <c r="U1004" i="9"/>
  <c r="X1003" i="9"/>
  <c r="V1001" i="9"/>
  <c r="Y1000" i="9"/>
  <c r="T999" i="9"/>
  <c r="X1055" i="9"/>
  <c r="Y1038" i="9"/>
  <c r="T1037" i="9"/>
  <c r="T1034" i="9"/>
  <c r="U1033" i="9"/>
  <c r="Y1032" i="9"/>
  <c r="W1029" i="9"/>
  <c r="V1025" i="9"/>
  <c r="T1022" i="9"/>
  <c r="W1020" i="9"/>
  <c r="X1018" i="9"/>
  <c r="T1014" i="9"/>
  <c r="W1013" i="9"/>
  <c r="U1011" i="9"/>
  <c r="X1010" i="9"/>
  <c r="V1008" i="9"/>
  <c r="Y1007" i="9"/>
  <c r="T1006" i="9"/>
  <c r="W1005" i="9"/>
  <c r="U1003" i="9"/>
  <c r="X1002" i="9"/>
  <c r="Y1044" i="9"/>
  <c r="U1042" i="9"/>
  <c r="T1038" i="9"/>
  <c r="T1033" i="9"/>
  <c r="W1032" i="9"/>
  <c r="T1025" i="9"/>
  <c r="Y1024" i="9"/>
  <c r="X1021" i="9"/>
  <c r="V1020" i="9"/>
  <c r="V1018" i="9"/>
  <c r="V1013" i="9"/>
  <c r="Y1012" i="9"/>
  <c r="T1011" i="9"/>
  <c r="W1010" i="9"/>
  <c r="U1008" i="9"/>
  <c r="X1007" i="9"/>
  <c r="V1005" i="9"/>
  <c r="Y1004" i="9"/>
  <c r="W1044" i="9"/>
  <c r="V1032" i="9"/>
  <c r="U1028" i="9"/>
  <c r="W1024" i="9"/>
  <c r="W1021" i="9"/>
  <c r="U1020" i="9"/>
  <c r="U1018" i="9"/>
  <c r="Y1015" i="9"/>
  <c r="U1013" i="9"/>
  <c r="X1012" i="9"/>
  <c r="V1010" i="9"/>
  <c r="Y1009" i="9"/>
  <c r="T1008" i="9"/>
  <c r="W1007" i="9"/>
  <c r="U1005" i="9"/>
  <c r="X1004" i="9"/>
  <c r="W1052" i="9"/>
  <c r="T1050" i="9"/>
  <c r="U1048" i="9"/>
  <c r="Y1031" i="9"/>
  <c r="X1027" i="9"/>
  <c r="V1024" i="9"/>
  <c r="Y1019" i="9"/>
  <c r="T1018" i="9"/>
  <c r="Y1017" i="9"/>
  <c r="Y1016" i="9"/>
  <c r="X1015" i="9"/>
  <c r="Y1014" i="9"/>
  <c r="T1013" i="9"/>
  <c r="W1012" i="9"/>
  <c r="U1010" i="9"/>
  <c r="X1009" i="9"/>
  <c r="V1007" i="9"/>
  <c r="Y1006" i="9"/>
  <c r="T1005" i="9"/>
  <c r="U1035" i="9"/>
  <c r="X1026" i="9"/>
  <c r="U1022" i="9"/>
  <c r="X1019" i="9"/>
  <c r="Y1018" i="9"/>
  <c r="V1017" i="9"/>
  <c r="W1016" i="9"/>
  <c r="T1012" i="9"/>
  <c r="Y1011" i="9"/>
  <c r="W1008" i="9"/>
  <c r="W1004" i="9"/>
  <c r="Y1003" i="9"/>
  <c r="T1002" i="9"/>
  <c r="Y1001" i="9"/>
  <c r="W1000" i="9"/>
  <c r="W999" i="9"/>
  <c r="W998" i="9"/>
  <c r="U996" i="9"/>
  <c r="X995" i="9"/>
  <c r="V993" i="9"/>
  <c r="Y992" i="9"/>
  <c r="T991" i="9"/>
  <c r="W990" i="9"/>
  <c r="U988" i="9"/>
  <c r="X987" i="9"/>
  <c r="V985" i="9"/>
  <c r="Y984" i="9"/>
  <c r="T983" i="9"/>
  <c r="W982" i="9"/>
  <c r="W1062" i="9"/>
  <c r="V1052" i="9"/>
  <c r="U1034" i="9"/>
  <c r="Y1023" i="9"/>
  <c r="T1015" i="9"/>
  <c r="V1014" i="9"/>
  <c r="Y1010" i="9"/>
  <c r="X1006" i="9"/>
  <c r="T1003" i="9"/>
  <c r="U1001" i="9"/>
  <c r="T1000" i="9"/>
  <c r="T998" i="9"/>
  <c r="W997" i="9"/>
  <c r="U995" i="9"/>
  <c r="X994" i="9"/>
  <c r="V992" i="9"/>
  <c r="Y991" i="9"/>
  <c r="T990" i="9"/>
  <c r="W989" i="9"/>
  <c r="U987" i="9"/>
  <c r="X986" i="9"/>
  <c r="V984" i="9"/>
  <c r="Y983" i="9"/>
  <c r="V1027" i="9"/>
  <c r="U1014" i="9"/>
  <c r="Y1013" i="9"/>
  <c r="T1010" i="9"/>
  <c r="V1006" i="9"/>
  <c r="Y1002" i="9"/>
  <c r="T1001" i="9"/>
  <c r="V997" i="9"/>
  <c r="Y996" i="9"/>
  <c r="T995" i="9"/>
  <c r="W994" i="9"/>
  <c r="U992" i="9"/>
  <c r="X991" i="9"/>
  <c r="V989" i="9"/>
  <c r="Y988" i="9"/>
  <c r="T987" i="9"/>
  <c r="W986" i="9"/>
  <c r="U984" i="9"/>
  <c r="U1056" i="9"/>
  <c r="T1045" i="9"/>
  <c r="T1031" i="9"/>
  <c r="X1029" i="9"/>
  <c r="X1013" i="9"/>
  <c r="W1009" i="9"/>
  <c r="U1006" i="9"/>
  <c r="Y1005" i="9"/>
  <c r="W1002" i="9"/>
  <c r="U997" i="9"/>
  <c r="X996" i="9"/>
  <c r="V994" i="9"/>
  <c r="Y993" i="9"/>
  <c r="T992" i="9"/>
  <c r="W991" i="9"/>
  <c r="U989" i="9"/>
  <c r="X988" i="9"/>
  <c r="V986" i="9"/>
  <c r="W1033" i="9"/>
  <c r="U1009" i="9"/>
  <c r="X1005" i="9"/>
  <c r="V1002" i="9"/>
  <c r="Y999" i="9"/>
  <c r="Y998" i="9"/>
  <c r="T997" i="9"/>
  <c r="W996" i="9"/>
  <c r="U994" i="9"/>
  <c r="X993" i="9"/>
  <c r="V991" i="9"/>
  <c r="Y990" i="9"/>
  <c r="T989" i="9"/>
  <c r="W988" i="9"/>
  <c r="X1034" i="9"/>
  <c r="W1022" i="9"/>
  <c r="U1016" i="9"/>
  <c r="U993" i="9"/>
  <c r="X989" i="9"/>
  <c r="Y986" i="9"/>
  <c r="U985" i="9"/>
  <c r="W984" i="9"/>
  <c r="Y982" i="9"/>
  <c r="X981" i="9"/>
  <c r="U979" i="9"/>
  <c r="X978" i="9"/>
  <c r="V976" i="9"/>
  <c r="Y975" i="9"/>
  <c r="T974" i="9"/>
  <c r="W973" i="9"/>
  <c r="U971" i="9"/>
  <c r="X970" i="9"/>
  <c r="V968" i="9"/>
  <c r="Y967" i="9"/>
  <c r="T966" i="9"/>
  <c r="W965" i="9"/>
  <c r="U963" i="9"/>
  <c r="X962" i="9"/>
  <c r="V960" i="9"/>
  <c r="Y959" i="9"/>
  <c r="T958" i="9"/>
  <c r="W957" i="9"/>
  <c r="U955" i="9"/>
  <c r="X954" i="9"/>
  <c r="V952" i="9"/>
  <c r="Y951" i="9"/>
  <c r="T950" i="9"/>
  <c r="W949" i="9"/>
  <c r="U947" i="9"/>
  <c r="X946" i="9"/>
  <c r="X1067" i="9"/>
  <c r="T1016" i="9"/>
  <c r="V996" i="9"/>
  <c r="T993" i="9"/>
  <c r="X992" i="9"/>
  <c r="U986" i="9"/>
  <c r="T985" i="9"/>
  <c r="T984" i="9"/>
  <c r="X982" i="9"/>
  <c r="W981" i="9"/>
  <c r="W1011" i="9"/>
  <c r="T1009" i="9"/>
  <c r="U1007" i="9"/>
  <c r="X1001" i="9"/>
  <c r="X1000" i="9"/>
  <c r="T996" i="9"/>
  <c r="Y995" i="9"/>
  <c r="W992" i="9"/>
  <c r="V988" i="9"/>
  <c r="T986" i="9"/>
  <c r="X983" i="9"/>
  <c r="V982" i="9"/>
  <c r="V981" i="9"/>
  <c r="W1015" i="9"/>
  <c r="V1011" i="9"/>
  <c r="W1003" i="9"/>
  <c r="U1002" i="9"/>
  <c r="W1001" i="9"/>
  <c r="V1000" i="9"/>
  <c r="X999" i="9"/>
  <c r="W995" i="9"/>
  <c r="T988" i="9"/>
  <c r="Y987" i="9"/>
  <c r="W983" i="9"/>
  <c r="U982" i="9"/>
  <c r="U981" i="9"/>
  <c r="W980" i="9"/>
  <c r="U978" i="9"/>
  <c r="X977" i="9"/>
  <c r="V975" i="9"/>
  <c r="Y974" i="9"/>
  <c r="T973" i="9"/>
  <c r="W972" i="9"/>
  <c r="U970" i="9"/>
  <c r="X969" i="9"/>
  <c r="V967" i="9"/>
  <c r="Y966" i="9"/>
  <c r="T965" i="9"/>
  <c r="W964" i="9"/>
  <c r="U962" i="9"/>
  <c r="X961" i="9"/>
  <c r="V959" i="9"/>
  <c r="Y958" i="9"/>
  <c r="T957" i="9"/>
  <c r="W956" i="9"/>
  <c r="U954" i="9"/>
  <c r="X953" i="9"/>
  <c r="V951" i="9"/>
  <c r="Y950" i="9"/>
  <c r="T949" i="9"/>
  <c r="W948" i="9"/>
  <c r="U946" i="9"/>
  <c r="X945" i="9"/>
  <c r="V1053" i="9"/>
  <c r="X1037" i="9"/>
  <c r="X1017" i="9"/>
  <c r="U1015" i="9"/>
  <c r="V1003" i="9"/>
  <c r="U1000" i="9"/>
  <c r="V999" i="9"/>
  <c r="X998" i="9"/>
  <c r="V995" i="9"/>
  <c r="U991" i="9"/>
  <c r="W987" i="9"/>
  <c r="V983" i="9"/>
  <c r="T982" i="9"/>
  <c r="T981" i="9"/>
  <c r="V980" i="9"/>
  <c r="Y979" i="9"/>
  <c r="T978" i="9"/>
  <c r="W977" i="9"/>
  <c r="U975" i="9"/>
  <c r="X974" i="9"/>
  <c r="V972" i="9"/>
  <c r="Y971" i="9"/>
  <c r="T970" i="9"/>
  <c r="W969" i="9"/>
  <c r="U967" i="9"/>
  <c r="X966" i="9"/>
  <c r="V964" i="9"/>
  <c r="Y963" i="9"/>
  <c r="T962" i="9"/>
  <c r="W961" i="9"/>
  <c r="U959" i="9"/>
  <c r="X958" i="9"/>
  <c r="V956" i="9"/>
  <c r="Y955" i="9"/>
  <c r="T954" i="9"/>
  <c r="W953" i="9"/>
  <c r="U951" i="9"/>
  <c r="X950" i="9"/>
  <c r="V948" i="9"/>
  <c r="Y947" i="9"/>
  <c r="T946" i="9"/>
  <c r="X1049" i="9"/>
  <c r="V1037" i="9"/>
  <c r="U1030" i="9"/>
  <c r="T1017" i="9"/>
  <c r="X1008" i="9"/>
  <c r="V1004" i="9"/>
  <c r="U999" i="9"/>
  <c r="V998" i="9"/>
  <c r="Y994" i="9"/>
  <c r="X990" i="9"/>
  <c r="V987" i="9"/>
  <c r="Y985" i="9"/>
  <c r="U983" i="9"/>
  <c r="U980" i="9"/>
  <c r="X979" i="9"/>
  <c r="V977" i="9"/>
  <c r="Y976" i="9"/>
  <c r="T975" i="9"/>
  <c r="W974" i="9"/>
  <c r="U972" i="9"/>
  <c r="X971" i="9"/>
  <c r="V969" i="9"/>
  <c r="Y968" i="9"/>
  <c r="T967" i="9"/>
  <c r="W966" i="9"/>
  <c r="U964" i="9"/>
  <c r="X963" i="9"/>
  <c r="V961" i="9"/>
  <c r="Y960" i="9"/>
  <c r="T959" i="9"/>
  <c r="W958" i="9"/>
  <c r="U956" i="9"/>
  <c r="X955" i="9"/>
  <c r="V953" i="9"/>
  <c r="Y952" i="9"/>
  <c r="T951" i="9"/>
  <c r="W950" i="9"/>
  <c r="U948" i="9"/>
  <c r="X947" i="9"/>
  <c r="V945" i="9"/>
  <c r="V1035" i="9"/>
  <c r="T1030" i="9"/>
  <c r="V1012" i="9"/>
  <c r="T1004" i="9"/>
  <c r="U998" i="9"/>
  <c r="Y997" i="9"/>
  <c r="T994" i="9"/>
  <c r="V990" i="9"/>
  <c r="X985" i="9"/>
  <c r="T980" i="9"/>
  <c r="W979" i="9"/>
  <c r="U977" i="9"/>
  <c r="X976" i="9"/>
  <c r="V974" i="9"/>
  <c r="Y973" i="9"/>
  <c r="T972" i="9"/>
  <c r="W971" i="9"/>
  <c r="U969" i="9"/>
  <c r="X968" i="9"/>
  <c r="V966" i="9"/>
  <c r="Y965" i="9"/>
  <c r="T964" i="9"/>
  <c r="W963" i="9"/>
  <c r="U961" i="9"/>
  <c r="X960" i="9"/>
  <c r="V958" i="9"/>
  <c r="Y957" i="9"/>
  <c r="T956" i="9"/>
  <c r="W955" i="9"/>
  <c r="U953" i="9"/>
  <c r="X952" i="9"/>
  <c r="V950" i="9"/>
  <c r="Y949" i="9"/>
  <c r="T948" i="9"/>
  <c r="W947" i="9"/>
  <c r="Y980" i="9"/>
  <c r="T977" i="9"/>
  <c r="V973" i="9"/>
  <c r="Y969" i="9"/>
  <c r="X965" i="9"/>
  <c r="V962" i="9"/>
  <c r="U958" i="9"/>
  <c r="W954" i="9"/>
  <c r="T947" i="9"/>
  <c r="Y946" i="9"/>
  <c r="T945" i="9"/>
  <c r="X944" i="9"/>
  <c r="X997" i="9"/>
  <c r="W985" i="9"/>
  <c r="U976" i="9"/>
  <c r="X972" i="9"/>
  <c r="W968" i="9"/>
  <c r="U965" i="9"/>
  <c r="Y964" i="9"/>
  <c r="T961" i="9"/>
  <c r="V957" i="9"/>
  <c r="Y953" i="9"/>
  <c r="X949" i="9"/>
  <c r="V946" i="9"/>
  <c r="V944" i="9"/>
  <c r="Y943" i="9"/>
  <c r="U1019" i="9"/>
  <c r="Y989" i="9"/>
  <c r="X984" i="9"/>
  <c r="Y981" i="9"/>
  <c r="T979" i="9"/>
  <c r="Y978" i="9"/>
  <c r="W975" i="9"/>
  <c r="V971" i="9"/>
  <c r="T968" i="9"/>
  <c r="X967" i="9"/>
  <c r="U960" i="9"/>
  <c r="X956" i="9"/>
  <c r="W952" i="9"/>
  <c r="U949" i="9"/>
  <c r="Y948" i="9"/>
  <c r="T944" i="9"/>
  <c r="W943" i="9"/>
  <c r="U941" i="9"/>
  <c r="X940" i="9"/>
  <c r="V938" i="9"/>
  <c r="Y937" i="9"/>
  <c r="T936" i="9"/>
  <c r="W935" i="9"/>
  <c r="U933" i="9"/>
  <c r="X932" i="9"/>
  <c r="V930" i="9"/>
  <c r="Y929" i="9"/>
  <c r="T928" i="9"/>
  <c r="W927" i="9"/>
  <c r="U925" i="9"/>
  <c r="X924" i="9"/>
  <c r="V922" i="9"/>
  <c r="Y921" i="9"/>
  <c r="T920" i="9"/>
  <c r="W919" i="9"/>
  <c r="U917" i="9"/>
  <c r="X916" i="9"/>
  <c r="V914" i="9"/>
  <c r="Y913" i="9"/>
  <c r="T912" i="9"/>
  <c r="W911" i="9"/>
  <c r="W978" i="9"/>
  <c r="T971" i="9"/>
  <c r="Y970" i="9"/>
  <c r="W967" i="9"/>
  <c r="V963" i="9"/>
  <c r="T960" i="9"/>
  <c r="X959" i="9"/>
  <c r="U952" i="9"/>
  <c r="X948" i="9"/>
  <c r="Y945" i="9"/>
  <c r="V943" i="9"/>
  <c r="Y942" i="9"/>
  <c r="T941" i="9"/>
  <c r="W940" i="9"/>
  <c r="U938" i="9"/>
  <c r="X937" i="9"/>
  <c r="V935" i="9"/>
  <c r="Y934" i="9"/>
  <c r="T933" i="9"/>
  <c r="W932" i="9"/>
  <c r="U930" i="9"/>
  <c r="X929" i="9"/>
  <c r="V927" i="9"/>
  <c r="Y926" i="9"/>
  <c r="T925" i="9"/>
  <c r="W924" i="9"/>
  <c r="U922" i="9"/>
  <c r="X921" i="9"/>
  <c r="V919" i="9"/>
  <c r="Y918" i="9"/>
  <c r="T917" i="9"/>
  <c r="W916" i="9"/>
  <c r="U914" i="9"/>
  <c r="X913" i="9"/>
  <c r="V911" i="9"/>
  <c r="Y910" i="9"/>
  <c r="X1014" i="9"/>
  <c r="V978" i="9"/>
  <c r="U974" i="9"/>
  <c r="W970" i="9"/>
  <c r="T963" i="9"/>
  <c r="Y962" i="9"/>
  <c r="W959" i="9"/>
  <c r="V955" i="9"/>
  <c r="T952" i="9"/>
  <c r="X951" i="9"/>
  <c r="W945" i="9"/>
  <c r="U943" i="9"/>
  <c r="X942" i="9"/>
  <c r="V940" i="9"/>
  <c r="Y939" i="9"/>
  <c r="T938" i="9"/>
  <c r="W937" i="9"/>
  <c r="U935" i="9"/>
  <c r="X934" i="9"/>
  <c r="V932" i="9"/>
  <c r="Y931" i="9"/>
  <c r="T930" i="9"/>
  <c r="W929" i="9"/>
  <c r="U927" i="9"/>
  <c r="X926" i="9"/>
  <c r="V924" i="9"/>
  <c r="Y923" i="9"/>
  <c r="T922" i="9"/>
  <c r="W921" i="9"/>
  <c r="U919" i="9"/>
  <c r="X918" i="9"/>
  <c r="V916" i="9"/>
  <c r="Y915" i="9"/>
  <c r="T914" i="9"/>
  <c r="W913" i="9"/>
  <c r="U911" i="9"/>
  <c r="X910" i="9"/>
  <c r="U990" i="9"/>
  <c r="X980" i="9"/>
  <c r="T976" i="9"/>
  <c r="Y961" i="9"/>
  <c r="U957" i="9"/>
  <c r="T943" i="9"/>
  <c r="T942" i="9"/>
  <c r="V941" i="9"/>
  <c r="U940" i="9"/>
  <c r="W939" i="9"/>
  <c r="Y938" i="9"/>
  <c r="T932" i="9"/>
  <c r="V931" i="9"/>
  <c r="X930" i="9"/>
  <c r="Y928" i="9"/>
  <c r="U923" i="9"/>
  <c r="W922" i="9"/>
  <c r="V921" i="9"/>
  <c r="X920" i="9"/>
  <c r="T915" i="9"/>
  <c r="U913" i="9"/>
  <c r="W912" i="9"/>
  <c r="Y911" i="9"/>
  <c r="U909" i="9"/>
  <c r="X908" i="9"/>
  <c r="V906" i="9"/>
  <c r="Y905" i="9"/>
  <c r="T904" i="9"/>
  <c r="W903" i="9"/>
  <c r="U901" i="9"/>
  <c r="X900" i="9"/>
  <c r="V898" i="9"/>
  <c r="Y897" i="9"/>
  <c r="T896" i="9"/>
  <c r="W895" i="9"/>
  <c r="U893" i="9"/>
  <c r="X892" i="9"/>
  <c r="V890" i="9"/>
  <c r="Y889" i="9"/>
  <c r="T888" i="9"/>
  <c r="W887" i="9"/>
  <c r="U885" i="9"/>
  <c r="V965" i="9"/>
  <c r="W946" i="9"/>
  <c r="X973" i="9"/>
  <c r="T969" i="9"/>
  <c r="Y954" i="9"/>
  <c r="U950" i="9"/>
  <c r="Y977" i="9"/>
  <c r="X975" i="9"/>
  <c r="U973" i="9"/>
  <c r="Y956" i="9"/>
  <c r="V954" i="9"/>
  <c r="T939" i="9"/>
  <c r="U937" i="9"/>
  <c r="W936" i="9"/>
  <c r="Y935" i="9"/>
  <c r="T929" i="9"/>
  <c r="V928" i="9"/>
  <c r="X927" i="9"/>
  <c r="W926" i="9"/>
  <c r="Y925" i="9"/>
  <c r="U920" i="9"/>
  <c r="T919" i="9"/>
  <c r="V918" i="9"/>
  <c r="X917" i="9"/>
  <c r="U910" i="9"/>
  <c r="U908" i="9"/>
  <c r="X907" i="9"/>
  <c r="V905" i="9"/>
  <c r="Y904" i="9"/>
  <c r="T903" i="9"/>
  <c r="W902" i="9"/>
  <c r="U900" i="9"/>
  <c r="X899" i="9"/>
  <c r="V897" i="9"/>
  <c r="Y896" i="9"/>
  <c r="T895" i="9"/>
  <c r="W894" i="9"/>
  <c r="U892" i="9"/>
  <c r="X891" i="9"/>
  <c r="V889" i="9"/>
  <c r="Y888" i="9"/>
  <c r="T887" i="9"/>
  <c r="V979" i="9"/>
  <c r="W962" i="9"/>
  <c r="W960" i="9"/>
  <c r="Y944" i="9"/>
  <c r="T937" i="9"/>
  <c r="V936" i="9"/>
  <c r="X935" i="9"/>
  <c r="W934" i="9"/>
  <c r="Y933" i="9"/>
  <c r="U928" i="9"/>
  <c r="T927" i="9"/>
  <c r="V926" i="9"/>
  <c r="X925" i="9"/>
  <c r="U918" i="9"/>
  <c r="W917" i="9"/>
  <c r="Y916" i="9"/>
  <c r="X915" i="9"/>
  <c r="T910" i="9"/>
  <c r="Y909" i="9"/>
  <c r="T908" i="9"/>
  <c r="W907" i="9"/>
  <c r="U905" i="9"/>
  <c r="X904" i="9"/>
  <c r="V902" i="9"/>
  <c r="Y901" i="9"/>
  <c r="T900" i="9"/>
  <c r="W899" i="9"/>
  <c r="U897" i="9"/>
  <c r="X896" i="9"/>
  <c r="V894" i="9"/>
  <c r="Y893" i="9"/>
  <c r="T892" i="9"/>
  <c r="W891" i="9"/>
  <c r="U889" i="9"/>
  <c r="X888" i="9"/>
  <c r="U966" i="9"/>
  <c r="X964" i="9"/>
  <c r="V947" i="9"/>
  <c r="W944" i="9"/>
  <c r="W942" i="9"/>
  <c r="Y941" i="9"/>
  <c r="U936" i="9"/>
  <c r="T935" i="9"/>
  <c r="V934" i="9"/>
  <c r="X933" i="9"/>
  <c r="U926" i="9"/>
  <c r="W925" i="9"/>
  <c r="Y924" i="9"/>
  <c r="X923" i="9"/>
  <c r="T918" i="9"/>
  <c r="V917" i="9"/>
  <c r="U916" i="9"/>
  <c r="W915" i="9"/>
  <c r="Y914" i="9"/>
  <c r="X909" i="9"/>
  <c r="V907" i="9"/>
  <c r="Y906" i="9"/>
  <c r="T905" i="9"/>
  <c r="W904" i="9"/>
  <c r="U902" i="9"/>
  <c r="X901" i="9"/>
  <c r="V899" i="9"/>
  <c r="Y898" i="9"/>
  <c r="T897" i="9"/>
  <c r="W896" i="9"/>
  <c r="U894" i="9"/>
  <c r="X893" i="9"/>
  <c r="V891" i="9"/>
  <c r="W993" i="9"/>
  <c r="Y972" i="9"/>
  <c r="V970" i="9"/>
  <c r="U968" i="9"/>
  <c r="W951" i="9"/>
  <c r="V949" i="9"/>
  <c r="U945" i="9"/>
  <c r="U944" i="9"/>
  <c r="V942" i="9"/>
  <c r="X941" i="9"/>
  <c r="U934" i="9"/>
  <c r="W933" i="9"/>
  <c r="Y932" i="9"/>
  <c r="X931" i="9"/>
  <c r="T926" i="9"/>
  <c r="V925" i="9"/>
  <c r="U924" i="9"/>
  <c r="W923" i="9"/>
  <c r="Y922" i="9"/>
  <c r="T916" i="9"/>
  <c r="V915" i="9"/>
  <c r="X914" i="9"/>
  <c r="Y912" i="9"/>
  <c r="W909" i="9"/>
  <c r="U907" i="9"/>
  <c r="X906" i="9"/>
  <c r="V904" i="9"/>
  <c r="Y903" i="9"/>
  <c r="T902" i="9"/>
  <c r="W901" i="9"/>
  <c r="U899" i="9"/>
  <c r="X898" i="9"/>
  <c r="V896" i="9"/>
  <c r="Y895" i="9"/>
  <c r="T894" i="9"/>
  <c r="W893" i="9"/>
  <c r="W941" i="9"/>
  <c r="X939" i="9"/>
  <c r="W938" i="9"/>
  <c r="V939" i="9"/>
  <c r="Y940" i="9"/>
  <c r="U939" i="9"/>
  <c r="W976" i="9"/>
  <c r="T940" i="9"/>
  <c r="X957" i="9"/>
  <c r="X943" i="9"/>
  <c r="X936" i="9"/>
  <c r="U931" i="9"/>
  <c r="X922" i="9"/>
  <c r="T921" i="9"/>
  <c r="Y917" i="9"/>
  <c r="V912" i="9"/>
  <c r="Y907" i="9"/>
  <c r="X903" i="9"/>
  <c r="V900" i="9"/>
  <c r="U896" i="9"/>
  <c r="W892" i="9"/>
  <c r="Y890" i="9"/>
  <c r="U887" i="9"/>
  <c r="V883" i="9"/>
  <c r="Y882" i="9"/>
  <c r="T881" i="9"/>
  <c r="W880" i="9"/>
  <c r="U878" i="9"/>
  <c r="X877" i="9"/>
  <c r="V875" i="9"/>
  <c r="Y874" i="9"/>
  <c r="T873" i="9"/>
  <c r="W872" i="9"/>
  <c r="U870" i="9"/>
  <c r="X869" i="9"/>
  <c r="V867" i="9"/>
  <c r="Y866" i="9"/>
  <c r="T865" i="9"/>
  <c r="W864" i="9"/>
  <c r="U862" i="9"/>
  <c r="X861" i="9"/>
  <c r="V859" i="9"/>
  <c r="Y858" i="9"/>
  <c r="T857" i="9"/>
  <c r="W856" i="9"/>
  <c r="U854" i="9"/>
  <c r="T955" i="9"/>
  <c r="U932" i="9"/>
  <c r="T931" i="9"/>
  <c r="Y927" i="9"/>
  <c r="V913" i="9"/>
  <c r="U912" i="9"/>
  <c r="T907" i="9"/>
  <c r="V903" i="9"/>
  <c r="Y899" i="9"/>
  <c r="X895" i="9"/>
  <c r="V892" i="9"/>
  <c r="X890" i="9"/>
  <c r="Y886" i="9"/>
  <c r="Y885" i="9"/>
  <c r="U883" i="9"/>
  <c r="X882" i="9"/>
  <c r="V880" i="9"/>
  <c r="Y879" i="9"/>
  <c r="T878" i="9"/>
  <c r="W877" i="9"/>
  <c r="U875" i="9"/>
  <c r="X874" i="9"/>
  <c r="V872" i="9"/>
  <c r="Y871" i="9"/>
  <c r="T870" i="9"/>
  <c r="W869" i="9"/>
  <c r="U867" i="9"/>
  <c r="X866" i="9"/>
  <c r="V864" i="9"/>
  <c r="Y863" i="9"/>
  <c r="T862" i="9"/>
  <c r="W861" i="9"/>
  <c r="U859" i="9"/>
  <c r="X858" i="9"/>
  <c r="V856" i="9"/>
  <c r="Y855" i="9"/>
  <c r="T854" i="9"/>
  <c r="T953" i="9"/>
  <c r="U942" i="9"/>
  <c r="V937" i="9"/>
  <c r="X928" i="9"/>
  <c r="V923" i="9"/>
  <c r="W918" i="9"/>
  <c r="T913" i="9"/>
  <c r="W906" i="9"/>
  <c r="U903" i="9"/>
  <c r="Y902" i="9"/>
  <c r="T899" i="9"/>
  <c r="V895" i="9"/>
  <c r="W890" i="9"/>
  <c r="X889" i="9"/>
  <c r="X886" i="9"/>
  <c r="X885" i="9"/>
  <c r="Y884" i="9"/>
  <c r="T883" i="9"/>
  <c r="W882" i="9"/>
  <c r="U880" i="9"/>
  <c r="X879" i="9"/>
  <c r="V877" i="9"/>
  <c r="Y876" i="9"/>
  <c r="T875" i="9"/>
  <c r="W874" i="9"/>
  <c r="U872" i="9"/>
  <c r="X871" i="9"/>
  <c r="V869" i="9"/>
  <c r="Y868" i="9"/>
  <c r="T867" i="9"/>
  <c r="W866" i="9"/>
  <c r="U864" i="9"/>
  <c r="X863" i="9"/>
  <c r="V861" i="9"/>
  <c r="Y860" i="9"/>
  <c r="T859" i="9"/>
  <c r="W858" i="9"/>
  <c r="U856" i="9"/>
  <c r="X855" i="9"/>
  <c r="Y908" i="9"/>
  <c r="U898" i="9"/>
  <c r="Y894" i="9"/>
  <c r="V893" i="9"/>
  <c r="W889" i="9"/>
  <c r="V887" i="9"/>
  <c r="U879" i="9"/>
  <c r="W878" i="9"/>
  <c r="Y877" i="9"/>
  <c r="X876" i="9"/>
  <c r="T871" i="9"/>
  <c r="V870" i="9"/>
  <c r="U869" i="9"/>
  <c r="W868" i="9"/>
  <c r="Y867" i="9"/>
  <c r="T861" i="9"/>
  <c r="V860" i="9"/>
  <c r="X859" i="9"/>
  <c r="Y857" i="9"/>
  <c r="T853" i="9"/>
  <c r="W852" i="9"/>
  <c r="U850" i="9"/>
  <c r="X849" i="9"/>
  <c r="V847" i="9"/>
  <c r="Y846" i="9"/>
  <c r="T845" i="9"/>
  <c r="W844" i="9"/>
  <c r="U842" i="9"/>
  <c r="X841" i="9"/>
  <c r="V839" i="9"/>
  <c r="Y838" i="9"/>
  <c r="T837" i="9"/>
  <c r="W836" i="9"/>
  <c r="U834" i="9"/>
  <c r="X833" i="9"/>
  <c r="V831" i="9"/>
  <c r="Y830" i="9"/>
  <c r="T829" i="9"/>
  <c r="W828" i="9"/>
  <c r="U826" i="9"/>
  <c r="X825" i="9"/>
  <c r="V823" i="9"/>
  <c r="Y822" i="9"/>
  <c r="T821" i="9"/>
  <c r="W820" i="9"/>
  <c r="U818" i="9"/>
  <c r="Y919" i="9"/>
  <c r="W908" i="9"/>
  <c r="T898" i="9"/>
  <c r="X894" i="9"/>
  <c r="T893" i="9"/>
  <c r="T889" i="9"/>
  <c r="X884" i="9"/>
  <c r="T879" i="9"/>
  <c r="V878" i="9"/>
  <c r="U877" i="9"/>
  <c r="W876" i="9"/>
  <c r="Y875" i="9"/>
  <c r="T869" i="9"/>
  <c r="V868" i="9"/>
  <c r="X867" i="9"/>
  <c r="Y865" i="9"/>
  <c r="V933" i="9"/>
  <c r="V929" i="9"/>
  <c r="T923" i="9"/>
  <c r="X919" i="9"/>
  <c r="U915" i="9"/>
  <c r="X911" i="9"/>
  <c r="V909" i="9"/>
  <c r="V908" i="9"/>
  <c r="W888" i="9"/>
  <c r="W885" i="9"/>
  <c r="W884" i="9"/>
  <c r="Y883" i="9"/>
  <c r="T877" i="9"/>
  <c r="V876" i="9"/>
  <c r="X875" i="9"/>
  <c r="Y873" i="9"/>
  <c r="U868" i="9"/>
  <c r="W867" i="9"/>
  <c r="V866" i="9"/>
  <c r="X865" i="9"/>
  <c r="W931" i="9"/>
  <c r="U929" i="9"/>
  <c r="U921" i="9"/>
  <c r="T911" i="9"/>
  <c r="T909" i="9"/>
  <c r="X905" i="9"/>
  <c r="U904" i="9"/>
  <c r="Y900" i="9"/>
  <c r="U895" i="9"/>
  <c r="V888" i="9"/>
  <c r="W886" i="9"/>
  <c r="V885" i="9"/>
  <c r="V884" i="9"/>
  <c r="X883" i="9"/>
  <c r="Y881" i="9"/>
  <c r="U876" i="9"/>
  <c r="W875" i="9"/>
  <c r="V874" i="9"/>
  <c r="X873" i="9"/>
  <c r="T868" i="9"/>
  <c r="U866" i="9"/>
  <c r="W865" i="9"/>
  <c r="Y864" i="9"/>
  <c r="T858" i="9"/>
  <c r="V857" i="9"/>
  <c r="X856" i="9"/>
  <c r="W855" i="9"/>
  <c r="Y854" i="9"/>
  <c r="Y853" i="9"/>
  <c r="T852" i="9"/>
  <c r="W851" i="9"/>
  <c r="U849" i="9"/>
  <c r="X848" i="9"/>
  <c r="V846" i="9"/>
  <c r="Y845" i="9"/>
  <c r="T844" i="9"/>
  <c r="W843" i="9"/>
  <c r="U841" i="9"/>
  <c r="X840" i="9"/>
  <c r="V838" i="9"/>
  <c r="Y837" i="9"/>
  <c r="T836" i="9"/>
  <c r="W835" i="9"/>
  <c r="U833" i="9"/>
  <c r="X832" i="9"/>
  <c r="V830" i="9"/>
  <c r="Y829" i="9"/>
  <c r="T828" i="9"/>
  <c r="W827" i="9"/>
  <c r="U825" i="9"/>
  <c r="X824" i="9"/>
  <c r="V822" i="9"/>
  <c r="X938" i="9"/>
  <c r="W905" i="9"/>
  <c r="W900" i="9"/>
  <c r="Y891" i="9"/>
  <c r="U888" i="9"/>
  <c r="V886" i="9"/>
  <c r="T885" i="9"/>
  <c r="U884" i="9"/>
  <c r="W883" i="9"/>
  <c r="V882" i="9"/>
  <c r="X881" i="9"/>
  <c r="T876" i="9"/>
  <c r="U874" i="9"/>
  <c r="W873" i="9"/>
  <c r="Y872" i="9"/>
  <c r="T866" i="9"/>
  <c r="V865" i="9"/>
  <c r="X864" i="9"/>
  <c r="W863" i="9"/>
  <c r="Y862" i="9"/>
  <c r="U857" i="9"/>
  <c r="T856" i="9"/>
  <c r="V855" i="9"/>
  <c r="X854" i="9"/>
  <c r="X853" i="9"/>
  <c r="V851" i="9"/>
  <c r="Y850" i="9"/>
  <c r="T849" i="9"/>
  <c r="W848" i="9"/>
  <c r="U846" i="9"/>
  <c r="X845" i="9"/>
  <c r="V843" i="9"/>
  <c r="Y842" i="9"/>
  <c r="T841" i="9"/>
  <c r="W840" i="9"/>
  <c r="U838" i="9"/>
  <c r="X837" i="9"/>
  <c r="V835" i="9"/>
  <c r="Y834" i="9"/>
  <c r="T833" i="9"/>
  <c r="W832" i="9"/>
  <c r="U830" i="9"/>
  <c r="X829" i="9"/>
  <c r="V827" i="9"/>
  <c r="Y826" i="9"/>
  <c r="T825" i="9"/>
  <c r="W824" i="9"/>
  <c r="Y920" i="9"/>
  <c r="W914" i="9"/>
  <c r="W910" i="9"/>
  <c r="U906" i="9"/>
  <c r="V901" i="9"/>
  <c r="U891" i="9"/>
  <c r="U886" i="9"/>
  <c r="T884" i="9"/>
  <c r="U882" i="9"/>
  <c r="W881" i="9"/>
  <c r="Y880" i="9"/>
  <c r="T874" i="9"/>
  <c r="V873" i="9"/>
  <c r="X872" i="9"/>
  <c r="W871" i="9"/>
  <c r="Y870" i="9"/>
  <c r="U865" i="9"/>
  <c r="T864" i="9"/>
  <c r="V863" i="9"/>
  <c r="X862" i="9"/>
  <c r="U855" i="9"/>
  <c r="W854" i="9"/>
  <c r="W853" i="9"/>
  <c r="U851" i="9"/>
  <c r="X850" i="9"/>
  <c r="V848" i="9"/>
  <c r="Y847" i="9"/>
  <c r="T846" i="9"/>
  <c r="W845" i="9"/>
  <c r="U843" i="9"/>
  <c r="X842" i="9"/>
  <c r="V840" i="9"/>
  <c r="Y839" i="9"/>
  <c r="T838" i="9"/>
  <c r="W837" i="9"/>
  <c r="U835" i="9"/>
  <c r="X834" i="9"/>
  <c r="V832" i="9"/>
  <c r="Y831" i="9"/>
  <c r="T830" i="9"/>
  <c r="W829" i="9"/>
  <c r="U827" i="9"/>
  <c r="X826" i="9"/>
  <c r="V824" i="9"/>
  <c r="Y823" i="9"/>
  <c r="T822" i="9"/>
  <c r="W821" i="9"/>
  <c r="U819" i="9"/>
  <c r="X818" i="9"/>
  <c r="Y930" i="9"/>
  <c r="W928" i="9"/>
  <c r="T924" i="9"/>
  <c r="W920" i="9"/>
  <c r="X912" i="9"/>
  <c r="V910" i="9"/>
  <c r="T906" i="9"/>
  <c r="X902" i="9"/>
  <c r="T901" i="9"/>
  <c r="X897" i="9"/>
  <c r="Y892" i="9"/>
  <c r="T891" i="9"/>
  <c r="U890" i="9"/>
  <c r="Y887" i="9"/>
  <c r="T886" i="9"/>
  <c r="T882" i="9"/>
  <c r="V881" i="9"/>
  <c r="X880" i="9"/>
  <c r="W879" i="9"/>
  <c r="Y878" i="9"/>
  <c r="U873" i="9"/>
  <c r="T872" i="9"/>
  <c r="V871" i="9"/>
  <c r="X870" i="9"/>
  <c r="U863" i="9"/>
  <c r="W862" i="9"/>
  <c r="Y861" i="9"/>
  <c r="X860" i="9"/>
  <c r="T855" i="9"/>
  <c r="V854" i="9"/>
  <c r="V853" i="9"/>
  <c r="Y852" i="9"/>
  <c r="T851" i="9"/>
  <c r="W850" i="9"/>
  <c r="U848" i="9"/>
  <c r="X847" i="9"/>
  <c r="V845" i="9"/>
  <c r="Y844" i="9"/>
  <c r="T843" i="9"/>
  <c r="W842" i="9"/>
  <c r="U840" i="9"/>
  <c r="X839" i="9"/>
  <c r="V837" i="9"/>
  <c r="Y836" i="9"/>
  <c r="T835" i="9"/>
  <c r="W834" i="9"/>
  <c r="U832" i="9"/>
  <c r="X831" i="9"/>
  <c r="V829" i="9"/>
  <c r="Y828" i="9"/>
  <c r="T827" i="9"/>
  <c r="W826" i="9"/>
  <c r="Y936" i="9"/>
  <c r="V920" i="9"/>
  <c r="X868" i="9"/>
  <c r="V858" i="9"/>
  <c r="U847" i="9"/>
  <c r="X843" i="9"/>
  <c r="W839" i="9"/>
  <c r="U836" i="9"/>
  <c r="Y835" i="9"/>
  <c r="T832" i="9"/>
  <c r="V828" i="9"/>
  <c r="V825" i="9"/>
  <c r="W822" i="9"/>
  <c r="U820" i="9"/>
  <c r="V818" i="9"/>
  <c r="W817" i="9"/>
  <c r="U815" i="9"/>
  <c r="X814" i="9"/>
  <c r="V812" i="9"/>
  <c r="Y811" i="9"/>
  <c r="T810" i="9"/>
  <c r="W809" i="9"/>
  <c r="U807" i="9"/>
  <c r="X806" i="9"/>
  <c r="V804" i="9"/>
  <c r="Y803" i="9"/>
  <c r="T802" i="9"/>
  <c r="W801" i="9"/>
  <c r="U799" i="9"/>
  <c r="X798" i="9"/>
  <c r="V796" i="9"/>
  <c r="Y795" i="9"/>
  <c r="T794" i="9"/>
  <c r="W793" i="9"/>
  <c r="U791" i="9"/>
  <c r="X790" i="9"/>
  <c r="V788" i="9"/>
  <c r="Y787" i="9"/>
  <c r="T786" i="9"/>
  <c r="T934" i="9"/>
  <c r="X887" i="9"/>
  <c r="V879" i="9"/>
  <c r="Y859" i="9"/>
  <c r="U858" i="9"/>
  <c r="V850" i="9"/>
  <c r="T847" i="9"/>
  <c r="X846" i="9"/>
  <c r="U839" i="9"/>
  <c r="X835" i="9"/>
  <c r="W831" i="9"/>
  <c r="U828" i="9"/>
  <c r="Y827" i="9"/>
  <c r="X823" i="9"/>
  <c r="U822" i="9"/>
  <c r="Y821" i="9"/>
  <c r="T820" i="9"/>
  <c r="Y819" i="9"/>
  <c r="T818" i="9"/>
  <c r="V817" i="9"/>
  <c r="Y816" i="9"/>
  <c r="T815" i="9"/>
  <c r="W814" i="9"/>
  <c r="U812" i="9"/>
  <c r="X811" i="9"/>
  <c r="V809" i="9"/>
  <c r="Y808" i="9"/>
  <c r="T807" i="9"/>
  <c r="W806" i="9"/>
  <c r="U804" i="9"/>
  <c r="X803" i="9"/>
  <c r="V801" i="9"/>
  <c r="Y800" i="9"/>
  <c r="T799" i="9"/>
  <c r="W798" i="9"/>
  <c r="U796" i="9"/>
  <c r="X795" i="9"/>
  <c r="V793" i="9"/>
  <c r="Y792" i="9"/>
  <c r="T791" i="9"/>
  <c r="W790" i="9"/>
  <c r="U871" i="9"/>
  <c r="W859" i="9"/>
  <c r="T850" i="9"/>
  <c r="Y849" i="9"/>
  <c r="W846" i="9"/>
  <c r="V842" i="9"/>
  <c r="T839" i="9"/>
  <c r="X838" i="9"/>
  <c r="U831" i="9"/>
  <c r="X827" i="9"/>
  <c r="W823" i="9"/>
  <c r="X821" i="9"/>
  <c r="X819" i="9"/>
  <c r="U817" i="9"/>
  <c r="X816" i="9"/>
  <c r="V814" i="9"/>
  <c r="Y813" i="9"/>
  <c r="T812" i="9"/>
  <c r="W811" i="9"/>
  <c r="U809" i="9"/>
  <c r="X808" i="9"/>
  <c r="V806" i="9"/>
  <c r="Y805" i="9"/>
  <c r="T804" i="9"/>
  <c r="W803" i="9"/>
  <c r="U801" i="9"/>
  <c r="X800" i="9"/>
  <c r="V798" i="9"/>
  <c r="Y797" i="9"/>
  <c r="T796" i="9"/>
  <c r="W795" i="9"/>
  <c r="U793" i="9"/>
  <c r="X792" i="9"/>
  <c r="V790" i="9"/>
  <c r="Y789" i="9"/>
  <c r="W930" i="9"/>
  <c r="X878" i="9"/>
  <c r="T863" i="9"/>
  <c r="W860" i="9"/>
  <c r="U853" i="9"/>
  <c r="W849" i="9"/>
  <c r="T842" i="9"/>
  <c r="Y841" i="9"/>
  <c r="W838" i="9"/>
  <c r="V834" i="9"/>
  <c r="T831" i="9"/>
  <c r="X830" i="9"/>
  <c r="U823" i="9"/>
  <c r="V821" i="9"/>
  <c r="W819" i="9"/>
  <c r="T817" i="9"/>
  <c r="W816" i="9"/>
  <c r="U814" i="9"/>
  <c r="X813" i="9"/>
  <c r="V811" i="9"/>
  <c r="Y810" i="9"/>
  <c r="T809" i="9"/>
  <c r="W808" i="9"/>
  <c r="U806" i="9"/>
  <c r="X805" i="9"/>
  <c r="V803" i="9"/>
  <c r="Y802" i="9"/>
  <c r="T801" i="9"/>
  <c r="W800" i="9"/>
  <c r="U798" i="9"/>
  <c r="X797" i="9"/>
  <c r="V795" i="9"/>
  <c r="Y794" i="9"/>
  <c r="T793" i="9"/>
  <c r="W792" i="9"/>
  <c r="U790" i="9"/>
  <c r="X789" i="9"/>
  <c r="W870" i="9"/>
  <c r="U860" i="9"/>
  <c r="X852" i="9"/>
  <c r="V849" i="9"/>
  <c r="U845" i="9"/>
  <c r="W841" i="9"/>
  <c r="T834" i="9"/>
  <c r="Y833" i="9"/>
  <c r="W830" i="9"/>
  <c r="V826" i="9"/>
  <c r="Y824" i="9"/>
  <c r="T823" i="9"/>
  <c r="U821" i="9"/>
  <c r="V819" i="9"/>
  <c r="V816" i="9"/>
  <c r="Y815" i="9"/>
  <c r="T814" i="9"/>
  <c r="W813" i="9"/>
  <c r="U811" i="9"/>
  <c r="X810" i="9"/>
  <c r="V808" i="9"/>
  <c r="Y807" i="9"/>
  <c r="T806" i="9"/>
  <c r="W805" i="9"/>
  <c r="U803" i="9"/>
  <c r="X802" i="9"/>
  <c r="V800" i="9"/>
  <c r="Y799" i="9"/>
  <c r="T798" i="9"/>
  <c r="W797" i="9"/>
  <c r="U795" i="9"/>
  <c r="X794" i="9"/>
  <c r="V792" i="9"/>
  <c r="T890" i="9"/>
  <c r="U881" i="9"/>
  <c r="U861" i="9"/>
  <c r="T860" i="9"/>
  <c r="Y856" i="9"/>
  <c r="V852" i="9"/>
  <c r="Y848" i="9"/>
  <c r="X844" i="9"/>
  <c r="V841" i="9"/>
  <c r="U837" i="9"/>
  <c r="W833" i="9"/>
  <c r="T826" i="9"/>
  <c r="U824" i="9"/>
  <c r="Y820" i="9"/>
  <c r="T819" i="9"/>
  <c r="U816" i="9"/>
  <c r="X815" i="9"/>
  <c r="V813" i="9"/>
  <c r="Y812" i="9"/>
  <c r="T811" i="9"/>
  <c r="W810" i="9"/>
  <c r="U808" i="9"/>
  <c r="X807" i="9"/>
  <c r="V805" i="9"/>
  <c r="Y804" i="9"/>
  <c r="T803" i="9"/>
  <c r="W802" i="9"/>
  <c r="U800" i="9"/>
  <c r="X799" i="9"/>
  <c r="V797" i="9"/>
  <c r="Y796" i="9"/>
  <c r="T795" i="9"/>
  <c r="W794" i="9"/>
  <c r="U792" i="9"/>
  <c r="X791" i="9"/>
  <c r="W898" i="9"/>
  <c r="Y869" i="9"/>
  <c r="X857" i="9"/>
  <c r="U852" i="9"/>
  <c r="Y851" i="9"/>
  <c r="T848" i="9"/>
  <c r="V844" i="9"/>
  <c r="Y840" i="9"/>
  <c r="X836" i="9"/>
  <c r="V833" i="9"/>
  <c r="U829" i="9"/>
  <c r="Y825" i="9"/>
  <c r="T824" i="9"/>
  <c r="X820" i="9"/>
  <c r="Y818" i="9"/>
  <c r="Y817" i="9"/>
  <c r="T816" i="9"/>
  <c r="W815" i="9"/>
  <c r="U813" i="9"/>
  <c r="X812" i="9"/>
  <c r="V810" i="9"/>
  <c r="Y809" i="9"/>
  <c r="T808" i="9"/>
  <c r="W807" i="9"/>
  <c r="U805" i="9"/>
  <c r="X804" i="9"/>
  <c r="V802" i="9"/>
  <c r="Y801" i="9"/>
  <c r="T800" i="9"/>
  <c r="W799" i="9"/>
  <c r="U797" i="9"/>
  <c r="W897" i="9"/>
  <c r="T880" i="9"/>
  <c r="V862" i="9"/>
  <c r="W857" i="9"/>
  <c r="X851" i="9"/>
  <c r="W847" i="9"/>
  <c r="U844" i="9"/>
  <c r="Y843" i="9"/>
  <c r="T840" i="9"/>
  <c r="V836" i="9"/>
  <c r="Y832" i="9"/>
  <c r="X828" i="9"/>
  <c r="W825" i="9"/>
  <c r="X822" i="9"/>
  <c r="V820" i="9"/>
  <c r="W818" i="9"/>
  <c r="X817" i="9"/>
  <c r="Y814" i="9"/>
  <c r="V807" i="9"/>
  <c r="U789" i="9"/>
  <c r="U788" i="9"/>
  <c r="U787" i="9"/>
  <c r="U786" i="9"/>
  <c r="W785" i="9"/>
  <c r="U783" i="9"/>
  <c r="X782" i="9"/>
  <c r="V780" i="9"/>
  <c r="Y779" i="9"/>
  <c r="T778" i="9"/>
  <c r="W777" i="9"/>
  <c r="U775" i="9"/>
  <c r="X774" i="9"/>
  <c r="V772" i="9"/>
  <c r="Y771" i="9"/>
  <c r="T770" i="9"/>
  <c r="W769" i="9"/>
  <c r="U767" i="9"/>
  <c r="X766" i="9"/>
  <c r="X809" i="9"/>
  <c r="U802" i="9"/>
  <c r="Y791" i="9"/>
  <c r="T789" i="9"/>
  <c r="T788" i="9"/>
  <c r="T787" i="9"/>
  <c r="V785" i="9"/>
  <c r="Y784" i="9"/>
  <c r="T783" i="9"/>
  <c r="W782" i="9"/>
  <c r="U780" i="9"/>
  <c r="X779" i="9"/>
  <c r="V777" i="9"/>
  <c r="Y776" i="9"/>
  <c r="T775" i="9"/>
  <c r="W774" i="9"/>
  <c r="U772" i="9"/>
  <c r="X771" i="9"/>
  <c r="V769" i="9"/>
  <c r="Y768" i="9"/>
  <c r="T767" i="9"/>
  <c r="W766" i="9"/>
  <c r="W804" i="9"/>
  <c r="T797" i="9"/>
  <c r="Y793" i="9"/>
  <c r="T792" i="9"/>
  <c r="W791" i="9"/>
  <c r="U785" i="9"/>
  <c r="X784" i="9"/>
  <c r="V782" i="9"/>
  <c r="Y781" i="9"/>
  <c r="T780" i="9"/>
  <c r="W779" i="9"/>
  <c r="U777" i="9"/>
  <c r="X776" i="9"/>
  <c r="V774" i="9"/>
  <c r="Y773" i="9"/>
  <c r="T772" i="9"/>
  <c r="W771" i="9"/>
  <c r="U769" i="9"/>
  <c r="X768" i="9"/>
  <c r="T813" i="9"/>
  <c r="X801" i="9"/>
  <c r="V794" i="9"/>
  <c r="Y790" i="9"/>
  <c r="Y786" i="9"/>
  <c r="V784" i="9"/>
  <c r="Y783" i="9"/>
  <c r="T782" i="9"/>
  <c r="W781" i="9"/>
  <c r="U779" i="9"/>
  <c r="X778" i="9"/>
  <c r="V776" i="9"/>
  <c r="Y775" i="9"/>
  <c r="T774" i="9"/>
  <c r="W773" i="9"/>
  <c r="U771" i="9"/>
  <c r="X770" i="9"/>
  <c r="V768" i="9"/>
  <c r="Y767" i="9"/>
  <c r="T766" i="9"/>
  <c r="W765" i="9"/>
  <c r="V815" i="9"/>
  <c r="U794" i="9"/>
  <c r="T790" i="9"/>
  <c r="Y788" i="9"/>
  <c r="X787" i="9"/>
  <c r="X786" i="9"/>
  <c r="U784" i="9"/>
  <c r="X783" i="9"/>
  <c r="V781" i="9"/>
  <c r="Y780" i="9"/>
  <c r="T779" i="9"/>
  <c r="W778" i="9"/>
  <c r="U776" i="9"/>
  <c r="X775" i="9"/>
  <c r="V773" i="9"/>
  <c r="Y772" i="9"/>
  <c r="T771" i="9"/>
  <c r="U810" i="9"/>
  <c r="Y798" i="9"/>
  <c r="X796" i="9"/>
  <c r="W789" i="9"/>
  <c r="X788" i="9"/>
  <c r="W787" i="9"/>
  <c r="W786" i="9"/>
  <c r="Y785" i="9"/>
  <c r="T784" i="9"/>
  <c r="W783" i="9"/>
  <c r="U781" i="9"/>
  <c r="X780" i="9"/>
  <c r="V778" i="9"/>
  <c r="Y777" i="9"/>
  <c r="T776" i="9"/>
  <c r="W775" i="9"/>
  <c r="U773" i="9"/>
  <c r="X772" i="9"/>
  <c r="V770" i="9"/>
  <c r="Y769" i="9"/>
  <c r="T768" i="9"/>
  <c r="V789" i="9"/>
  <c r="V786" i="9"/>
  <c r="W780" i="9"/>
  <c r="Y774" i="9"/>
  <c r="T773" i="9"/>
  <c r="T769" i="9"/>
  <c r="T765" i="9"/>
  <c r="X764" i="9"/>
  <c r="V762" i="9"/>
  <c r="Y761" i="9"/>
  <c r="T760" i="9"/>
  <c r="W759" i="9"/>
  <c r="U757" i="9"/>
  <c r="X756" i="9"/>
  <c r="V754" i="9"/>
  <c r="Y753" i="9"/>
  <c r="Y806" i="9"/>
  <c r="X781" i="9"/>
  <c r="U774" i="9"/>
  <c r="W768" i="9"/>
  <c r="W764" i="9"/>
  <c r="U762" i="9"/>
  <c r="X761" i="9"/>
  <c r="V759" i="9"/>
  <c r="Y758" i="9"/>
  <c r="T757" i="9"/>
  <c r="W756" i="9"/>
  <c r="U754" i="9"/>
  <c r="X753" i="9"/>
  <c r="V751" i="9"/>
  <c r="Y750" i="9"/>
  <c r="T749" i="9"/>
  <c r="W748" i="9"/>
  <c r="U746" i="9"/>
  <c r="X745" i="9"/>
  <c r="V743" i="9"/>
  <c r="Y742" i="9"/>
  <c r="T741" i="9"/>
  <c r="W740" i="9"/>
  <c r="U738" i="9"/>
  <c r="X737" i="9"/>
  <c r="V735" i="9"/>
  <c r="Y734" i="9"/>
  <c r="T733" i="9"/>
  <c r="W732" i="9"/>
  <c r="U730" i="9"/>
  <c r="X729" i="9"/>
  <c r="V727" i="9"/>
  <c r="Y726" i="9"/>
  <c r="T725" i="9"/>
  <c r="W724" i="9"/>
  <c r="U722" i="9"/>
  <c r="X721" i="9"/>
  <c r="T805" i="9"/>
  <c r="W796" i="9"/>
  <c r="V787" i="9"/>
  <c r="Y782" i="9"/>
  <c r="T781" i="9"/>
  <c r="V775" i="9"/>
  <c r="U768" i="9"/>
  <c r="V764" i="9"/>
  <c r="Y763" i="9"/>
  <c r="T762" i="9"/>
  <c r="W761" i="9"/>
  <c r="U759" i="9"/>
  <c r="X758" i="9"/>
  <c r="V756" i="9"/>
  <c r="Y755" i="9"/>
  <c r="T754" i="9"/>
  <c r="W753" i="9"/>
  <c r="U751" i="9"/>
  <c r="X750" i="9"/>
  <c r="V748" i="9"/>
  <c r="Y747" i="9"/>
  <c r="T746" i="9"/>
  <c r="W745" i="9"/>
  <c r="U743" i="9"/>
  <c r="X742" i="9"/>
  <c r="V740" i="9"/>
  <c r="Y739" i="9"/>
  <c r="T738" i="9"/>
  <c r="W737" i="9"/>
  <c r="U735" i="9"/>
  <c r="X734" i="9"/>
  <c r="V732" i="9"/>
  <c r="Y731" i="9"/>
  <c r="T730" i="9"/>
  <c r="W729" i="9"/>
  <c r="U727" i="9"/>
  <c r="X726" i="9"/>
  <c r="V724" i="9"/>
  <c r="Y723" i="9"/>
  <c r="V791" i="9"/>
  <c r="U782" i="9"/>
  <c r="W776" i="9"/>
  <c r="U764" i="9"/>
  <c r="X763" i="9"/>
  <c r="V761" i="9"/>
  <c r="Y760" i="9"/>
  <c r="T759" i="9"/>
  <c r="W758" i="9"/>
  <c r="U756" i="9"/>
  <c r="X755" i="9"/>
  <c r="V753" i="9"/>
  <c r="Y752" i="9"/>
  <c r="T751" i="9"/>
  <c r="W750" i="9"/>
  <c r="U748" i="9"/>
  <c r="X747" i="9"/>
  <c r="V745" i="9"/>
  <c r="Y744" i="9"/>
  <c r="T743" i="9"/>
  <c r="W742" i="9"/>
  <c r="U740" i="9"/>
  <c r="X739" i="9"/>
  <c r="V737" i="9"/>
  <c r="Y736" i="9"/>
  <c r="T735" i="9"/>
  <c r="W734" i="9"/>
  <c r="U732" i="9"/>
  <c r="X731" i="9"/>
  <c r="V729" i="9"/>
  <c r="Y728" i="9"/>
  <c r="T727" i="9"/>
  <c r="W726" i="9"/>
  <c r="U724" i="9"/>
  <c r="X723" i="9"/>
  <c r="W812" i="9"/>
  <c r="W788" i="9"/>
  <c r="V783" i="9"/>
  <c r="X777" i="9"/>
  <c r="Y770" i="9"/>
  <c r="Y766" i="9"/>
  <c r="Y765" i="9"/>
  <c r="T764" i="9"/>
  <c r="W763" i="9"/>
  <c r="U761" i="9"/>
  <c r="X760" i="9"/>
  <c r="V758" i="9"/>
  <c r="Y757" i="9"/>
  <c r="T756" i="9"/>
  <c r="W755" i="9"/>
  <c r="U753" i="9"/>
  <c r="X752" i="9"/>
  <c r="W784" i="9"/>
  <c r="Y778" i="9"/>
  <c r="T777" i="9"/>
  <c r="V771" i="9"/>
  <c r="W770" i="9"/>
  <c r="X767" i="9"/>
  <c r="V766" i="9"/>
  <c r="X765" i="9"/>
  <c r="V763" i="9"/>
  <c r="Y762" i="9"/>
  <c r="T761" i="9"/>
  <c r="W760" i="9"/>
  <c r="U758" i="9"/>
  <c r="X757" i="9"/>
  <c r="V755" i="9"/>
  <c r="Y754" i="9"/>
  <c r="T753" i="9"/>
  <c r="W752" i="9"/>
  <c r="U750" i="9"/>
  <c r="X749" i="9"/>
  <c r="V747" i="9"/>
  <c r="Y746" i="9"/>
  <c r="T745" i="9"/>
  <c r="W744" i="9"/>
  <c r="U742" i="9"/>
  <c r="X741" i="9"/>
  <c r="V739" i="9"/>
  <c r="Y738" i="9"/>
  <c r="T737" i="9"/>
  <c r="W736" i="9"/>
  <c r="U734" i="9"/>
  <c r="X733" i="9"/>
  <c r="V731" i="9"/>
  <c r="Y730" i="9"/>
  <c r="T729" i="9"/>
  <c r="W728" i="9"/>
  <c r="U726" i="9"/>
  <c r="X725" i="9"/>
  <c r="V723" i="9"/>
  <c r="Y722" i="9"/>
  <c r="T721" i="9"/>
  <c r="W720" i="9"/>
  <c r="X785" i="9"/>
  <c r="U778" i="9"/>
  <c r="W772" i="9"/>
  <c r="U770" i="9"/>
  <c r="W767" i="9"/>
  <c r="U766" i="9"/>
  <c r="V765" i="9"/>
  <c r="U763" i="9"/>
  <c r="X762" i="9"/>
  <c r="V760" i="9"/>
  <c r="Y759" i="9"/>
  <c r="T758" i="9"/>
  <c r="W757" i="9"/>
  <c r="U755" i="9"/>
  <c r="X754" i="9"/>
  <c r="V752" i="9"/>
  <c r="Y751" i="9"/>
  <c r="T750" i="9"/>
  <c r="W749" i="9"/>
  <c r="U747" i="9"/>
  <c r="X746" i="9"/>
  <c r="V744" i="9"/>
  <c r="Y743" i="9"/>
  <c r="T742" i="9"/>
  <c r="W741" i="9"/>
  <c r="U739" i="9"/>
  <c r="X738" i="9"/>
  <c r="V736" i="9"/>
  <c r="Y735" i="9"/>
  <c r="T734" i="9"/>
  <c r="W733" i="9"/>
  <c r="U731" i="9"/>
  <c r="X730" i="9"/>
  <c r="V728" i="9"/>
  <c r="Y727" i="9"/>
  <c r="V799" i="9"/>
  <c r="X793" i="9"/>
  <c r="T785" i="9"/>
  <c r="V779" i="9"/>
  <c r="X773" i="9"/>
  <c r="X769" i="9"/>
  <c r="V767" i="9"/>
  <c r="U765" i="9"/>
  <c r="Y764" i="9"/>
  <c r="T763" i="9"/>
  <c r="W762" i="9"/>
  <c r="U760" i="9"/>
  <c r="X759" i="9"/>
  <c r="V757" i="9"/>
  <c r="Y756" i="9"/>
  <c r="T755" i="9"/>
  <c r="W754" i="9"/>
  <c r="U752" i="9"/>
  <c r="X751" i="9"/>
  <c r="V749" i="9"/>
  <c r="Y748" i="9"/>
  <c r="T747" i="9"/>
  <c r="W746" i="9"/>
  <c r="U744" i="9"/>
  <c r="X743" i="9"/>
  <c r="V741" i="9"/>
  <c r="Y740" i="9"/>
  <c r="T739" i="9"/>
  <c r="W738" i="9"/>
  <c r="U736" i="9"/>
  <c r="X735" i="9"/>
  <c r="V733" i="9"/>
  <c r="Y732" i="9"/>
  <c r="T731" i="9"/>
  <c r="W730" i="9"/>
  <c r="U728" i="9"/>
  <c r="X727" i="9"/>
  <c r="T752" i="9"/>
  <c r="V746" i="9"/>
  <c r="X740" i="9"/>
  <c r="U733" i="9"/>
  <c r="W727" i="9"/>
  <c r="Y724" i="9"/>
  <c r="T723" i="9"/>
  <c r="T722" i="9"/>
  <c r="U720" i="9"/>
  <c r="T718" i="9"/>
  <c r="W717" i="9"/>
  <c r="U715" i="9"/>
  <c r="X714" i="9"/>
  <c r="V712" i="9"/>
  <c r="Y711" i="9"/>
  <c r="T710" i="9"/>
  <c r="W709" i="9"/>
  <c r="U707" i="9"/>
  <c r="X706" i="9"/>
  <c r="W747" i="9"/>
  <c r="Y741" i="9"/>
  <c r="T740" i="9"/>
  <c r="V734" i="9"/>
  <c r="X728" i="9"/>
  <c r="V726" i="9"/>
  <c r="X724" i="9"/>
  <c r="Y721" i="9"/>
  <c r="T720" i="9"/>
  <c r="Y719" i="9"/>
  <c r="V717" i="9"/>
  <c r="Y716" i="9"/>
  <c r="T715" i="9"/>
  <c r="W714" i="9"/>
  <c r="U712" i="9"/>
  <c r="X711" i="9"/>
  <c r="V709" i="9"/>
  <c r="Y708" i="9"/>
  <c r="T707" i="9"/>
  <c r="W706" i="9"/>
  <c r="U704" i="9"/>
  <c r="X703" i="9"/>
  <c r="V701" i="9"/>
  <c r="Y700" i="9"/>
  <c r="T699" i="9"/>
  <c r="W698" i="9"/>
  <c r="U696" i="9"/>
  <c r="X695" i="9"/>
  <c r="V693" i="9"/>
  <c r="Y692" i="9"/>
  <c r="T691" i="9"/>
  <c r="W690" i="9"/>
  <c r="U688" i="9"/>
  <c r="X687" i="9"/>
  <c r="V685" i="9"/>
  <c r="Y684" i="9"/>
  <c r="T683" i="9"/>
  <c r="W682" i="9"/>
  <c r="U680" i="9"/>
  <c r="X679" i="9"/>
  <c r="V677" i="9"/>
  <c r="Y676" i="9"/>
  <c r="T675" i="9"/>
  <c r="W674" i="9"/>
  <c r="U672" i="9"/>
  <c r="X748" i="9"/>
  <c r="U741" i="9"/>
  <c r="W735" i="9"/>
  <c r="Y729" i="9"/>
  <c r="T728" i="9"/>
  <c r="T726" i="9"/>
  <c r="Y725" i="9"/>
  <c r="T724" i="9"/>
  <c r="W721" i="9"/>
  <c r="X719" i="9"/>
  <c r="U717" i="9"/>
  <c r="X716" i="9"/>
  <c r="V714" i="9"/>
  <c r="Y713" i="9"/>
  <c r="T712" i="9"/>
  <c r="W711" i="9"/>
  <c r="U709" i="9"/>
  <c r="X708" i="9"/>
  <c r="V706" i="9"/>
  <c r="Y705" i="9"/>
  <c r="T704" i="9"/>
  <c r="W703" i="9"/>
  <c r="U701" i="9"/>
  <c r="X700" i="9"/>
  <c r="V698" i="9"/>
  <c r="Y697" i="9"/>
  <c r="T696" i="9"/>
  <c r="W695" i="9"/>
  <c r="U693" i="9"/>
  <c r="X692" i="9"/>
  <c r="V690" i="9"/>
  <c r="Y689" i="9"/>
  <c r="T688" i="9"/>
  <c r="W687" i="9"/>
  <c r="U685" i="9"/>
  <c r="X684" i="9"/>
  <c r="V682" i="9"/>
  <c r="Y681" i="9"/>
  <c r="T680" i="9"/>
  <c r="W679" i="9"/>
  <c r="U677" i="9"/>
  <c r="X676" i="9"/>
  <c r="Y749" i="9"/>
  <c r="T748" i="9"/>
  <c r="V742" i="9"/>
  <c r="X736" i="9"/>
  <c r="U729" i="9"/>
  <c r="W725" i="9"/>
  <c r="V721" i="9"/>
  <c r="W719" i="9"/>
  <c r="Y718" i="9"/>
  <c r="T717" i="9"/>
  <c r="W716" i="9"/>
  <c r="U714" i="9"/>
  <c r="X713" i="9"/>
  <c r="V711" i="9"/>
  <c r="Y710" i="9"/>
  <c r="T709" i="9"/>
  <c r="W708" i="9"/>
  <c r="U706" i="9"/>
  <c r="X705" i="9"/>
  <c r="V703" i="9"/>
  <c r="Y702" i="9"/>
  <c r="T701" i="9"/>
  <c r="W700" i="9"/>
  <c r="U698" i="9"/>
  <c r="X697" i="9"/>
  <c r="V695" i="9"/>
  <c r="Y694" i="9"/>
  <c r="T693" i="9"/>
  <c r="W692" i="9"/>
  <c r="U690" i="9"/>
  <c r="X689" i="9"/>
  <c r="V687" i="9"/>
  <c r="Y686" i="9"/>
  <c r="T685" i="9"/>
  <c r="W684" i="9"/>
  <c r="U682" i="9"/>
  <c r="X681" i="9"/>
  <c r="V679" i="9"/>
  <c r="Y678" i="9"/>
  <c r="T677" i="9"/>
  <c r="W676" i="9"/>
  <c r="U749" i="9"/>
  <c r="W743" i="9"/>
  <c r="Y737" i="9"/>
  <c r="T736" i="9"/>
  <c r="V730" i="9"/>
  <c r="V725" i="9"/>
  <c r="U721" i="9"/>
  <c r="V719" i="9"/>
  <c r="X718" i="9"/>
  <c r="V716" i="9"/>
  <c r="Y715" i="9"/>
  <c r="T714" i="9"/>
  <c r="W713" i="9"/>
  <c r="U711" i="9"/>
  <c r="X710" i="9"/>
  <c r="V708" i="9"/>
  <c r="Y707" i="9"/>
  <c r="T706" i="9"/>
  <c r="W705" i="9"/>
  <c r="V750" i="9"/>
  <c r="X744" i="9"/>
  <c r="U737" i="9"/>
  <c r="W731" i="9"/>
  <c r="U725" i="9"/>
  <c r="X722" i="9"/>
  <c r="Y720" i="9"/>
  <c r="U719" i="9"/>
  <c r="W718" i="9"/>
  <c r="U716" i="9"/>
  <c r="X715" i="9"/>
  <c r="V713" i="9"/>
  <c r="Y712" i="9"/>
  <c r="T711" i="9"/>
  <c r="W710" i="9"/>
  <c r="U708" i="9"/>
  <c r="X707" i="9"/>
  <c r="V705" i="9"/>
  <c r="Y704" i="9"/>
  <c r="T703" i="9"/>
  <c r="W702" i="9"/>
  <c r="U700" i="9"/>
  <c r="X699" i="9"/>
  <c r="V697" i="9"/>
  <c r="Y696" i="9"/>
  <c r="T695" i="9"/>
  <c r="W694" i="9"/>
  <c r="U692" i="9"/>
  <c r="X691" i="9"/>
  <c r="V689" i="9"/>
  <c r="Y688" i="9"/>
  <c r="T687" i="9"/>
  <c r="W686" i="9"/>
  <c r="U684" i="9"/>
  <c r="X683" i="9"/>
  <c r="V681" i="9"/>
  <c r="Y680" i="9"/>
  <c r="T679" i="9"/>
  <c r="W678" i="9"/>
  <c r="U676" i="9"/>
  <c r="X675" i="9"/>
  <c r="V673" i="9"/>
  <c r="Y672" i="9"/>
  <c r="W751" i="9"/>
  <c r="Y745" i="9"/>
  <c r="T744" i="9"/>
  <c r="V738" i="9"/>
  <c r="X732" i="9"/>
  <c r="W723" i="9"/>
  <c r="W722" i="9"/>
  <c r="X720" i="9"/>
  <c r="T719" i="9"/>
  <c r="V718" i="9"/>
  <c r="Y717" i="9"/>
  <c r="T716" i="9"/>
  <c r="W715" i="9"/>
  <c r="U713" i="9"/>
  <c r="X712" i="9"/>
  <c r="V710" i="9"/>
  <c r="Y709" i="9"/>
  <c r="T708" i="9"/>
  <c r="W707" i="9"/>
  <c r="U705" i="9"/>
  <c r="X704" i="9"/>
  <c r="V702" i="9"/>
  <c r="Y701" i="9"/>
  <c r="T700" i="9"/>
  <c r="W699" i="9"/>
  <c r="U697" i="9"/>
  <c r="X696" i="9"/>
  <c r="V694" i="9"/>
  <c r="Y693" i="9"/>
  <c r="T692" i="9"/>
  <c r="W691" i="9"/>
  <c r="U689" i="9"/>
  <c r="X688" i="9"/>
  <c r="V686" i="9"/>
  <c r="Y685" i="9"/>
  <c r="T684" i="9"/>
  <c r="W683" i="9"/>
  <c r="U681" i="9"/>
  <c r="X680" i="9"/>
  <c r="U745" i="9"/>
  <c r="W739" i="9"/>
  <c r="Y733" i="9"/>
  <c r="T732" i="9"/>
  <c r="U723" i="9"/>
  <c r="V722" i="9"/>
  <c r="V720" i="9"/>
  <c r="U718" i="9"/>
  <c r="X717" i="9"/>
  <c r="V715" i="9"/>
  <c r="Y714" i="9"/>
  <c r="T713" i="9"/>
  <c r="W712" i="9"/>
  <c r="U710" i="9"/>
  <c r="X709" i="9"/>
  <c r="V707" i="9"/>
  <c r="Y706" i="9"/>
  <c r="T705" i="9"/>
  <c r="W704" i="9"/>
  <c r="U702" i="9"/>
  <c r="X701" i="9"/>
  <c r="V699" i="9"/>
  <c r="Y698" i="9"/>
  <c r="T697" i="9"/>
  <c r="W696" i="9"/>
  <c r="U694" i="9"/>
  <c r="X693" i="9"/>
  <c r="V691" i="9"/>
  <c r="Y690" i="9"/>
  <c r="T689" i="9"/>
  <c r="W688" i="9"/>
  <c r="U686" i="9"/>
  <c r="X685" i="9"/>
  <c r="V683" i="9"/>
  <c r="Y682" i="9"/>
  <c r="T681" i="9"/>
  <c r="W680" i="9"/>
  <c r="U703" i="9"/>
  <c r="W697" i="9"/>
  <c r="Y691" i="9"/>
  <c r="T690" i="9"/>
  <c r="V684" i="9"/>
  <c r="W677" i="9"/>
  <c r="X673" i="9"/>
  <c r="U671" i="9"/>
  <c r="X670" i="9"/>
  <c r="V668" i="9"/>
  <c r="Y667" i="9"/>
  <c r="T666" i="9"/>
  <c r="W665" i="9"/>
  <c r="U663" i="9"/>
  <c r="X662" i="9"/>
  <c r="V660" i="9"/>
  <c r="Y659" i="9"/>
  <c r="T658" i="9"/>
  <c r="W657" i="9"/>
  <c r="U655" i="9"/>
  <c r="X654" i="9"/>
  <c r="V652" i="9"/>
  <c r="Y651" i="9"/>
  <c r="T650" i="9"/>
  <c r="W649" i="9"/>
  <c r="U647" i="9"/>
  <c r="X646" i="9"/>
  <c r="V644" i="9"/>
  <c r="Y643" i="9"/>
  <c r="T642" i="9"/>
  <c r="W641" i="9"/>
  <c r="U639" i="9"/>
  <c r="X638" i="9"/>
  <c r="V636" i="9"/>
  <c r="Y635" i="9"/>
  <c r="T634" i="9"/>
  <c r="W633" i="9"/>
  <c r="U631" i="9"/>
  <c r="X630" i="9"/>
  <c r="V628" i="9"/>
  <c r="Y627" i="9"/>
  <c r="V704" i="9"/>
  <c r="X698" i="9"/>
  <c r="U691" i="9"/>
  <c r="W685" i="9"/>
  <c r="X678" i="9"/>
  <c r="Y675" i="9"/>
  <c r="W673" i="9"/>
  <c r="T671" i="9"/>
  <c r="W670" i="9"/>
  <c r="U668" i="9"/>
  <c r="X667" i="9"/>
  <c r="V665" i="9"/>
  <c r="Y664" i="9"/>
  <c r="T663" i="9"/>
  <c r="W662" i="9"/>
  <c r="U660" i="9"/>
  <c r="X659" i="9"/>
  <c r="V657" i="9"/>
  <c r="Y656" i="9"/>
  <c r="T655" i="9"/>
  <c r="W654" i="9"/>
  <c r="U652" i="9"/>
  <c r="X651" i="9"/>
  <c r="V649" i="9"/>
  <c r="Y648" i="9"/>
  <c r="T647" i="9"/>
  <c r="W646" i="9"/>
  <c r="U644" i="9"/>
  <c r="X643" i="9"/>
  <c r="V641" i="9"/>
  <c r="Y640" i="9"/>
  <c r="T639" i="9"/>
  <c r="W638" i="9"/>
  <c r="U636" i="9"/>
  <c r="X635" i="9"/>
  <c r="V633" i="9"/>
  <c r="Y632" i="9"/>
  <c r="T631" i="9"/>
  <c r="W630" i="9"/>
  <c r="U628" i="9"/>
  <c r="X627" i="9"/>
  <c r="V625" i="9"/>
  <c r="Y624" i="9"/>
  <c r="T623" i="9"/>
  <c r="W622" i="9"/>
  <c r="U620" i="9"/>
  <c r="X619" i="9"/>
  <c r="V617" i="9"/>
  <c r="Y616" i="9"/>
  <c r="T615" i="9"/>
  <c r="W614" i="9"/>
  <c r="U612" i="9"/>
  <c r="X611" i="9"/>
  <c r="V609" i="9"/>
  <c r="Y608" i="9"/>
  <c r="T607" i="9"/>
  <c r="W606" i="9"/>
  <c r="U604" i="9"/>
  <c r="X603" i="9"/>
  <c r="V601" i="9"/>
  <c r="Y600" i="9"/>
  <c r="T599" i="9"/>
  <c r="W598" i="9"/>
  <c r="U596" i="9"/>
  <c r="X595" i="9"/>
  <c r="V593" i="9"/>
  <c r="Y592" i="9"/>
  <c r="T591" i="9"/>
  <c r="W590" i="9"/>
  <c r="U588" i="9"/>
  <c r="X587" i="9"/>
  <c r="V585" i="9"/>
  <c r="Y584" i="9"/>
  <c r="T583" i="9"/>
  <c r="W582" i="9"/>
  <c r="Y699" i="9"/>
  <c r="T698" i="9"/>
  <c r="V692" i="9"/>
  <c r="X686" i="9"/>
  <c r="V678" i="9"/>
  <c r="W675" i="9"/>
  <c r="U673" i="9"/>
  <c r="V670" i="9"/>
  <c r="Y669" i="9"/>
  <c r="T668" i="9"/>
  <c r="W667" i="9"/>
  <c r="U665" i="9"/>
  <c r="X664" i="9"/>
  <c r="V662" i="9"/>
  <c r="Y661" i="9"/>
  <c r="T660" i="9"/>
  <c r="W659" i="9"/>
  <c r="U657" i="9"/>
  <c r="X656" i="9"/>
  <c r="V654" i="9"/>
  <c r="Y653" i="9"/>
  <c r="T652" i="9"/>
  <c r="W651" i="9"/>
  <c r="U699" i="9"/>
  <c r="W693" i="9"/>
  <c r="Y687" i="9"/>
  <c r="T686" i="9"/>
  <c r="V680" i="9"/>
  <c r="U678" i="9"/>
  <c r="V675" i="9"/>
  <c r="Y674" i="9"/>
  <c r="T673" i="9"/>
  <c r="U670" i="9"/>
  <c r="X669" i="9"/>
  <c r="V667" i="9"/>
  <c r="Y666" i="9"/>
  <c r="T665" i="9"/>
  <c r="W664" i="9"/>
  <c r="U662" i="9"/>
  <c r="X661" i="9"/>
  <c r="V659" i="9"/>
  <c r="Y658" i="9"/>
  <c r="T657" i="9"/>
  <c r="W656" i="9"/>
  <c r="U654" i="9"/>
  <c r="X653" i="9"/>
  <c r="V651" i="9"/>
  <c r="V700" i="9"/>
  <c r="X694" i="9"/>
  <c r="U687" i="9"/>
  <c r="W681" i="9"/>
  <c r="Y679" i="9"/>
  <c r="T678" i="9"/>
  <c r="U675" i="9"/>
  <c r="X674" i="9"/>
  <c r="X672" i="9"/>
  <c r="Y671" i="9"/>
  <c r="T670" i="9"/>
  <c r="W669" i="9"/>
  <c r="U667" i="9"/>
  <c r="X666" i="9"/>
  <c r="V664" i="9"/>
  <c r="Y663" i="9"/>
  <c r="T662" i="9"/>
  <c r="W661" i="9"/>
  <c r="U659" i="9"/>
  <c r="X658" i="9"/>
  <c r="V656" i="9"/>
  <c r="Y655" i="9"/>
  <c r="T654" i="9"/>
  <c r="W653" i="9"/>
  <c r="U651" i="9"/>
  <c r="X650" i="9"/>
  <c r="V648" i="9"/>
  <c r="Y647" i="9"/>
  <c r="T646" i="9"/>
  <c r="W645" i="9"/>
  <c r="U643" i="9"/>
  <c r="X642" i="9"/>
  <c r="V640" i="9"/>
  <c r="Y639" i="9"/>
  <c r="T638" i="9"/>
  <c r="W637" i="9"/>
  <c r="U635" i="9"/>
  <c r="X634" i="9"/>
  <c r="V632" i="9"/>
  <c r="Y631" i="9"/>
  <c r="W701" i="9"/>
  <c r="Y695" i="9"/>
  <c r="T694" i="9"/>
  <c r="V688" i="9"/>
  <c r="X682" i="9"/>
  <c r="U679" i="9"/>
  <c r="V676" i="9"/>
  <c r="V674" i="9"/>
  <c r="W672" i="9"/>
  <c r="X671" i="9"/>
  <c r="V669" i="9"/>
  <c r="Y668" i="9"/>
  <c r="T667" i="9"/>
  <c r="W666" i="9"/>
  <c r="U664" i="9"/>
  <c r="X663" i="9"/>
  <c r="V661" i="9"/>
  <c r="Y660" i="9"/>
  <c r="T659" i="9"/>
  <c r="W658" i="9"/>
  <c r="U656" i="9"/>
  <c r="X655" i="9"/>
  <c r="V653" i="9"/>
  <c r="Y652" i="9"/>
  <c r="T651" i="9"/>
  <c r="W650" i="9"/>
  <c r="U648" i="9"/>
  <c r="X647" i="9"/>
  <c r="V645" i="9"/>
  <c r="Y644" i="9"/>
  <c r="T643" i="9"/>
  <c r="W642" i="9"/>
  <c r="U640" i="9"/>
  <c r="X639" i="9"/>
  <c r="V637" i="9"/>
  <c r="Y636" i="9"/>
  <c r="T635" i="9"/>
  <c r="W634" i="9"/>
  <c r="U632" i="9"/>
  <c r="X631" i="9"/>
  <c r="V629" i="9"/>
  <c r="Y628" i="9"/>
  <c r="T627" i="9"/>
  <c r="W626" i="9"/>
  <c r="U624" i="9"/>
  <c r="X623" i="9"/>
  <c r="V621" i="9"/>
  <c r="Y620" i="9"/>
  <c r="T619" i="9"/>
  <c r="W618" i="9"/>
  <c r="U616" i="9"/>
  <c r="X615" i="9"/>
  <c r="V613" i="9"/>
  <c r="Y612" i="9"/>
  <c r="T611" i="9"/>
  <c r="W610" i="9"/>
  <c r="U608" i="9"/>
  <c r="X607" i="9"/>
  <c r="V605" i="9"/>
  <c r="Y604" i="9"/>
  <c r="T603" i="9"/>
  <c r="W602" i="9"/>
  <c r="U600" i="9"/>
  <c r="X599" i="9"/>
  <c r="V597" i="9"/>
  <c r="Y596" i="9"/>
  <c r="T595" i="9"/>
  <c r="W594" i="9"/>
  <c r="U592" i="9"/>
  <c r="X591" i="9"/>
  <c r="V589" i="9"/>
  <c r="Y588" i="9"/>
  <c r="T587" i="9"/>
  <c r="W586" i="9"/>
  <c r="U584" i="9"/>
  <c r="X583" i="9"/>
  <c r="X702" i="9"/>
  <c r="U695" i="9"/>
  <c r="W689" i="9"/>
  <c r="Y683" i="9"/>
  <c r="T682" i="9"/>
  <c r="Y677" i="9"/>
  <c r="T676" i="9"/>
  <c r="U674" i="9"/>
  <c r="V672" i="9"/>
  <c r="W671" i="9"/>
  <c r="U669" i="9"/>
  <c r="X668" i="9"/>
  <c r="V666" i="9"/>
  <c r="Y665" i="9"/>
  <c r="T664" i="9"/>
  <c r="W663" i="9"/>
  <c r="U661" i="9"/>
  <c r="X660" i="9"/>
  <c r="V658" i="9"/>
  <c r="Y657" i="9"/>
  <c r="T656" i="9"/>
  <c r="W655" i="9"/>
  <c r="U653" i="9"/>
  <c r="X652" i="9"/>
  <c r="V650" i="9"/>
  <c r="Y649" i="9"/>
  <c r="T648" i="9"/>
  <c r="W647" i="9"/>
  <c r="U645" i="9"/>
  <c r="X644" i="9"/>
  <c r="V642" i="9"/>
  <c r="Y641" i="9"/>
  <c r="T640" i="9"/>
  <c r="W639" i="9"/>
  <c r="U637" i="9"/>
  <c r="X636" i="9"/>
  <c r="V634" i="9"/>
  <c r="Y633" i="9"/>
  <c r="T632" i="9"/>
  <c r="W631" i="9"/>
  <c r="U629" i="9"/>
  <c r="X628" i="9"/>
  <c r="V626" i="9"/>
  <c r="Y625" i="9"/>
  <c r="T624" i="9"/>
  <c r="W623" i="9"/>
  <c r="U621" i="9"/>
  <c r="X620" i="9"/>
  <c r="V618" i="9"/>
  <c r="Y617" i="9"/>
  <c r="T616" i="9"/>
  <c r="W615" i="9"/>
  <c r="U613" i="9"/>
  <c r="X612" i="9"/>
  <c r="V610" i="9"/>
  <c r="Y609" i="9"/>
  <c r="T608" i="9"/>
  <c r="W607" i="9"/>
  <c r="U605" i="9"/>
  <c r="X604" i="9"/>
  <c r="V602" i="9"/>
  <c r="Y601" i="9"/>
  <c r="T600" i="9"/>
  <c r="W599" i="9"/>
  <c r="U597" i="9"/>
  <c r="X596" i="9"/>
  <c r="V594" i="9"/>
  <c r="Y593" i="9"/>
  <c r="T592" i="9"/>
  <c r="W591" i="9"/>
  <c r="U589" i="9"/>
  <c r="X588" i="9"/>
  <c r="Y703" i="9"/>
  <c r="T702" i="9"/>
  <c r="V696" i="9"/>
  <c r="X690" i="9"/>
  <c r="U683" i="9"/>
  <c r="X677" i="9"/>
  <c r="T674" i="9"/>
  <c r="Y673" i="9"/>
  <c r="T672" i="9"/>
  <c r="V671" i="9"/>
  <c r="Y670" i="9"/>
  <c r="T669" i="9"/>
  <c r="W668" i="9"/>
  <c r="U666" i="9"/>
  <c r="X665" i="9"/>
  <c r="V663" i="9"/>
  <c r="Y662" i="9"/>
  <c r="T661" i="9"/>
  <c r="W660" i="9"/>
  <c r="U658" i="9"/>
  <c r="X657" i="9"/>
  <c r="V655" i="9"/>
  <c r="Y654" i="9"/>
  <c r="T653" i="9"/>
  <c r="W652" i="9"/>
  <c r="U650" i="9"/>
  <c r="X649" i="9"/>
  <c r="V647" i="9"/>
  <c r="Y646" i="9"/>
  <c r="T645" i="9"/>
  <c r="W644" i="9"/>
  <c r="U642" i="9"/>
  <c r="X641" i="9"/>
  <c r="V639" i="9"/>
  <c r="Y638" i="9"/>
  <c r="T637" i="9"/>
  <c r="W636" i="9"/>
  <c r="U634" i="9"/>
  <c r="X633" i="9"/>
  <c r="V631" i="9"/>
  <c r="Y630" i="9"/>
  <c r="T629" i="9"/>
  <c r="W628" i="9"/>
  <c r="U626" i="9"/>
  <c r="X625" i="9"/>
  <c r="V623" i="9"/>
  <c r="Y622" i="9"/>
  <c r="T621" i="9"/>
  <c r="W620" i="9"/>
  <c r="U618" i="9"/>
  <c r="X617" i="9"/>
  <c r="V615" i="9"/>
  <c r="Y614" i="9"/>
  <c r="T613" i="9"/>
  <c r="W612" i="9"/>
  <c r="U610" i="9"/>
  <c r="X609" i="9"/>
  <c r="V607" i="9"/>
  <c r="Y606" i="9"/>
  <c r="T605" i="9"/>
  <c r="W604" i="9"/>
  <c r="U602" i="9"/>
  <c r="X601" i="9"/>
  <c r="V599" i="9"/>
  <c r="Y598" i="9"/>
  <c r="T597" i="9"/>
  <c r="W596" i="9"/>
  <c r="U594" i="9"/>
  <c r="X593" i="9"/>
  <c r="V591" i="9"/>
  <c r="Y590" i="9"/>
  <c r="T589" i="9"/>
  <c r="W588" i="9"/>
  <c r="W648" i="9"/>
  <c r="Y642" i="9"/>
  <c r="T641" i="9"/>
  <c r="V635" i="9"/>
  <c r="T626" i="9"/>
  <c r="U623" i="9"/>
  <c r="V620" i="9"/>
  <c r="W617" i="9"/>
  <c r="X614" i="9"/>
  <c r="Y611" i="9"/>
  <c r="T610" i="9"/>
  <c r="U607" i="9"/>
  <c r="V604" i="9"/>
  <c r="W601" i="9"/>
  <c r="X598" i="9"/>
  <c r="Y595" i="9"/>
  <c r="T594" i="9"/>
  <c r="U591" i="9"/>
  <c r="V588" i="9"/>
  <c r="W587" i="9"/>
  <c r="X585" i="9"/>
  <c r="Y583" i="9"/>
  <c r="T582" i="9"/>
  <c r="T581" i="9"/>
  <c r="W580" i="9"/>
  <c r="U578" i="9"/>
  <c r="X577" i="9"/>
  <c r="V575" i="9"/>
  <c r="Y574" i="9"/>
  <c r="T573" i="9"/>
  <c r="W572" i="9"/>
  <c r="U570" i="9"/>
  <c r="X569" i="9"/>
  <c r="V567" i="9"/>
  <c r="Y566" i="9"/>
  <c r="T565" i="9"/>
  <c r="W564" i="9"/>
  <c r="U562" i="9"/>
  <c r="X561" i="9"/>
  <c r="V559" i="9"/>
  <c r="U649" i="9"/>
  <c r="W643" i="9"/>
  <c r="Y637" i="9"/>
  <c r="T636" i="9"/>
  <c r="T628" i="9"/>
  <c r="X624" i="9"/>
  <c r="Y621" i="9"/>
  <c r="T620" i="9"/>
  <c r="U617" i="9"/>
  <c r="V614" i="9"/>
  <c r="W611" i="9"/>
  <c r="X608" i="9"/>
  <c r="Y605" i="9"/>
  <c r="T604" i="9"/>
  <c r="U601" i="9"/>
  <c r="V598" i="9"/>
  <c r="W595" i="9"/>
  <c r="X592" i="9"/>
  <c r="Y589" i="9"/>
  <c r="T588" i="9"/>
  <c r="V587" i="9"/>
  <c r="W585" i="9"/>
  <c r="W583" i="9"/>
  <c r="V580" i="9"/>
  <c r="Y579" i="9"/>
  <c r="T578" i="9"/>
  <c r="W577" i="9"/>
  <c r="U575" i="9"/>
  <c r="X574" i="9"/>
  <c r="V572" i="9"/>
  <c r="Y571" i="9"/>
  <c r="T570" i="9"/>
  <c r="W569" i="9"/>
  <c r="U567" i="9"/>
  <c r="X566" i="9"/>
  <c r="V564" i="9"/>
  <c r="Y563" i="9"/>
  <c r="T562" i="9"/>
  <c r="W561" i="9"/>
  <c r="U559" i="9"/>
  <c r="X558" i="9"/>
  <c r="V556" i="9"/>
  <c r="Y555" i="9"/>
  <c r="T554" i="9"/>
  <c r="W553" i="9"/>
  <c r="U551" i="9"/>
  <c r="X550" i="9"/>
  <c r="V548" i="9"/>
  <c r="Y547" i="9"/>
  <c r="T546" i="9"/>
  <c r="W545" i="9"/>
  <c r="U543" i="9"/>
  <c r="X542" i="9"/>
  <c r="V540" i="9"/>
  <c r="Y539" i="9"/>
  <c r="T538" i="9"/>
  <c r="W537" i="9"/>
  <c r="U535" i="9"/>
  <c r="X534" i="9"/>
  <c r="V532" i="9"/>
  <c r="Y531" i="9"/>
  <c r="T530" i="9"/>
  <c r="W529" i="9"/>
  <c r="U527" i="9"/>
  <c r="X526" i="9"/>
  <c r="V524" i="9"/>
  <c r="Y523" i="9"/>
  <c r="T522" i="9"/>
  <c r="W521" i="9"/>
  <c r="U519" i="9"/>
  <c r="X518" i="9"/>
  <c r="V516" i="9"/>
  <c r="Y515" i="9"/>
  <c r="T514" i="9"/>
  <c r="W513" i="9"/>
  <c r="Y650" i="9"/>
  <c r="T649" i="9"/>
  <c r="V643" i="9"/>
  <c r="X637" i="9"/>
  <c r="W627" i="9"/>
  <c r="W624" i="9"/>
  <c r="X621" i="9"/>
  <c r="Y618" i="9"/>
  <c r="T617" i="9"/>
  <c r="U614" i="9"/>
  <c r="V611" i="9"/>
  <c r="W608" i="9"/>
  <c r="X605" i="9"/>
  <c r="Y602" i="9"/>
  <c r="T601" i="9"/>
  <c r="U598" i="9"/>
  <c r="V595" i="9"/>
  <c r="W592" i="9"/>
  <c r="X589" i="9"/>
  <c r="U587" i="9"/>
  <c r="Y645" i="9"/>
  <c r="T644" i="9"/>
  <c r="V638" i="9"/>
  <c r="X632" i="9"/>
  <c r="V627" i="9"/>
  <c r="V624" i="9"/>
  <c r="W621" i="9"/>
  <c r="X618" i="9"/>
  <c r="Y615" i="9"/>
  <c r="T614" i="9"/>
  <c r="U611" i="9"/>
  <c r="V608" i="9"/>
  <c r="W605" i="9"/>
  <c r="X602" i="9"/>
  <c r="Y599" i="9"/>
  <c r="T598" i="9"/>
  <c r="U595" i="9"/>
  <c r="V592" i="9"/>
  <c r="W589" i="9"/>
  <c r="X645" i="9"/>
  <c r="U638" i="9"/>
  <c r="W632" i="9"/>
  <c r="V630" i="9"/>
  <c r="U627" i="9"/>
  <c r="W625" i="9"/>
  <c r="X622" i="9"/>
  <c r="Y619" i="9"/>
  <c r="T618" i="9"/>
  <c r="U615" i="9"/>
  <c r="V612" i="9"/>
  <c r="W609" i="9"/>
  <c r="X606" i="9"/>
  <c r="Y603" i="9"/>
  <c r="T602" i="9"/>
  <c r="U599" i="9"/>
  <c r="V596" i="9"/>
  <c r="W593" i="9"/>
  <c r="X590" i="9"/>
  <c r="X586" i="9"/>
  <c r="X584" i="9"/>
  <c r="Y582" i="9"/>
  <c r="X581" i="9"/>
  <c r="V579" i="9"/>
  <c r="Y578" i="9"/>
  <c r="T577" i="9"/>
  <c r="W576" i="9"/>
  <c r="U574" i="9"/>
  <c r="X573" i="9"/>
  <c r="V571" i="9"/>
  <c r="Y570" i="9"/>
  <c r="T569" i="9"/>
  <c r="W568" i="9"/>
  <c r="U566" i="9"/>
  <c r="X565" i="9"/>
  <c r="V563" i="9"/>
  <c r="Y562" i="9"/>
  <c r="T561" i="9"/>
  <c r="W560" i="9"/>
  <c r="V646" i="9"/>
  <c r="X640" i="9"/>
  <c r="U633" i="9"/>
  <c r="U630" i="9"/>
  <c r="Y629" i="9"/>
  <c r="U625" i="9"/>
  <c r="V622" i="9"/>
  <c r="W619" i="9"/>
  <c r="X616" i="9"/>
  <c r="Y613" i="9"/>
  <c r="T612" i="9"/>
  <c r="U609" i="9"/>
  <c r="V606" i="9"/>
  <c r="W603" i="9"/>
  <c r="X600" i="9"/>
  <c r="Y597" i="9"/>
  <c r="T596" i="9"/>
  <c r="U593" i="9"/>
  <c r="V590" i="9"/>
  <c r="V586" i="9"/>
  <c r="W584" i="9"/>
  <c r="X582" i="9"/>
  <c r="W581" i="9"/>
  <c r="U579" i="9"/>
  <c r="X578" i="9"/>
  <c r="V576" i="9"/>
  <c r="Y575" i="9"/>
  <c r="T574" i="9"/>
  <c r="W573" i="9"/>
  <c r="U571" i="9"/>
  <c r="X570" i="9"/>
  <c r="V568" i="9"/>
  <c r="Y567" i="9"/>
  <c r="T566" i="9"/>
  <c r="W565" i="9"/>
  <c r="U563" i="9"/>
  <c r="X562" i="9"/>
  <c r="V560" i="9"/>
  <c r="Y559" i="9"/>
  <c r="T558" i="9"/>
  <c r="W557" i="9"/>
  <c r="U555" i="9"/>
  <c r="X554" i="9"/>
  <c r="V552" i="9"/>
  <c r="Y551" i="9"/>
  <c r="T550" i="9"/>
  <c r="W549" i="9"/>
  <c r="U547" i="9"/>
  <c r="X546" i="9"/>
  <c r="V544" i="9"/>
  <c r="Y543" i="9"/>
  <c r="T542" i="9"/>
  <c r="W541" i="9"/>
  <c r="U539" i="9"/>
  <c r="X538" i="9"/>
  <c r="V536" i="9"/>
  <c r="Y535" i="9"/>
  <c r="T534" i="9"/>
  <c r="W533" i="9"/>
  <c r="U531" i="9"/>
  <c r="X530" i="9"/>
  <c r="V528" i="9"/>
  <c r="Y527" i="9"/>
  <c r="T526" i="9"/>
  <c r="W525" i="9"/>
  <c r="U523" i="9"/>
  <c r="X522" i="9"/>
  <c r="V520" i="9"/>
  <c r="Y519" i="9"/>
  <c r="T518" i="9"/>
  <c r="W517" i="9"/>
  <c r="U515" i="9"/>
  <c r="X514" i="9"/>
  <c r="V512" i="9"/>
  <c r="Y511" i="9"/>
  <c r="U646" i="9"/>
  <c r="W640" i="9"/>
  <c r="Y634" i="9"/>
  <c r="T633" i="9"/>
  <c r="T630" i="9"/>
  <c r="X629" i="9"/>
  <c r="Y626" i="9"/>
  <c r="T625" i="9"/>
  <c r="U622" i="9"/>
  <c r="V619" i="9"/>
  <c r="W616" i="9"/>
  <c r="X613" i="9"/>
  <c r="Y610" i="9"/>
  <c r="T609" i="9"/>
  <c r="U606" i="9"/>
  <c r="V603" i="9"/>
  <c r="W600" i="9"/>
  <c r="X597" i="9"/>
  <c r="Y594" i="9"/>
  <c r="T593" i="9"/>
  <c r="U590" i="9"/>
  <c r="U586" i="9"/>
  <c r="V584" i="9"/>
  <c r="V582" i="9"/>
  <c r="V581" i="9"/>
  <c r="Y580" i="9"/>
  <c r="T579" i="9"/>
  <c r="W578" i="9"/>
  <c r="U576" i="9"/>
  <c r="X575" i="9"/>
  <c r="V573" i="9"/>
  <c r="Y572" i="9"/>
  <c r="T571" i="9"/>
  <c r="W570" i="9"/>
  <c r="U568" i="9"/>
  <c r="X567" i="9"/>
  <c r="V565" i="9"/>
  <c r="Y564" i="9"/>
  <c r="T563" i="9"/>
  <c r="W562" i="9"/>
  <c r="U560" i="9"/>
  <c r="X559" i="9"/>
  <c r="V557" i="9"/>
  <c r="Y556" i="9"/>
  <c r="T555" i="9"/>
  <c r="W554" i="9"/>
  <c r="U552" i="9"/>
  <c r="X551" i="9"/>
  <c r="V549" i="9"/>
  <c r="Y548" i="9"/>
  <c r="T547" i="9"/>
  <c r="W546" i="9"/>
  <c r="U544" i="9"/>
  <c r="X543" i="9"/>
  <c r="V541" i="9"/>
  <c r="Y540" i="9"/>
  <c r="T539" i="9"/>
  <c r="W538" i="9"/>
  <c r="U536" i="9"/>
  <c r="X535" i="9"/>
  <c r="V533" i="9"/>
  <c r="Y532" i="9"/>
  <c r="T531" i="9"/>
  <c r="W530" i="9"/>
  <c r="U528" i="9"/>
  <c r="X527" i="9"/>
  <c r="V525" i="9"/>
  <c r="Y524" i="9"/>
  <c r="T523" i="9"/>
  <c r="W522" i="9"/>
  <c r="U520" i="9"/>
  <c r="X648" i="9"/>
  <c r="U641" i="9"/>
  <c r="W635" i="9"/>
  <c r="W629" i="9"/>
  <c r="X626" i="9"/>
  <c r="Y623" i="9"/>
  <c r="T622" i="9"/>
  <c r="U619" i="9"/>
  <c r="V616" i="9"/>
  <c r="W613" i="9"/>
  <c r="X610" i="9"/>
  <c r="Y607" i="9"/>
  <c r="T606" i="9"/>
  <c r="U603" i="9"/>
  <c r="V600" i="9"/>
  <c r="W597" i="9"/>
  <c r="X594" i="9"/>
  <c r="Y591" i="9"/>
  <c r="T590" i="9"/>
  <c r="Y587" i="9"/>
  <c r="T586" i="9"/>
  <c r="Y585" i="9"/>
  <c r="T584" i="9"/>
  <c r="U582" i="9"/>
  <c r="U581" i="9"/>
  <c r="X580" i="9"/>
  <c r="V578" i="9"/>
  <c r="Y577" i="9"/>
  <c r="T576" i="9"/>
  <c r="W575" i="9"/>
  <c r="U573" i="9"/>
  <c r="X572" i="9"/>
  <c r="V570" i="9"/>
  <c r="Y569" i="9"/>
  <c r="T568" i="9"/>
  <c r="W567" i="9"/>
  <c r="U565" i="9"/>
  <c r="X564" i="9"/>
  <c r="V562" i="9"/>
  <c r="Y561" i="9"/>
  <c r="T560" i="9"/>
  <c r="W559" i="9"/>
  <c r="U557" i="9"/>
  <c r="X556" i="9"/>
  <c r="V554" i="9"/>
  <c r="Y553" i="9"/>
  <c r="T552" i="9"/>
  <c r="W551" i="9"/>
  <c r="U549" i="9"/>
  <c r="X548" i="9"/>
  <c r="V546" i="9"/>
  <c r="Y545" i="9"/>
  <c r="T544" i="9"/>
  <c r="W543" i="9"/>
  <c r="U541" i="9"/>
  <c r="X540" i="9"/>
  <c r="V538" i="9"/>
  <c r="Y537" i="9"/>
  <c r="T536" i="9"/>
  <c r="W535" i="9"/>
  <c r="U533" i="9"/>
  <c r="X532" i="9"/>
  <c r="V530" i="9"/>
  <c r="Y529" i="9"/>
  <c r="T528" i="9"/>
  <c r="W527" i="9"/>
  <c r="U525" i="9"/>
  <c r="X524" i="9"/>
  <c r="V522" i="9"/>
  <c r="Y521" i="9"/>
  <c r="T520" i="9"/>
  <c r="V583" i="9"/>
  <c r="X579" i="9"/>
  <c r="U572" i="9"/>
  <c r="W566" i="9"/>
  <c r="Y560" i="9"/>
  <c r="T559" i="9"/>
  <c r="Y558" i="9"/>
  <c r="T557" i="9"/>
  <c r="U554" i="9"/>
  <c r="V551" i="9"/>
  <c r="W548" i="9"/>
  <c r="X545" i="9"/>
  <c r="Y542" i="9"/>
  <c r="T541" i="9"/>
  <c r="U538" i="9"/>
  <c r="V535" i="9"/>
  <c r="W532" i="9"/>
  <c r="X529" i="9"/>
  <c r="Y526" i="9"/>
  <c r="T525" i="9"/>
  <c r="U522" i="9"/>
  <c r="X519" i="9"/>
  <c r="Y517" i="9"/>
  <c r="T516" i="9"/>
  <c r="U514" i="9"/>
  <c r="U512" i="9"/>
  <c r="U510" i="9"/>
  <c r="X509" i="9"/>
  <c r="V507" i="9"/>
  <c r="Y506" i="9"/>
  <c r="T505" i="9"/>
  <c r="W504" i="9"/>
  <c r="U502" i="9"/>
  <c r="X501" i="9"/>
  <c r="V499" i="9"/>
  <c r="Y498" i="9"/>
  <c r="T497" i="9"/>
  <c r="W496" i="9"/>
  <c r="U494" i="9"/>
  <c r="X493" i="9"/>
  <c r="V491" i="9"/>
  <c r="Y490" i="9"/>
  <c r="T489" i="9"/>
  <c r="W488" i="9"/>
  <c r="U486" i="9"/>
  <c r="Y586" i="9"/>
  <c r="U583" i="9"/>
  <c r="W579" i="9"/>
  <c r="Y573" i="9"/>
  <c r="T572" i="9"/>
  <c r="V566" i="9"/>
  <c r="X560" i="9"/>
  <c r="W558" i="9"/>
  <c r="X555" i="9"/>
  <c r="Y552" i="9"/>
  <c r="T551" i="9"/>
  <c r="U548" i="9"/>
  <c r="V545" i="9"/>
  <c r="W542" i="9"/>
  <c r="X539" i="9"/>
  <c r="Y536" i="9"/>
  <c r="T535" i="9"/>
  <c r="U532" i="9"/>
  <c r="V529" i="9"/>
  <c r="W526" i="9"/>
  <c r="X523" i="9"/>
  <c r="Y520" i="9"/>
  <c r="W519" i="9"/>
  <c r="X517" i="9"/>
  <c r="X515" i="9"/>
  <c r="Y513" i="9"/>
  <c r="T512" i="9"/>
  <c r="T510" i="9"/>
  <c r="W509" i="9"/>
  <c r="U507" i="9"/>
  <c r="X506" i="9"/>
  <c r="V504" i="9"/>
  <c r="Y503" i="9"/>
  <c r="T502" i="9"/>
  <c r="W501" i="9"/>
  <c r="U499" i="9"/>
  <c r="X498" i="9"/>
  <c r="V496" i="9"/>
  <c r="Y495" i="9"/>
  <c r="T494" i="9"/>
  <c r="W493" i="9"/>
  <c r="U491" i="9"/>
  <c r="X490" i="9"/>
  <c r="V488" i="9"/>
  <c r="Y487" i="9"/>
  <c r="T486" i="9"/>
  <c r="W485" i="9"/>
  <c r="U483" i="9"/>
  <c r="X482" i="9"/>
  <c r="V480" i="9"/>
  <c r="Y479" i="9"/>
  <c r="T478" i="9"/>
  <c r="W477" i="9"/>
  <c r="U475" i="9"/>
  <c r="X474" i="9"/>
  <c r="V472" i="9"/>
  <c r="Y471" i="9"/>
  <c r="T470" i="9"/>
  <c r="W469" i="9"/>
  <c r="U467" i="9"/>
  <c r="X466" i="9"/>
  <c r="V464" i="9"/>
  <c r="Y463" i="9"/>
  <c r="T462" i="9"/>
  <c r="W461" i="9"/>
  <c r="U459" i="9"/>
  <c r="X458" i="9"/>
  <c r="V456" i="9"/>
  <c r="Y455" i="9"/>
  <c r="T454" i="9"/>
  <c r="W453" i="9"/>
  <c r="U451" i="9"/>
  <c r="X450" i="9"/>
  <c r="V448" i="9"/>
  <c r="Y447" i="9"/>
  <c r="T446" i="9"/>
  <c r="W445" i="9"/>
  <c r="U443" i="9"/>
  <c r="X442" i="9"/>
  <c r="U580" i="9"/>
  <c r="W574" i="9"/>
  <c r="Y568" i="9"/>
  <c r="T567" i="9"/>
  <c r="V561" i="9"/>
  <c r="V558" i="9"/>
  <c r="W555" i="9"/>
  <c r="X552" i="9"/>
  <c r="Y549" i="9"/>
  <c r="T548" i="9"/>
  <c r="U545" i="9"/>
  <c r="V542" i="9"/>
  <c r="W539" i="9"/>
  <c r="X536" i="9"/>
  <c r="Y533" i="9"/>
  <c r="T532" i="9"/>
  <c r="U529" i="9"/>
  <c r="V526" i="9"/>
  <c r="W523" i="9"/>
  <c r="X520" i="9"/>
  <c r="V519" i="9"/>
  <c r="V517" i="9"/>
  <c r="W515" i="9"/>
  <c r="X513" i="9"/>
  <c r="X511" i="9"/>
  <c r="Y581" i="9"/>
  <c r="T580" i="9"/>
  <c r="V574" i="9"/>
  <c r="X568" i="9"/>
  <c r="U561" i="9"/>
  <c r="U558" i="9"/>
  <c r="V555" i="9"/>
  <c r="W552" i="9"/>
  <c r="X549" i="9"/>
  <c r="Y546" i="9"/>
  <c r="T545" i="9"/>
  <c r="U542" i="9"/>
  <c r="V539" i="9"/>
  <c r="W536" i="9"/>
  <c r="X533" i="9"/>
  <c r="Y530" i="9"/>
  <c r="T529" i="9"/>
  <c r="U526" i="9"/>
  <c r="V523" i="9"/>
  <c r="W520" i="9"/>
  <c r="T519" i="9"/>
  <c r="U517" i="9"/>
  <c r="V515" i="9"/>
  <c r="V513" i="9"/>
  <c r="W511" i="9"/>
  <c r="Y576" i="9"/>
  <c r="T575" i="9"/>
  <c r="V569" i="9"/>
  <c r="X563" i="9"/>
  <c r="W556" i="9"/>
  <c r="X553" i="9"/>
  <c r="Y550" i="9"/>
  <c r="T549" i="9"/>
  <c r="U546" i="9"/>
  <c r="V543" i="9"/>
  <c r="W540" i="9"/>
  <c r="X537" i="9"/>
  <c r="Y534" i="9"/>
  <c r="T533" i="9"/>
  <c r="U530" i="9"/>
  <c r="V527" i="9"/>
  <c r="W524" i="9"/>
  <c r="X521" i="9"/>
  <c r="Y518" i="9"/>
  <c r="T517" i="9"/>
  <c r="Y516" i="9"/>
  <c r="T515" i="9"/>
  <c r="U513" i="9"/>
  <c r="V511" i="9"/>
  <c r="Y510" i="9"/>
  <c r="T509" i="9"/>
  <c r="W508" i="9"/>
  <c r="U506" i="9"/>
  <c r="X505" i="9"/>
  <c r="V503" i="9"/>
  <c r="Y502" i="9"/>
  <c r="T501" i="9"/>
  <c r="W500" i="9"/>
  <c r="U498" i="9"/>
  <c r="X497" i="9"/>
  <c r="V495" i="9"/>
  <c r="Y494" i="9"/>
  <c r="T493" i="9"/>
  <c r="W492" i="9"/>
  <c r="U490" i="9"/>
  <c r="X489" i="9"/>
  <c r="V487" i="9"/>
  <c r="X576" i="9"/>
  <c r="U569" i="9"/>
  <c r="W563" i="9"/>
  <c r="U556" i="9"/>
  <c r="V553" i="9"/>
  <c r="W550" i="9"/>
  <c r="X547" i="9"/>
  <c r="Y544" i="9"/>
  <c r="T543" i="9"/>
  <c r="U540" i="9"/>
  <c r="V537" i="9"/>
  <c r="W534" i="9"/>
  <c r="X531" i="9"/>
  <c r="Y528" i="9"/>
  <c r="T527" i="9"/>
  <c r="U524" i="9"/>
  <c r="V521" i="9"/>
  <c r="W518" i="9"/>
  <c r="X516" i="9"/>
  <c r="Y514" i="9"/>
  <c r="T513" i="9"/>
  <c r="Y512" i="9"/>
  <c r="U511" i="9"/>
  <c r="X510" i="9"/>
  <c r="V508" i="9"/>
  <c r="Y507" i="9"/>
  <c r="T506" i="9"/>
  <c r="W505" i="9"/>
  <c r="U503" i="9"/>
  <c r="X502" i="9"/>
  <c r="V500" i="9"/>
  <c r="Y499" i="9"/>
  <c r="T498" i="9"/>
  <c r="W497" i="9"/>
  <c r="U495" i="9"/>
  <c r="X494" i="9"/>
  <c r="V492" i="9"/>
  <c r="Y491" i="9"/>
  <c r="T490" i="9"/>
  <c r="W489" i="9"/>
  <c r="U487" i="9"/>
  <c r="X486" i="9"/>
  <c r="V484" i="9"/>
  <c r="Y483" i="9"/>
  <c r="T482" i="9"/>
  <c r="W481" i="9"/>
  <c r="U479" i="9"/>
  <c r="X478" i="9"/>
  <c r="V476" i="9"/>
  <c r="Y475" i="9"/>
  <c r="T474" i="9"/>
  <c r="W473" i="9"/>
  <c r="U471" i="9"/>
  <c r="X470" i="9"/>
  <c r="V468" i="9"/>
  <c r="Y467" i="9"/>
  <c r="T466" i="9"/>
  <c r="W465" i="9"/>
  <c r="U463" i="9"/>
  <c r="X462" i="9"/>
  <c r="V460" i="9"/>
  <c r="Y459" i="9"/>
  <c r="T458" i="9"/>
  <c r="W457" i="9"/>
  <c r="U455" i="9"/>
  <c r="X454" i="9"/>
  <c r="V452" i="9"/>
  <c r="Y451" i="9"/>
  <c r="T450" i="9"/>
  <c r="W449" i="9"/>
  <c r="U447" i="9"/>
  <c r="X446" i="9"/>
  <c r="V444" i="9"/>
  <c r="Y443" i="9"/>
  <c r="U585" i="9"/>
  <c r="V577" i="9"/>
  <c r="X571" i="9"/>
  <c r="U564" i="9"/>
  <c r="Y557" i="9"/>
  <c r="T556" i="9"/>
  <c r="U553" i="9"/>
  <c r="V550" i="9"/>
  <c r="W547" i="9"/>
  <c r="X544" i="9"/>
  <c r="Y541" i="9"/>
  <c r="T540" i="9"/>
  <c r="U537" i="9"/>
  <c r="V534" i="9"/>
  <c r="W531" i="9"/>
  <c r="X528" i="9"/>
  <c r="Y525" i="9"/>
  <c r="T524" i="9"/>
  <c r="U521" i="9"/>
  <c r="V518" i="9"/>
  <c r="W516" i="9"/>
  <c r="W514" i="9"/>
  <c r="X512" i="9"/>
  <c r="T511" i="9"/>
  <c r="W510" i="9"/>
  <c r="U508" i="9"/>
  <c r="X507" i="9"/>
  <c r="V505" i="9"/>
  <c r="Y504" i="9"/>
  <c r="T503" i="9"/>
  <c r="W502" i="9"/>
  <c r="U500" i="9"/>
  <c r="X499" i="9"/>
  <c r="V497" i="9"/>
  <c r="Y496" i="9"/>
  <c r="T495" i="9"/>
  <c r="W494" i="9"/>
  <c r="U492" i="9"/>
  <c r="X491" i="9"/>
  <c r="V489" i="9"/>
  <c r="Y488" i="9"/>
  <c r="T487" i="9"/>
  <c r="W486" i="9"/>
  <c r="U484" i="9"/>
  <c r="X483" i="9"/>
  <c r="V481" i="9"/>
  <c r="Y480" i="9"/>
  <c r="T479" i="9"/>
  <c r="W478" i="9"/>
  <c r="U476" i="9"/>
  <c r="X475" i="9"/>
  <c r="V473" i="9"/>
  <c r="Y472" i="9"/>
  <c r="T471" i="9"/>
  <c r="W470" i="9"/>
  <c r="U468" i="9"/>
  <c r="X467" i="9"/>
  <c r="V465" i="9"/>
  <c r="Y464" i="9"/>
  <c r="T463" i="9"/>
  <c r="W462" i="9"/>
  <c r="U460" i="9"/>
  <c r="X459" i="9"/>
  <c r="V457" i="9"/>
  <c r="Y456" i="9"/>
  <c r="T455" i="9"/>
  <c r="W454" i="9"/>
  <c r="U452" i="9"/>
  <c r="X451" i="9"/>
  <c r="V449" i="9"/>
  <c r="Y448" i="9"/>
  <c r="T447" i="9"/>
  <c r="W446" i="9"/>
  <c r="U444" i="9"/>
  <c r="X443" i="9"/>
  <c r="T585" i="9"/>
  <c r="U577" i="9"/>
  <c r="W571" i="9"/>
  <c r="Y565" i="9"/>
  <c r="T564" i="9"/>
  <c r="X557" i="9"/>
  <c r="Y554" i="9"/>
  <c r="T553" i="9"/>
  <c r="U550" i="9"/>
  <c r="V547" i="9"/>
  <c r="W544" i="9"/>
  <c r="X541" i="9"/>
  <c r="Y538" i="9"/>
  <c r="T537" i="9"/>
  <c r="U534" i="9"/>
  <c r="V531" i="9"/>
  <c r="W528" i="9"/>
  <c r="X525" i="9"/>
  <c r="Y522" i="9"/>
  <c r="T521" i="9"/>
  <c r="U518" i="9"/>
  <c r="U516" i="9"/>
  <c r="V514" i="9"/>
  <c r="W512" i="9"/>
  <c r="V510" i="9"/>
  <c r="Y509" i="9"/>
  <c r="T508" i="9"/>
  <c r="W507" i="9"/>
  <c r="U505" i="9"/>
  <c r="X504" i="9"/>
  <c r="V502" i="9"/>
  <c r="Y501" i="9"/>
  <c r="T500" i="9"/>
  <c r="W499" i="9"/>
  <c r="U497" i="9"/>
  <c r="X496" i="9"/>
  <c r="V494" i="9"/>
  <c r="Y493" i="9"/>
  <c r="T492" i="9"/>
  <c r="W491" i="9"/>
  <c r="U489" i="9"/>
  <c r="X488" i="9"/>
  <c r="V486" i="9"/>
  <c r="Y485" i="9"/>
  <c r="T484" i="9"/>
  <c r="W483" i="9"/>
  <c r="U481" i="9"/>
  <c r="X480" i="9"/>
  <c r="V478" i="9"/>
  <c r="Y477" i="9"/>
  <c r="T476" i="9"/>
  <c r="W475" i="9"/>
  <c r="U473" i="9"/>
  <c r="X472" i="9"/>
  <c r="V470" i="9"/>
  <c r="Y469" i="9"/>
  <c r="T468" i="9"/>
  <c r="W467" i="9"/>
  <c r="U465" i="9"/>
  <c r="X464" i="9"/>
  <c r="V462" i="9"/>
  <c r="Y461" i="9"/>
  <c r="T460" i="9"/>
  <c r="W459" i="9"/>
  <c r="U457" i="9"/>
  <c r="X456" i="9"/>
  <c r="V454" i="9"/>
  <c r="Y453" i="9"/>
  <c r="T452" i="9"/>
  <c r="W451" i="9"/>
  <c r="U449" i="9"/>
  <c r="X448" i="9"/>
  <c r="V446" i="9"/>
  <c r="Y445" i="9"/>
  <c r="Y505" i="9"/>
  <c r="T504" i="9"/>
  <c r="V498" i="9"/>
  <c r="X492" i="9"/>
  <c r="U485" i="9"/>
  <c r="V482" i="9"/>
  <c r="W479" i="9"/>
  <c r="X476" i="9"/>
  <c r="Y473" i="9"/>
  <c r="T472" i="9"/>
  <c r="U469" i="9"/>
  <c r="V466" i="9"/>
  <c r="W463" i="9"/>
  <c r="X460" i="9"/>
  <c r="Y457" i="9"/>
  <c r="T456" i="9"/>
  <c r="U453" i="9"/>
  <c r="V450" i="9"/>
  <c r="W447" i="9"/>
  <c r="Y444" i="9"/>
  <c r="V441" i="9"/>
  <c r="Y440" i="9"/>
  <c r="T439" i="9"/>
  <c r="W438" i="9"/>
  <c r="U436" i="9"/>
  <c r="X435" i="9"/>
  <c r="V433" i="9"/>
  <c r="Y432" i="9"/>
  <c r="T431" i="9"/>
  <c r="W430" i="9"/>
  <c r="U428" i="9"/>
  <c r="X427" i="9"/>
  <c r="V425" i="9"/>
  <c r="Y424" i="9"/>
  <c r="T423" i="9"/>
  <c r="W422" i="9"/>
  <c r="U420" i="9"/>
  <c r="X419" i="9"/>
  <c r="V417" i="9"/>
  <c r="Y416" i="9"/>
  <c r="T415" i="9"/>
  <c r="W414" i="9"/>
  <c r="U412" i="9"/>
  <c r="X411" i="9"/>
  <c r="W506" i="9"/>
  <c r="Y500" i="9"/>
  <c r="T499" i="9"/>
  <c r="V493" i="9"/>
  <c r="X487" i="9"/>
  <c r="T485" i="9"/>
  <c r="U482" i="9"/>
  <c r="V479" i="9"/>
  <c r="W476" i="9"/>
  <c r="X473" i="9"/>
  <c r="Y470" i="9"/>
  <c r="T469" i="9"/>
  <c r="U466" i="9"/>
  <c r="V463" i="9"/>
  <c r="W460" i="9"/>
  <c r="X457" i="9"/>
  <c r="Y454" i="9"/>
  <c r="T453" i="9"/>
  <c r="U450" i="9"/>
  <c r="V447" i="9"/>
  <c r="X444" i="9"/>
  <c r="U441" i="9"/>
  <c r="X440" i="9"/>
  <c r="V438" i="9"/>
  <c r="Y437" i="9"/>
  <c r="T436" i="9"/>
  <c r="W435" i="9"/>
  <c r="U433" i="9"/>
  <c r="X432" i="9"/>
  <c r="V430" i="9"/>
  <c r="Y429" i="9"/>
  <c r="T428" i="9"/>
  <c r="W427" i="9"/>
  <c r="U425" i="9"/>
  <c r="X424" i="9"/>
  <c r="V422" i="9"/>
  <c r="Y421" i="9"/>
  <c r="T420" i="9"/>
  <c r="W419" i="9"/>
  <c r="U417" i="9"/>
  <c r="X416" i="9"/>
  <c r="V414" i="9"/>
  <c r="Y413" i="9"/>
  <c r="T412" i="9"/>
  <c r="W411" i="9"/>
  <c r="U409" i="9"/>
  <c r="X408" i="9"/>
  <c r="V406" i="9"/>
  <c r="Y405" i="9"/>
  <c r="T404" i="9"/>
  <c r="W403" i="9"/>
  <c r="U401" i="9"/>
  <c r="X400" i="9"/>
  <c r="V398" i="9"/>
  <c r="Y397" i="9"/>
  <c r="T396" i="9"/>
  <c r="W395" i="9"/>
  <c r="U393" i="9"/>
  <c r="X392" i="9"/>
  <c r="V390" i="9"/>
  <c r="Y389" i="9"/>
  <c r="T388" i="9"/>
  <c r="W387" i="9"/>
  <c r="U385" i="9"/>
  <c r="X384" i="9"/>
  <c r="V382" i="9"/>
  <c r="Y381" i="9"/>
  <c r="T380" i="9"/>
  <c r="W379" i="9"/>
  <c r="U377" i="9"/>
  <c r="X376" i="9"/>
  <c r="V374" i="9"/>
  <c r="Y373" i="9"/>
  <c r="T372" i="9"/>
  <c r="W371" i="9"/>
  <c r="U369" i="9"/>
  <c r="V506" i="9"/>
  <c r="X500" i="9"/>
  <c r="U493" i="9"/>
  <c r="W487" i="9"/>
  <c r="Y486" i="9"/>
  <c r="V483" i="9"/>
  <c r="W480" i="9"/>
  <c r="X477" i="9"/>
  <c r="Y474" i="9"/>
  <c r="T473" i="9"/>
  <c r="U470" i="9"/>
  <c r="V467" i="9"/>
  <c r="W464" i="9"/>
  <c r="X461" i="9"/>
  <c r="Y458" i="9"/>
  <c r="T457" i="9"/>
  <c r="U454" i="9"/>
  <c r="V451" i="9"/>
  <c r="W448" i="9"/>
  <c r="X445" i="9"/>
  <c r="W444" i="9"/>
  <c r="W443" i="9"/>
  <c r="T441" i="9"/>
  <c r="W440" i="9"/>
  <c r="U438" i="9"/>
  <c r="X437" i="9"/>
  <c r="V435" i="9"/>
  <c r="Y508" i="9"/>
  <c r="T507" i="9"/>
  <c r="V501" i="9"/>
  <c r="X495" i="9"/>
  <c r="U488" i="9"/>
  <c r="Y484" i="9"/>
  <c r="T483" i="9"/>
  <c r="U480" i="9"/>
  <c r="V477" i="9"/>
  <c r="W474" i="9"/>
  <c r="X471" i="9"/>
  <c r="Y468" i="9"/>
  <c r="T467" i="9"/>
  <c r="U464" i="9"/>
  <c r="V461" i="9"/>
  <c r="W458" i="9"/>
  <c r="X455" i="9"/>
  <c r="Y452" i="9"/>
  <c r="T451" i="9"/>
  <c r="U448" i="9"/>
  <c r="V445" i="9"/>
  <c r="T444" i="9"/>
  <c r="V443" i="9"/>
  <c r="Y442" i="9"/>
  <c r="V440" i="9"/>
  <c r="Y439" i="9"/>
  <c r="T438" i="9"/>
  <c r="W437" i="9"/>
  <c r="U435" i="9"/>
  <c r="X508" i="9"/>
  <c r="U501" i="9"/>
  <c r="W495" i="9"/>
  <c r="Y489" i="9"/>
  <c r="T488" i="9"/>
  <c r="X484" i="9"/>
  <c r="Y481" i="9"/>
  <c r="T480" i="9"/>
  <c r="U477" i="9"/>
  <c r="V474" i="9"/>
  <c r="W471" i="9"/>
  <c r="X468" i="9"/>
  <c r="Y465" i="9"/>
  <c r="T464" i="9"/>
  <c r="U461" i="9"/>
  <c r="V458" i="9"/>
  <c r="W455" i="9"/>
  <c r="X452" i="9"/>
  <c r="Y449" i="9"/>
  <c r="T448" i="9"/>
  <c r="U445" i="9"/>
  <c r="T443" i="9"/>
  <c r="W442" i="9"/>
  <c r="U440" i="9"/>
  <c r="X439" i="9"/>
  <c r="V437" i="9"/>
  <c r="Y436" i="9"/>
  <c r="T435" i="9"/>
  <c r="W434" i="9"/>
  <c r="U432" i="9"/>
  <c r="X431" i="9"/>
  <c r="V429" i="9"/>
  <c r="Y428" i="9"/>
  <c r="T427" i="9"/>
  <c r="W426" i="9"/>
  <c r="U424" i="9"/>
  <c r="X423" i="9"/>
  <c r="V421" i="9"/>
  <c r="Y420" i="9"/>
  <c r="T419" i="9"/>
  <c r="W418" i="9"/>
  <c r="U416" i="9"/>
  <c r="X415" i="9"/>
  <c r="V413" i="9"/>
  <c r="Y412" i="9"/>
  <c r="V509" i="9"/>
  <c r="X503" i="9"/>
  <c r="U496" i="9"/>
  <c r="W490" i="9"/>
  <c r="W484" i="9"/>
  <c r="X481" i="9"/>
  <c r="Y478" i="9"/>
  <c r="T477" i="9"/>
  <c r="U474" i="9"/>
  <c r="V471" i="9"/>
  <c r="W468" i="9"/>
  <c r="X465" i="9"/>
  <c r="Y462" i="9"/>
  <c r="T461" i="9"/>
  <c r="U458" i="9"/>
  <c r="V455" i="9"/>
  <c r="W452" i="9"/>
  <c r="X449" i="9"/>
  <c r="Y446" i="9"/>
  <c r="T445" i="9"/>
  <c r="V442" i="9"/>
  <c r="Y441" i="9"/>
  <c r="T440" i="9"/>
  <c r="W439" i="9"/>
  <c r="U437" i="9"/>
  <c r="X436" i="9"/>
  <c r="V434" i="9"/>
  <c r="Y433" i="9"/>
  <c r="T432" i="9"/>
  <c r="W431" i="9"/>
  <c r="U429" i="9"/>
  <c r="X428" i="9"/>
  <c r="V426" i="9"/>
  <c r="Y425" i="9"/>
  <c r="T424" i="9"/>
  <c r="W423" i="9"/>
  <c r="U421" i="9"/>
  <c r="X420" i="9"/>
  <c r="V418" i="9"/>
  <c r="Y417" i="9"/>
  <c r="T416" i="9"/>
  <c r="W415" i="9"/>
  <c r="U413" i="9"/>
  <c r="X412" i="9"/>
  <c r="V410" i="9"/>
  <c r="Y409" i="9"/>
  <c r="T408" i="9"/>
  <c r="W407" i="9"/>
  <c r="U405" i="9"/>
  <c r="X404" i="9"/>
  <c r="V402" i="9"/>
  <c r="Y401" i="9"/>
  <c r="T400" i="9"/>
  <c r="W399" i="9"/>
  <c r="U397" i="9"/>
  <c r="X396" i="9"/>
  <c r="V394" i="9"/>
  <c r="Y393" i="9"/>
  <c r="T392" i="9"/>
  <c r="W391" i="9"/>
  <c r="U389" i="9"/>
  <c r="X388" i="9"/>
  <c r="V386" i="9"/>
  <c r="Y385" i="9"/>
  <c r="T384" i="9"/>
  <c r="W383" i="9"/>
  <c r="U381" i="9"/>
  <c r="X380" i="9"/>
  <c r="V378" i="9"/>
  <c r="Y377" i="9"/>
  <c r="T376" i="9"/>
  <c r="W375" i="9"/>
  <c r="U373" i="9"/>
  <c r="X372" i="9"/>
  <c r="V370" i="9"/>
  <c r="Y369" i="9"/>
  <c r="U509" i="9"/>
  <c r="W503" i="9"/>
  <c r="Y497" i="9"/>
  <c r="T496" i="9"/>
  <c r="V490" i="9"/>
  <c r="X485" i="9"/>
  <c r="Y482" i="9"/>
  <c r="T481" i="9"/>
  <c r="U478" i="9"/>
  <c r="V475" i="9"/>
  <c r="W472" i="9"/>
  <c r="X469" i="9"/>
  <c r="Y466" i="9"/>
  <c r="T465" i="9"/>
  <c r="U462" i="9"/>
  <c r="V459" i="9"/>
  <c r="W456" i="9"/>
  <c r="X453" i="9"/>
  <c r="Y450" i="9"/>
  <c r="T449" i="9"/>
  <c r="U446" i="9"/>
  <c r="U442" i="9"/>
  <c r="X441" i="9"/>
  <c r="V439" i="9"/>
  <c r="Y438" i="9"/>
  <c r="T437" i="9"/>
  <c r="W436" i="9"/>
  <c r="U434" i="9"/>
  <c r="X433" i="9"/>
  <c r="V431" i="9"/>
  <c r="Y430" i="9"/>
  <c r="T429" i="9"/>
  <c r="W428" i="9"/>
  <c r="U426" i="9"/>
  <c r="X425" i="9"/>
  <c r="V423" i="9"/>
  <c r="Y422" i="9"/>
  <c r="T421" i="9"/>
  <c r="W420" i="9"/>
  <c r="U418" i="9"/>
  <c r="X417" i="9"/>
  <c r="V415" i="9"/>
  <c r="Y414" i="9"/>
  <c r="T413" i="9"/>
  <c r="W412" i="9"/>
  <c r="U410" i="9"/>
  <c r="X409" i="9"/>
  <c r="V407" i="9"/>
  <c r="Y406" i="9"/>
  <c r="T405" i="9"/>
  <c r="W404" i="9"/>
  <c r="U402" i="9"/>
  <c r="X401" i="9"/>
  <c r="V399" i="9"/>
  <c r="Y398" i="9"/>
  <c r="T397" i="9"/>
  <c r="W396" i="9"/>
  <c r="U394" i="9"/>
  <c r="X393" i="9"/>
  <c r="V391" i="9"/>
  <c r="Y390" i="9"/>
  <c r="T389" i="9"/>
  <c r="W388" i="9"/>
  <c r="U386" i="9"/>
  <c r="X385" i="9"/>
  <c r="V383" i="9"/>
  <c r="Y382" i="9"/>
  <c r="T381" i="9"/>
  <c r="W380" i="9"/>
  <c r="U378" i="9"/>
  <c r="X377" i="9"/>
  <c r="V375" i="9"/>
  <c r="Y374" i="9"/>
  <c r="U504" i="9"/>
  <c r="W498" i="9"/>
  <c r="Y492" i="9"/>
  <c r="T491" i="9"/>
  <c r="V485" i="9"/>
  <c r="W482" i="9"/>
  <c r="X479" i="9"/>
  <c r="Y476" i="9"/>
  <c r="T475" i="9"/>
  <c r="U472" i="9"/>
  <c r="V469" i="9"/>
  <c r="W466" i="9"/>
  <c r="X463" i="9"/>
  <c r="Y460" i="9"/>
  <c r="T459" i="9"/>
  <c r="U456" i="9"/>
  <c r="V453" i="9"/>
  <c r="W450" i="9"/>
  <c r="X447" i="9"/>
  <c r="T442" i="9"/>
  <c r="W441" i="9"/>
  <c r="U439" i="9"/>
  <c r="X438" i="9"/>
  <c r="V436" i="9"/>
  <c r="Y435" i="9"/>
  <c r="T434" i="9"/>
  <c r="W433" i="9"/>
  <c r="U431" i="9"/>
  <c r="X430" i="9"/>
  <c r="V428" i="9"/>
  <c r="Y427" i="9"/>
  <c r="T426" i="9"/>
  <c r="W425" i="9"/>
  <c r="U423" i="9"/>
  <c r="X422" i="9"/>
  <c r="V420" i="9"/>
  <c r="Y419" i="9"/>
  <c r="T418" i="9"/>
  <c r="W417" i="9"/>
  <c r="U415" i="9"/>
  <c r="X414" i="9"/>
  <c r="V412" i="9"/>
  <c r="Y411" i="9"/>
  <c r="T410" i="9"/>
  <c r="W409" i="9"/>
  <c r="U407" i="9"/>
  <c r="X406" i="9"/>
  <c r="V404" i="9"/>
  <c r="Y403" i="9"/>
  <c r="T402" i="9"/>
  <c r="W401" i="9"/>
  <c r="U399" i="9"/>
  <c r="X398" i="9"/>
  <c r="V396" i="9"/>
  <c r="Y395" i="9"/>
  <c r="T394" i="9"/>
  <c r="W393" i="9"/>
  <c r="U391" i="9"/>
  <c r="X390" i="9"/>
  <c r="V388" i="9"/>
  <c r="Y387" i="9"/>
  <c r="T386" i="9"/>
  <c r="W385" i="9"/>
  <c r="U383" i="9"/>
  <c r="X382" i="9"/>
  <c r="V380" i="9"/>
  <c r="Y379" i="9"/>
  <c r="T378" i="9"/>
  <c r="W377" i="9"/>
  <c r="U375" i="9"/>
  <c r="X374" i="9"/>
  <c r="V372" i="9"/>
  <c r="Y371" i="9"/>
  <c r="T370" i="9"/>
  <c r="W432" i="9"/>
  <c r="Y426" i="9"/>
  <c r="T425" i="9"/>
  <c r="V419" i="9"/>
  <c r="X413" i="9"/>
  <c r="T411" i="9"/>
  <c r="X410" i="9"/>
  <c r="W408" i="9"/>
  <c r="X405" i="9"/>
  <c r="Y402" i="9"/>
  <c r="T401" i="9"/>
  <c r="U398" i="9"/>
  <c r="V395" i="9"/>
  <c r="W392" i="9"/>
  <c r="X389" i="9"/>
  <c r="Y386" i="9"/>
  <c r="T385" i="9"/>
  <c r="U382" i="9"/>
  <c r="V379" i="9"/>
  <c r="W376" i="9"/>
  <c r="V369" i="9"/>
  <c r="U368" i="9"/>
  <c r="X367" i="9"/>
  <c r="V365" i="9"/>
  <c r="Y364" i="9"/>
  <c r="T363" i="9"/>
  <c r="W362" i="9"/>
  <c r="U360" i="9"/>
  <c r="X359" i="9"/>
  <c r="V357" i="9"/>
  <c r="Y356" i="9"/>
  <c r="T355" i="9"/>
  <c r="W354" i="9"/>
  <c r="U352" i="9"/>
  <c r="X351" i="9"/>
  <c r="V349" i="9"/>
  <c r="Y348" i="9"/>
  <c r="T347" i="9"/>
  <c r="W346" i="9"/>
  <c r="U344" i="9"/>
  <c r="X343" i="9"/>
  <c r="V341" i="9"/>
  <c r="Y340" i="9"/>
  <c r="T339" i="9"/>
  <c r="W338" i="9"/>
  <c r="U336" i="9"/>
  <c r="X335" i="9"/>
  <c r="V333" i="9"/>
  <c r="Y332" i="9"/>
  <c r="T331" i="9"/>
  <c r="W330" i="9"/>
  <c r="U328" i="9"/>
  <c r="X327" i="9"/>
  <c r="V325" i="9"/>
  <c r="Y324" i="9"/>
  <c r="T323" i="9"/>
  <c r="W322" i="9"/>
  <c r="U320" i="9"/>
  <c r="X319" i="9"/>
  <c r="V317" i="9"/>
  <c r="Y316" i="9"/>
  <c r="V432" i="9"/>
  <c r="X426" i="9"/>
  <c r="U419" i="9"/>
  <c r="W413" i="9"/>
  <c r="W410" i="9"/>
  <c r="V408" i="9"/>
  <c r="W405" i="9"/>
  <c r="X402" i="9"/>
  <c r="Y399" i="9"/>
  <c r="T398" i="9"/>
  <c r="U395" i="9"/>
  <c r="V392" i="9"/>
  <c r="W389" i="9"/>
  <c r="X386" i="9"/>
  <c r="Y383" i="9"/>
  <c r="T382" i="9"/>
  <c r="U379" i="9"/>
  <c r="V376" i="9"/>
  <c r="T369" i="9"/>
  <c r="T368" i="9"/>
  <c r="W367" i="9"/>
  <c r="U365" i="9"/>
  <c r="X364" i="9"/>
  <c r="V362" i="9"/>
  <c r="Y361" i="9"/>
  <c r="T360" i="9"/>
  <c r="W359" i="9"/>
  <c r="U357" i="9"/>
  <c r="X356" i="9"/>
  <c r="V354" i="9"/>
  <c r="Y353" i="9"/>
  <c r="T352" i="9"/>
  <c r="W351" i="9"/>
  <c r="U349" i="9"/>
  <c r="X348" i="9"/>
  <c r="V346" i="9"/>
  <c r="Y345" i="9"/>
  <c r="T344" i="9"/>
  <c r="W343" i="9"/>
  <c r="U341" i="9"/>
  <c r="X340" i="9"/>
  <c r="V338" i="9"/>
  <c r="Y337" i="9"/>
  <c r="T336" i="9"/>
  <c r="W335" i="9"/>
  <c r="U333" i="9"/>
  <c r="X332" i="9"/>
  <c r="V330" i="9"/>
  <c r="Y329" i="9"/>
  <c r="T328" i="9"/>
  <c r="W327" i="9"/>
  <c r="U325" i="9"/>
  <c r="X324" i="9"/>
  <c r="V322" i="9"/>
  <c r="Y321" i="9"/>
  <c r="T320" i="9"/>
  <c r="W319" i="9"/>
  <c r="U317" i="9"/>
  <c r="X316" i="9"/>
  <c r="V314" i="9"/>
  <c r="Y313" i="9"/>
  <c r="T312" i="9"/>
  <c r="W311" i="9"/>
  <c r="U309" i="9"/>
  <c r="X308" i="9"/>
  <c r="V306" i="9"/>
  <c r="Y305" i="9"/>
  <c r="T304" i="9"/>
  <c r="W303" i="9"/>
  <c r="U301" i="9"/>
  <c r="X300" i="9"/>
  <c r="V298" i="9"/>
  <c r="Y297" i="9"/>
  <c r="T296" i="9"/>
  <c r="W295" i="9"/>
  <c r="Y434" i="9"/>
  <c r="T433" i="9"/>
  <c r="V427" i="9"/>
  <c r="X421" i="9"/>
  <c r="U414" i="9"/>
  <c r="U408" i="9"/>
  <c r="V405" i="9"/>
  <c r="W402" i="9"/>
  <c r="X399" i="9"/>
  <c r="Y396" i="9"/>
  <c r="T395" i="9"/>
  <c r="U392" i="9"/>
  <c r="V389" i="9"/>
  <c r="W386" i="9"/>
  <c r="X383" i="9"/>
  <c r="Y380" i="9"/>
  <c r="T379" i="9"/>
  <c r="U376" i="9"/>
  <c r="X373" i="9"/>
  <c r="V367" i="9"/>
  <c r="Y366" i="9"/>
  <c r="T365" i="9"/>
  <c r="W364" i="9"/>
  <c r="U362" i="9"/>
  <c r="X361" i="9"/>
  <c r="V359" i="9"/>
  <c r="Y358" i="9"/>
  <c r="T357" i="9"/>
  <c r="W356" i="9"/>
  <c r="U354" i="9"/>
  <c r="X353" i="9"/>
  <c r="V351" i="9"/>
  <c r="Y350" i="9"/>
  <c r="T349" i="9"/>
  <c r="W348" i="9"/>
  <c r="U346" i="9"/>
  <c r="X345" i="9"/>
  <c r="V343" i="9"/>
  <c r="Y342" i="9"/>
  <c r="T341" i="9"/>
  <c r="W340" i="9"/>
  <c r="U338" i="9"/>
  <c r="X337" i="9"/>
  <c r="V335" i="9"/>
  <c r="Y334" i="9"/>
  <c r="T333" i="9"/>
  <c r="W332" i="9"/>
  <c r="U330" i="9"/>
  <c r="X329" i="9"/>
  <c r="V327" i="9"/>
  <c r="Y326" i="9"/>
  <c r="T325" i="9"/>
  <c r="W324" i="9"/>
  <c r="U322" i="9"/>
  <c r="X321" i="9"/>
  <c r="V319" i="9"/>
  <c r="Y318" i="9"/>
  <c r="T317" i="9"/>
  <c r="W316" i="9"/>
  <c r="U314" i="9"/>
  <c r="X313" i="9"/>
  <c r="V311" i="9"/>
  <c r="Y310" i="9"/>
  <c r="T309" i="9"/>
  <c r="W308" i="9"/>
  <c r="U306" i="9"/>
  <c r="X305" i="9"/>
  <c r="X434" i="9"/>
  <c r="U427" i="9"/>
  <c r="W421" i="9"/>
  <c r="Y415" i="9"/>
  <c r="T414" i="9"/>
  <c r="V409" i="9"/>
  <c r="W406" i="9"/>
  <c r="X403" i="9"/>
  <c r="Y400" i="9"/>
  <c r="T399" i="9"/>
  <c r="U396" i="9"/>
  <c r="V393" i="9"/>
  <c r="W390" i="9"/>
  <c r="X387" i="9"/>
  <c r="Y384" i="9"/>
  <c r="T383" i="9"/>
  <c r="U380" i="9"/>
  <c r="V377" i="9"/>
  <c r="W374" i="9"/>
  <c r="W373" i="9"/>
  <c r="Y372" i="9"/>
  <c r="U367" i="9"/>
  <c r="X366" i="9"/>
  <c r="V364" i="9"/>
  <c r="Y363" i="9"/>
  <c r="T362" i="9"/>
  <c r="W361" i="9"/>
  <c r="U359" i="9"/>
  <c r="X358" i="9"/>
  <c r="V356" i="9"/>
  <c r="Y355" i="9"/>
  <c r="T354" i="9"/>
  <c r="W353" i="9"/>
  <c r="U351" i="9"/>
  <c r="X350" i="9"/>
  <c r="V348" i="9"/>
  <c r="Y347" i="9"/>
  <c r="T346" i="9"/>
  <c r="W345" i="9"/>
  <c r="U343" i="9"/>
  <c r="X342" i="9"/>
  <c r="V340" i="9"/>
  <c r="Y339" i="9"/>
  <c r="T338" i="9"/>
  <c r="W337" i="9"/>
  <c r="U335" i="9"/>
  <c r="X334" i="9"/>
  <c r="V332" i="9"/>
  <c r="Y331" i="9"/>
  <c r="T330" i="9"/>
  <c r="W329" i="9"/>
  <c r="U327" i="9"/>
  <c r="X326" i="9"/>
  <c r="V324" i="9"/>
  <c r="Y323" i="9"/>
  <c r="T322" i="9"/>
  <c r="W321" i="9"/>
  <c r="U319" i="9"/>
  <c r="X318" i="9"/>
  <c r="V316" i="9"/>
  <c r="Y315" i="9"/>
  <c r="T314" i="9"/>
  <c r="W313" i="9"/>
  <c r="U311" i="9"/>
  <c r="X310" i="9"/>
  <c r="V308" i="9"/>
  <c r="Y307" i="9"/>
  <c r="T306" i="9"/>
  <c r="W305" i="9"/>
  <c r="U303" i="9"/>
  <c r="X302" i="9"/>
  <c r="V300" i="9"/>
  <c r="Y299" i="9"/>
  <c r="T298" i="9"/>
  <c r="W297" i="9"/>
  <c r="X429" i="9"/>
  <c r="U422" i="9"/>
  <c r="W416" i="9"/>
  <c r="T409" i="9"/>
  <c r="U406" i="9"/>
  <c r="V403" i="9"/>
  <c r="W400" i="9"/>
  <c r="X397" i="9"/>
  <c r="Y394" i="9"/>
  <c r="T393" i="9"/>
  <c r="U390" i="9"/>
  <c r="V387" i="9"/>
  <c r="W384" i="9"/>
  <c r="X381" i="9"/>
  <c r="Y378" i="9"/>
  <c r="T377" i="9"/>
  <c r="U374" i="9"/>
  <c r="V373" i="9"/>
  <c r="W372" i="9"/>
  <c r="X371" i="9"/>
  <c r="Y370" i="9"/>
  <c r="Y368" i="9"/>
  <c r="T367" i="9"/>
  <c r="W366" i="9"/>
  <c r="U364" i="9"/>
  <c r="X363" i="9"/>
  <c r="V361" i="9"/>
  <c r="Y360" i="9"/>
  <c r="T359" i="9"/>
  <c r="W358" i="9"/>
  <c r="U356" i="9"/>
  <c r="X355" i="9"/>
  <c r="V353" i="9"/>
  <c r="Y352" i="9"/>
  <c r="T351" i="9"/>
  <c r="W350" i="9"/>
  <c r="U348" i="9"/>
  <c r="X347" i="9"/>
  <c r="V345" i="9"/>
  <c r="Y344" i="9"/>
  <c r="T343" i="9"/>
  <c r="W342" i="9"/>
  <c r="U340" i="9"/>
  <c r="X339" i="9"/>
  <c r="V337" i="9"/>
  <c r="Y336" i="9"/>
  <c r="T335" i="9"/>
  <c r="W334" i="9"/>
  <c r="U332" i="9"/>
  <c r="X331" i="9"/>
  <c r="V329" i="9"/>
  <c r="Y328" i="9"/>
  <c r="T327" i="9"/>
  <c r="W326" i="9"/>
  <c r="U324" i="9"/>
  <c r="X323" i="9"/>
  <c r="V321" i="9"/>
  <c r="Y320" i="9"/>
  <c r="T319" i="9"/>
  <c r="W318" i="9"/>
  <c r="U316" i="9"/>
  <c r="X315" i="9"/>
  <c r="W429" i="9"/>
  <c r="Y423" i="9"/>
  <c r="T422" i="9"/>
  <c r="V416" i="9"/>
  <c r="Y407" i="9"/>
  <c r="T406" i="9"/>
  <c r="U403" i="9"/>
  <c r="V400" i="9"/>
  <c r="W397" i="9"/>
  <c r="X394" i="9"/>
  <c r="Y391" i="9"/>
  <c r="T390" i="9"/>
  <c r="U387" i="9"/>
  <c r="V384" i="9"/>
  <c r="W381" i="9"/>
  <c r="X378" i="9"/>
  <c r="Y375" i="9"/>
  <c r="T374" i="9"/>
  <c r="T373" i="9"/>
  <c r="U372" i="9"/>
  <c r="V371" i="9"/>
  <c r="X370" i="9"/>
  <c r="X368" i="9"/>
  <c r="V366" i="9"/>
  <c r="Y365" i="9"/>
  <c r="T364" i="9"/>
  <c r="W363" i="9"/>
  <c r="U361" i="9"/>
  <c r="X360" i="9"/>
  <c r="V358" i="9"/>
  <c r="Y357" i="9"/>
  <c r="T356" i="9"/>
  <c r="W355" i="9"/>
  <c r="U353" i="9"/>
  <c r="X352" i="9"/>
  <c r="V350" i="9"/>
  <c r="Y349" i="9"/>
  <c r="T348" i="9"/>
  <c r="W347" i="9"/>
  <c r="U345" i="9"/>
  <c r="X344" i="9"/>
  <c r="V342" i="9"/>
  <c r="Y341" i="9"/>
  <c r="T340" i="9"/>
  <c r="W339" i="9"/>
  <c r="U337" i="9"/>
  <c r="X336" i="9"/>
  <c r="V334" i="9"/>
  <c r="Y333" i="9"/>
  <c r="T332" i="9"/>
  <c r="W331" i="9"/>
  <c r="U329" i="9"/>
  <c r="X328" i="9"/>
  <c r="V326" i="9"/>
  <c r="Y325" i="9"/>
  <c r="T324" i="9"/>
  <c r="W323" i="9"/>
  <c r="U321" i="9"/>
  <c r="X320" i="9"/>
  <c r="V318" i="9"/>
  <c r="Y317" i="9"/>
  <c r="T316" i="9"/>
  <c r="W315" i="9"/>
  <c r="U313" i="9"/>
  <c r="X312" i="9"/>
  <c r="V310" i="9"/>
  <c r="Y309" i="9"/>
  <c r="T308" i="9"/>
  <c r="W307" i="9"/>
  <c r="U305" i="9"/>
  <c r="X304" i="9"/>
  <c r="V302" i="9"/>
  <c r="Y301" i="9"/>
  <c r="T300" i="9"/>
  <c r="W299" i="9"/>
  <c r="U297" i="9"/>
  <c r="X296" i="9"/>
  <c r="V294" i="9"/>
  <c r="U430" i="9"/>
  <c r="W424" i="9"/>
  <c r="Y418" i="9"/>
  <c r="T417" i="9"/>
  <c r="V411" i="9"/>
  <c r="X407" i="9"/>
  <c r="Y404" i="9"/>
  <c r="T403" i="9"/>
  <c r="U400" i="9"/>
  <c r="V397" i="9"/>
  <c r="W394" i="9"/>
  <c r="X391" i="9"/>
  <c r="Y388" i="9"/>
  <c r="T387" i="9"/>
  <c r="U384" i="9"/>
  <c r="V381" i="9"/>
  <c r="W378" i="9"/>
  <c r="X375" i="9"/>
  <c r="U371" i="9"/>
  <c r="W370" i="9"/>
  <c r="X369" i="9"/>
  <c r="W368" i="9"/>
  <c r="U366" i="9"/>
  <c r="X365" i="9"/>
  <c r="V363" i="9"/>
  <c r="Y362" i="9"/>
  <c r="T361" i="9"/>
  <c r="W360" i="9"/>
  <c r="U358" i="9"/>
  <c r="X357" i="9"/>
  <c r="V355" i="9"/>
  <c r="Y354" i="9"/>
  <c r="T353" i="9"/>
  <c r="W352" i="9"/>
  <c r="U350" i="9"/>
  <c r="X349" i="9"/>
  <c r="V347" i="9"/>
  <c r="Y346" i="9"/>
  <c r="T345" i="9"/>
  <c r="W344" i="9"/>
  <c r="U342" i="9"/>
  <c r="X341" i="9"/>
  <c r="V339" i="9"/>
  <c r="Y338" i="9"/>
  <c r="T337" i="9"/>
  <c r="W336" i="9"/>
  <c r="U334" i="9"/>
  <c r="X333" i="9"/>
  <c r="V331" i="9"/>
  <c r="Y330" i="9"/>
  <c r="T329" i="9"/>
  <c r="W328" i="9"/>
  <c r="U326" i="9"/>
  <c r="X325" i="9"/>
  <c r="V323" i="9"/>
  <c r="Y322" i="9"/>
  <c r="T321" i="9"/>
  <c r="W320" i="9"/>
  <c r="U318" i="9"/>
  <c r="X317" i="9"/>
  <c r="V315" i="9"/>
  <c r="Y314" i="9"/>
  <c r="T313" i="9"/>
  <c r="W312" i="9"/>
  <c r="U310" i="9"/>
  <c r="X309" i="9"/>
  <c r="V307" i="9"/>
  <c r="Y306" i="9"/>
  <c r="T305" i="9"/>
  <c r="W304" i="9"/>
  <c r="U302" i="9"/>
  <c r="X301" i="9"/>
  <c r="V299" i="9"/>
  <c r="Y298" i="9"/>
  <c r="T297" i="9"/>
  <c r="Y431" i="9"/>
  <c r="T430" i="9"/>
  <c r="V424" i="9"/>
  <c r="X418" i="9"/>
  <c r="U411" i="9"/>
  <c r="Y410" i="9"/>
  <c r="Y408" i="9"/>
  <c r="T407" i="9"/>
  <c r="U404" i="9"/>
  <c r="V401" i="9"/>
  <c r="W398" i="9"/>
  <c r="X395" i="9"/>
  <c r="Y392" i="9"/>
  <c r="T391" i="9"/>
  <c r="U388" i="9"/>
  <c r="V385" i="9"/>
  <c r="W382" i="9"/>
  <c r="X379" i="9"/>
  <c r="Y376" i="9"/>
  <c r="T375" i="9"/>
  <c r="T371" i="9"/>
  <c r="U370" i="9"/>
  <c r="W369" i="9"/>
  <c r="V368" i="9"/>
  <c r="Y367" i="9"/>
  <c r="T366" i="9"/>
  <c r="W365" i="9"/>
  <c r="U363" i="9"/>
  <c r="X362" i="9"/>
  <c r="V360" i="9"/>
  <c r="Y359" i="9"/>
  <c r="T358" i="9"/>
  <c r="W357" i="9"/>
  <c r="U355" i="9"/>
  <c r="X354" i="9"/>
  <c r="V352" i="9"/>
  <c r="Y351" i="9"/>
  <c r="T350" i="9"/>
  <c r="W349" i="9"/>
  <c r="U347" i="9"/>
  <c r="X346" i="9"/>
  <c r="V344" i="9"/>
  <c r="Y343" i="9"/>
  <c r="T342" i="9"/>
  <c r="W341" i="9"/>
  <c r="U339" i="9"/>
  <c r="X338" i="9"/>
  <c r="V336" i="9"/>
  <c r="Y335" i="9"/>
  <c r="T334" i="9"/>
  <c r="W333" i="9"/>
  <c r="U331" i="9"/>
  <c r="X330" i="9"/>
  <c r="V328" i="9"/>
  <c r="Y327" i="9"/>
  <c r="T326" i="9"/>
  <c r="W325" i="9"/>
  <c r="U323" i="9"/>
  <c r="X322" i="9"/>
  <c r="V320" i="9"/>
  <c r="Y319" i="9"/>
  <c r="T318" i="9"/>
  <c r="W317" i="9"/>
  <c r="U315" i="9"/>
  <c r="X314" i="9"/>
  <c r="V312" i="9"/>
  <c r="Y311" i="9"/>
  <c r="T310" i="9"/>
  <c r="W309" i="9"/>
  <c r="U307" i="9"/>
  <c r="X306" i="9"/>
  <c r="V304" i="9"/>
  <c r="T315" i="9"/>
  <c r="X311" i="9"/>
  <c r="U304" i="9"/>
  <c r="Y302" i="9"/>
  <c r="T301" i="9"/>
  <c r="U298" i="9"/>
  <c r="T295" i="9"/>
  <c r="Y294" i="9"/>
  <c r="Y293" i="9"/>
  <c r="T292" i="9"/>
  <c r="W291" i="9"/>
  <c r="U289" i="9"/>
  <c r="X288" i="9"/>
  <c r="V286" i="9"/>
  <c r="Y285" i="9"/>
  <c r="T284" i="9"/>
  <c r="W283" i="9"/>
  <c r="U281" i="9"/>
  <c r="X280" i="9"/>
  <c r="V278" i="9"/>
  <c r="Y277" i="9"/>
  <c r="T276" i="9"/>
  <c r="W275" i="9"/>
  <c r="U273" i="9"/>
  <c r="X272" i="9"/>
  <c r="V270" i="9"/>
  <c r="Y269" i="9"/>
  <c r="T268" i="9"/>
  <c r="W267" i="9"/>
  <c r="U265" i="9"/>
  <c r="X264" i="9"/>
  <c r="V262" i="9"/>
  <c r="Y261" i="9"/>
  <c r="T260" i="9"/>
  <c r="W259" i="9"/>
  <c r="U257" i="9"/>
  <c r="X256" i="9"/>
  <c r="V254" i="9"/>
  <c r="Y253" i="9"/>
  <c r="T252" i="9"/>
  <c r="W251" i="9"/>
  <c r="U249" i="9"/>
  <c r="X248" i="9"/>
  <c r="V246" i="9"/>
  <c r="Y245" i="9"/>
  <c r="T244" i="9"/>
  <c r="W243" i="9"/>
  <c r="U241" i="9"/>
  <c r="X240" i="9"/>
  <c r="V238" i="9"/>
  <c r="Y237" i="9"/>
  <c r="T236" i="9"/>
  <c r="W235" i="9"/>
  <c r="U233" i="9"/>
  <c r="X232" i="9"/>
  <c r="V230" i="9"/>
  <c r="Y229" i="9"/>
  <c r="T228" i="9"/>
  <c r="W227" i="9"/>
  <c r="U225" i="9"/>
  <c r="X224" i="9"/>
  <c r="V222" i="9"/>
  <c r="Y312" i="9"/>
  <c r="T311" i="9"/>
  <c r="V305" i="9"/>
  <c r="W302" i="9"/>
  <c r="X299" i="9"/>
  <c r="X294" i="9"/>
  <c r="X293" i="9"/>
  <c r="V291" i="9"/>
  <c r="Y290" i="9"/>
  <c r="T289" i="9"/>
  <c r="W288" i="9"/>
  <c r="U286" i="9"/>
  <c r="X285" i="9"/>
  <c r="V283" i="9"/>
  <c r="Y282" i="9"/>
  <c r="T281" i="9"/>
  <c r="W280" i="9"/>
  <c r="U278" i="9"/>
  <c r="X277" i="9"/>
  <c r="V275" i="9"/>
  <c r="Y274" i="9"/>
  <c r="T273" i="9"/>
  <c r="W272" i="9"/>
  <c r="U270" i="9"/>
  <c r="X269" i="9"/>
  <c r="V267" i="9"/>
  <c r="Y266" i="9"/>
  <c r="T265" i="9"/>
  <c r="W264" i="9"/>
  <c r="U262" i="9"/>
  <c r="X261" i="9"/>
  <c r="V259" i="9"/>
  <c r="Y258" i="9"/>
  <c r="T257" i="9"/>
  <c r="W256" i="9"/>
  <c r="U254" i="9"/>
  <c r="X253" i="9"/>
  <c r="V251" i="9"/>
  <c r="Y250" i="9"/>
  <c r="T249" i="9"/>
  <c r="W248" i="9"/>
  <c r="U246" i="9"/>
  <c r="X245" i="9"/>
  <c r="V243" i="9"/>
  <c r="Y242" i="9"/>
  <c r="T241" i="9"/>
  <c r="W240" i="9"/>
  <c r="U238" i="9"/>
  <c r="X237" i="9"/>
  <c r="V235" i="9"/>
  <c r="Y234" i="9"/>
  <c r="T233" i="9"/>
  <c r="W232" i="9"/>
  <c r="U230" i="9"/>
  <c r="X229" i="9"/>
  <c r="V227" i="9"/>
  <c r="Y226" i="9"/>
  <c r="T225" i="9"/>
  <c r="W224" i="9"/>
  <c r="U222" i="9"/>
  <c r="X221" i="9"/>
  <c r="V219" i="9"/>
  <c r="Y218" i="9"/>
  <c r="T217" i="9"/>
  <c r="W216" i="9"/>
  <c r="U214" i="9"/>
  <c r="X213" i="9"/>
  <c r="V211" i="9"/>
  <c r="Y210" i="9"/>
  <c r="T209" i="9"/>
  <c r="W208" i="9"/>
  <c r="U206" i="9"/>
  <c r="X205" i="9"/>
  <c r="V203" i="9"/>
  <c r="Y202" i="9"/>
  <c r="T201" i="9"/>
  <c r="W200" i="9"/>
  <c r="U198" i="9"/>
  <c r="X197" i="9"/>
  <c r="V195" i="9"/>
  <c r="Y194" i="9"/>
  <c r="T193" i="9"/>
  <c r="U312" i="9"/>
  <c r="W306" i="9"/>
  <c r="Y303" i="9"/>
  <c r="T302" i="9"/>
  <c r="U299" i="9"/>
  <c r="W294" i="9"/>
  <c r="W293" i="9"/>
  <c r="U291" i="9"/>
  <c r="X290" i="9"/>
  <c r="V288" i="9"/>
  <c r="Y287" i="9"/>
  <c r="T286" i="9"/>
  <c r="W285" i="9"/>
  <c r="U283" i="9"/>
  <c r="X282" i="9"/>
  <c r="V280" i="9"/>
  <c r="Y279" i="9"/>
  <c r="T278" i="9"/>
  <c r="W277" i="9"/>
  <c r="U275" i="9"/>
  <c r="X274" i="9"/>
  <c r="V272" i="9"/>
  <c r="Y271" i="9"/>
  <c r="T270" i="9"/>
  <c r="W269" i="9"/>
  <c r="U267" i="9"/>
  <c r="X266" i="9"/>
  <c r="V264" i="9"/>
  <c r="Y263" i="9"/>
  <c r="T262" i="9"/>
  <c r="W261" i="9"/>
  <c r="U259" i="9"/>
  <c r="X258" i="9"/>
  <c r="V256" i="9"/>
  <c r="Y255" i="9"/>
  <c r="T254" i="9"/>
  <c r="W253" i="9"/>
  <c r="U251" i="9"/>
  <c r="X250" i="9"/>
  <c r="V248" i="9"/>
  <c r="Y247" i="9"/>
  <c r="T246" i="9"/>
  <c r="W245" i="9"/>
  <c r="U243" i="9"/>
  <c r="X242" i="9"/>
  <c r="V240" i="9"/>
  <c r="Y239" i="9"/>
  <c r="T238" i="9"/>
  <c r="W237" i="9"/>
  <c r="U235" i="9"/>
  <c r="X234" i="9"/>
  <c r="V232" i="9"/>
  <c r="Y231" i="9"/>
  <c r="T230" i="9"/>
  <c r="W229" i="9"/>
  <c r="U227" i="9"/>
  <c r="X226" i="9"/>
  <c r="V224" i="9"/>
  <c r="Y223" i="9"/>
  <c r="T222" i="9"/>
  <c r="W221" i="9"/>
  <c r="U219" i="9"/>
  <c r="X218" i="9"/>
  <c r="V216" i="9"/>
  <c r="Y215" i="9"/>
  <c r="T214" i="9"/>
  <c r="W213" i="9"/>
  <c r="U211" i="9"/>
  <c r="X210" i="9"/>
  <c r="V208" i="9"/>
  <c r="Y207" i="9"/>
  <c r="T206" i="9"/>
  <c r="W205" i="9"/>
  <c r="U203" i="9"/>
  <c r="X202" i="9"/>
  <c r="V313" i="9"/>
  <c r="X307" i="9"/>
  <c r="X303" i="9"/>
  <c r="Y300" i="9"/>
  <c r="T299" i="9"/>
  <c r="Y296" i="9"/>
  <c r="U294" i="9"/>
  <c r="V293" i="9"/>
  <c r="Y292" i="9"/>
  <c r="T291" i="9"/>
  <c r="W290" i="9"/>
  <c r="U288" i="9"/>
  <c r="X287" i="9"/>
  <c r="V285" i="9"/>
  <c r="Y284" i="9"/>
  <c r="T283" i="9"/>
  <c r="W282" i="9"/>
  <c r="U280" i="9"/>
  <c r="X279" i="9"/>
  <c r="V277" i="9"/>
  <c r="Y276" i="9"/>
  <c r="T275" i="9"/>
  <c r="W274" i="9"/>
  <c r="U272" i="9"/>
  <c r="X271" i="9"/>
  <c r="V269" i="9"/>
  <c r="Y268" i="9"/>
  <c r="T267" i="9"/>
  <c r="W266" i="9"/>
  <c r="U264" i="9"/>
  <c r="X263" i="9"/>
  <c r="V261" i="9"/>
  <c r="Y260" i="9"/>
  <c r="T259" i="9"/>
  <c r="W258" i="9"/>
  <c r="U256" i="9"/>
  <c r="X255" i="9"/>
  <c r="V253" i="9"/>
  <c r="Y252" i="9"/>
  <c r="T251" i="9"/>
  <c r="W250" i="9"/>
  <c r="U248" i="9"/>
  <c r="X247" i="9"/>
  <c r="V245" i="9"/>
  <c r="Y244" i="9"/>
  <c r="T243" i="9"/>
  <c r="W242" i="9"/>
  <c r="U240" i="9"/>
  <c r="X239" i="9"/>
  <c r="V237" i="9"/>
  <c r="Y236" i="9"/>
  <c r="T235" i="9"/>
  <c r="W234" i="9"/>
  <c r="U232" i="9"/>
  <c r="X231" i="9"/>
  <c r="V229" i="9"/>
  <c r="Y228" i="9"/>
  <c r="T227" i="9"/>
  <c r="W226" i="9"/>
  <c r="U224" i="9"/>
  <c r="X223" i="9"/>
  <c r="V221" i="9"/>
  <c r="Y220" i="9"/>
  <c r="T219" i="9"/>
  <c r="W218" i="9"/>
  <c r="U216" i="9"/>
  <c r="X215" i="9"/>
  <c r="V213" i="9"/>
  <c r="Y212" i="9"/>
  <c r="T211" i="9"/>
  <c r="W210" i="9"/>
  <c r="U208" i="9"/>
  <c r="X207" i="9"/>
  <c r="V205" i="9"/>
  <c r="Y204" i="9"/>
  <c r="T203" i="9"/>
  <c r="W202" i="9"/>
  <c r="U200" i="9"/>
  <c r="X199" i="9"/>
  <c r="W314" i="9"/>
  <c r="Y308" i="9"/>
  <c r="T307" i="9"/>
  <c r="V303" i="9"/>
  <c r="W300" i="9"/>
  <c r="X297" i="9"/>
  <c r="W296" i="9"/>
  <c r="Y295" i="9"/>
  <c r="T294" i="9"/>
  <c r="U293" i="9"/>
  <c r="X292" i="9"/>
  <c r="V290" i="9"/>
  <c r="Y289" i="9"/>
  <c r="T288" i="9"/>
  <c r="W287" i="9"/>
  <c r="U285" i="9"/>
  <c r="X284" i="9"/>
  <c r="V282" i="9"/>
  <c r="Y281" i="9"/>
  <c r="T280" i="9"/>
  <c r="W279" i="9"/>
  <c r="U277" i="9"/>
  <c r="X276" i="9"/>
  <c r="V274" i="9"/>
  <c r="Y273" i="9"/>
  <c r="T272" i="9"/>
  <c r="W271" i="9"/>
  <c r="U269" i="9"/>
  <c r="X268" i="9"/>
  <c r="V266" i="9"/>
  <c r="Y265" i="9"/>
  <c r="T264" i="9"/>
  <c r="W263" i="9"/>
  <c r="U261" i="9"/>
  <c r="X260" i="9"/>
  <c r="V258" i="9"/>
  <c r="Y257" i="9"/>
  <c r="T256" i="9"/>
  <c r="W255" i="9"/>
  <c r="U253" i="9"/>
  <c r="X252" i="9"/>
  <c r="V250" i="9"/>
  <c r="Y249" i="9"/>
  <c r="T248" i="9"/>
  <c r="W247" i="9"/>
  <c r="U245" i="9"/>
  <c r="X244" i="9"/>
  <c r="V242" i="9"/>
  <c r="Y241" i="9"/>
  <c r="T240" i="9"/>
  <c r="W239" i="9"/>
  <c r="U237" i="9"/>
  <c r="X236" i="9"/>
  <c r="V234" i="9"/>
  <c r="Y233" i="9"/>
  <c r="T232" i="9"/>
  <c r="W231" i="9"/>
  <c r="U229" i="9"/>
  <c r="X228" i="9"/>
  <c r="V226" i="9"/>
  <c r="Y225" i="9"/>
  <c r="T224" i="9"/>
  <c r="W223" i="9"/>
  <c r="U308" i="9"/>
  <c r="T303" i="9"/>
  <c r="U300" i="9"/>
  <c r="V297" i="9"/>
  <c r="V296" i="9"/>
  <c r="X295" i="9"/>
  <c r="T293" i="9"/>
  <c r="W292" i="9"/>
  <c r="U290" i="9"/>
  <c r="X289" i="9"/>
  <c r="V287" i="9"/>
  <c r="Y286" i="9"/>
  <c r="T285" i="9"/>
  <c r="W284" i="9"/>
  <c r="U282" i="9"/>
  <c r="X281" i="9"/>
  <c r="V279" i="9"/>
  <c r="Y278" i="9"/>
  <c r="T277" i="9"/>
  <c r="W276" i="9"/>
  <c r="U274" i="9"/>
  <c r="X273" i="9"/>
  <c r="V271" i="9"/>
  <c r="Y270" i="9"/>
  <c r="T269" i="9"/>
  <c r="W268" i="9"/>
  <c r="U266" i="9"/>
  <c r="X265" i="9"/>
  <c r="V263" i="9"/>
  <c r="Y262" i="9"/>
  <c r="T261" i="9"/>
  <c r="W260" i="9"/>
  <c r="U258" i="9"/>
  <c r="X257" i="9"/>
  <c r="V255" i="9"/>
  <c r="Y254" i="9"/>
  <c r="T253" i="9"/>
  <c r="W252" i="9"/>
  <c r="U250" i="9"/>
  <c r="X249" i="9"/>
  <c r="V247" i="9"/>
  <c r="Y246" i="9"/>
  <c r="T245" i="9"/>
  <c r="W244" i="9"/>
  <c r="U242" i="9"/>
  <c r="X241" i="9"/>
  <c r="V239" i="9"/>
  <c r="Y238" i="9"/>
  <c r="T237" i="9"/>
  <c r="W236" i="9"/>
  <c r="U234" i="9"/>
  <c r="X233" i="9"/>
  <c r="V231" i="9"/>
  <c r="Y230" i="9"/>
  <c r="T229" i="9"/>
  <c r="W228" i="9"/>
  <c r="U226" i="9"/>
  <c r="X225" i="9"/>
  <c r="V223" i="9"/>
  <c r="Y222" i="9"/>
  <c r="T221" i="9"/>
  <c r="W220" i="9"/>
  <c r="U218" i="9"/>
  <c r="X217" i="9"/>
  <c r="V215" i="9"/>
  <c r="Y214" i="9"/>
  <c r="T213" i="9"/>
  <c r="W212" i="9"/>
  <c r="U210" i="9"/>
  <c r="X209" i="9"/>
  <c r="V207" i="9"/>
  <c r="Y206" i="9"/>
  <c r="T205" i="9"/>
  <c r="W204" i="9"/>
  <c r="U202" i="9"/>
  <c r="X201" i="9"/>
  <c r="V199" i="9"/>
  <c r="Y198" i="9"/>
  <c r="T197" i="9"/>
  <c r="W196" i="9"/>
  <c r="U194" i="9"/>
  <c r="X193" i="9"/>
  <c r="V309" i="9"/>
  <c r="W301" i="9"/>
  <c r="X298" i="9"/>
  <c r="U296" i="9"/>
  <c r="V295" i="9"/>
  <c r="V292" i="9"/>
  <c r="Y291" i="9"/>
  <c r="T290" i="9"/>
  <c r="W289" i="9"/>
  <c r="U287" i="9"/>
  <c r="X286" i="9"/>
  <c r="V284" i="9"/>
  <c r="Y283" i="9"/>
  <c r="T282" i="9"/>
  <c r="W281" i="9"/>
  <c r="U279" i="9"/>
  <c r="X278" i="9"/>
  <c r="V276" i="9"/>
  <c r="Y275" i="9"/>
  <c r="T274" i="9"/>
  <c r="W273" i="9"/>
  <c r="U271" i="9"/>
  <c r="X270" i="9"/>
  <c r="V268" i="9"/>
  <c r="Y267" i="9"/>
  <c r="T266" i="9"/>
  <c r="W265" i="9"/>
  <c r="U263" i="9"/>
  <c r="X262" i="9"/>
  <c r="V260" i="9"/>
  <c r="Y259" i="9"/>
  <c r="T258" i="9"/>
  <c r="W257" i="9"/>
  <c r="U255" i="9"/>
  <c r="X254" i="9"/>
  <c r="V252" i="9"/>
  <c r="Y251" i="9"/>
  <c r="T250" i="9"/>
  <c r="W249" i="9"/>
  <c r="U247" i="9"/>
  <c r="X246" i="9"/>
  <c r="V244" i="9"/>
  <c r="Y243" i="9"/>
  <c r="T242" i="9"/>
  <c r="W241" i="9"/>
  <c r="U239" i="9"/>
  <c r="X238" i="9"/>
  <c r="V236" i="9"/>
  <c r="Y235" i="9"/>
  <c r="T234" i="9"/>
  <c r="W233" i="9"/>
  <c r="U231" i="9"/>
  <c r="X230" i="9"/>
  <c r="V228" i="9"/>
  <c r="Y227" i="9"/>
  <c r="T226" i="9"/>
  <c r="W225" i="9"/>
  <c r="U223" i="9"/>
  <c r="X222" i="9"/>
  <c r="V220" i="9"/>
  <c r="Y219" i="9"/>
  <c r="T218" i="9"/>
  <c r="W217" i="9"/>
  <c r="U215" i="9"/>
  <c r="X214" i="9"/>
  <c r="V212" i="9"/>
  <c r="Y211" i="9"/>
  <c r="T210" i="9"/>
  <c r="W209" i="9"/>
  <c r="U207" i="9"/>
  <c r="X206" i="9"/>
  <c r="V204" i="9"/>
  <c r="Y203" i="9"/>
  <c r="T202" i="9"/>
  <c r="W201" i="9"/>
  <c r="W310" i="9"/>
  <c r="Y304" i="9"/>
  <c r="V301" i="9"/>
  <c r="W298" i="9"/>
  <c r="U295" i="9"/>
  <c r="U292" i="9"/>
  <c r="X291" i="9"/>
  <c r="V289" i="9"/>
  <c r="Y288" i="9"/>
  <c r="T287" i="9"/>
  <c r="W286" i="9"/>
  <c r="U284" i="9"/>
  <c r="X283" i="9"/>
  <c r="V281" i="9"/>
  <c r="Y280" i="9"/>
  <c r="T279" i="9"/>
  <c r="W278" i="9"/>
  <c r="U276" i="9"/>
  <c r="X275" i="9"/>
  <c r="V273" i="9"/>
  <c r="Y272" i="9"/>
  <c r="T271" i="9"/>
  <c r="W270" i="9"/>
  <c r="U268" i="9"/>
  <c r="X267" i="9"/>
  <c r="V265" i="9"/>
  <c r="Y264" i="9"/>
  <c r="T263" i="9"/>
  <c r="W262" i="9"/>
  <c r="U260" i="9"/>
  <c r="X259" i="9"/>
  <c r="V257" i="9"/>
  <c r="Y256" i="9"/>
  <c r="T255" i="9"/>
  <c r="W254" i="9"/>
  <c r="U252" i="9"/>
  <c r="X251" i="9"/>
  <c r="V249" i="9"/>
  <c r="Y248" i="9"/>
  <c r="T247" i="9"/>
  <c r="W246" i="9"/>
  <c r="U244" i="9"/>
  <c r="X243" i="9"/>
  <c r="V241" i="9"/>
  <c r="Y240" i="9"/>
  <c r="T239" i="9"/>
  <c r="W238" i="9"/>
  <c r="U236" i="9"/>
  <c r="X235" i="9"/>
  <c r="V233" i="9"/>
  <c r="Y232" i="9"/>
  <c r="T231" i="9"/>
  <c r="W230" i="9"/>
  <c r="U228" i="9"/>
  <c r="X227" i="9"/>
  <c r="V225" i="9"/>
  <c r="Y224" i="9"/>
  <c r="T223" i="9"/>
  <c r="W222" i="9"/>
  <c r="U220" i="9"/>
  <c r="X219" i="9"/>
  <c r="V217" i="9"/>
  <c r="Y216" i="9"/>
  <c r="T215" i="9"/>
  <c r="W214" i="9"/>
  <c r="U212" i="9"/>
  <c r="X211" i="9"/>
  <c r="V209" i="9"/>
  <c r="Y208" i="9"/>
  <c r="T207" i="9"/>
  <c r="W206" i="9"/>
  <c r="U204" i="9"/>
  <c r="X203" i="9"/>
  <c r="V201" i="9"/>
  <c r="Y200" i="9"/>
  <c r="U217" i="9"/>
  <c r="W211" i="9"/>
  <c r="Y205" i="9"/>
  <c r="T204" i="9"/>
  <c r="V200" i="9"/>
  <c r="W198" i="9"/>
  <c r="X196" i="9"/>
  <c r="X194" i="9"/>
  <c r="Y192" i="9"/>
  <c r="T191" i="9"/>
  <c r="W190" i="9"/>
  <c r="U188" i="9"/>
  <c r="X187" i="9"/>
  <c r="V185" i="9"/>
  <c r="Y184" i="9"/>
  <c r="T183" i="9"/>
  <c r="W182" i="9"/>
  <c r="U180" i="9"/>
  <c r="X179" i="9"/>
  <c r="V177" i="9"/>
  <c r="Y176" i="9"/>
  <c r="T175" i="9"/>
  <c r="W174" i="9"/>
  <c r="U172" i="9"/>
  <c r="X171" i="9"/>
  <c r="V169" i="9"/>
  <c r="Y168" i="9"/>
  <c r="T167" i="9"/>
  <c r="W166" i="9"/>
  <c r="U164" i="9"/>
  <c r="X163" i="9"/>
  <c r="V161" i="9"/>
  <c r="Y160" i="9"/>
  <c r="T159" i="9"/>
  <c r="W158" i="9"/>
  <c r="U156" i="9"/>
  <c r="X155" i="9"/>
  <c r="V153" i="9"/>
  <c r="Y152" i="9"/>
  <c r="T151" i="9"/>
  <c r="W150" i="9"/>
  <c r="U148" i="9"/>
  <c r="X147" i="9"/>
  <c r="V145" i="9"/>
  <c r="Y144" i="9"/>
  <c r="T143" i="9"/>
  <c r="W142" i="9"/>
  <c r="U140" i="9"/>
  <c r="X139" i="9"/>
  <c r="V137" i="9"/>
  <c r="Y136" i="9"/>
  <c r="T135" i="9"/>
  <c r="W134" i="9"/>
  <c r="U132" i="9"/>
  <c r="X131" i="9"/>
  <c r="V129" i="9"/>
  <c r="Y128" i="9"/>
  <c r="T127" i="9"/>
  <c r="W126" i="9"/>
  <c r="U124" i="9"/>
  <c r="X123" i="9"/>
  <c r="V121" i="9"/>
  <c r="Y120" i="9"/>
  <c r="T119" i="9"/>
  <c r="W118" i="9"/>
  <c r="U116" i="9"/>
  <c r="X115" i="9"/>
  <c r="V113" i="9"/>
  <c r="Y112" i="9"/>
  <c r="T111" i="9"/>
  <c r="W110" i="9"/>
  <c r="U108" i="9"/>
  <c r="X107" i="9"/>
  <c r="V105" i="9"/>
  <c r="Y104" i="9"/>
  <c r="T103" i="9"/>
  <c r="V218" i="9"/>
  <c r="X212" i="9"/>
  <c r="U205" i="9"/>
  <c r="T200" i="9"/>
  <c r="V198" i="9"/>
  <c r="V196" i="9"/>
  <c r="W194" i="9"/>
  <c r="X192" i="9"/>
  <c r="V190" i="9"/>
  <c r="Y189" i="9"/>
  <c r="T188" i="9"/>
  <c r="W187" i="9"/>
  <c r="U185" i="9"/>
  <c r="X184" i="9"/>
  <c r="V182" i="9"/>
  <c r="Y181" i="9"/>
  <c r="T180" i="9"/>
  <c r="W179" i="9"/>
  <c r="U177" i="9"/>
  <c r="X176" i="9"/>
  <c r="V174" i="9"/>
  <c r="Y173" i="9"/>
  <c r="T172" i="9"/>
  <c r="W171" i="9"/>
  <c r="U169" i="9"/>
  <c r="X168" i="9"/>
  <c r="V166" i="9"/>
  <c r="Y165" i="9"/>
  <c r="T164" i="9"/>
  <c r="W163" i="9"/>
  <c r="U161" i="9"/>
  <c r="X160" i="9"/>
  <c r="V158" i="9"/>
  <c r="Y157" i="9"/>
  <c r="T156" i="9"/>
  <c r="W155" i="9"/>
  <c r="U153" i="9"/>
  <c r="X152" i="9"/>
  <c r="V150" i="9"/>
  <c r="Y149" i="9"/>
  <c r="T148" i="9"/>
  <c r="W147" i="9"/>
  <c r="U145" i="9"/>
  <c r="X144" i="9"/>
  <c r="V142" i="9"/>
  <c r="Y141" i="9"/>
  <c r="T140" i="9"/>
  <c r="W139" i="9"/>
  <c r="U137" i="9"/>
  <c r="X136" i="9"/>
  <c r="V134" i="9"/>
  <c r="Y133" i="9"/>
  <c r="T132" i="9"/>
  <c r="W131" i="9"/>
  <c r="U129" i="9"/>
  <c r="X128" i="9"/>
  <c r="V126" i="9"/>
  <c r="Y125" i="9"/>
  <c r="T124" i="9"/>
  <c r="W123" i="9"/>
  <c r="U121" i="9"/>
  <c r="X120" i="9"/>
  <c r="V118" i="9"/>
  <c r="Y117" i="9"/>
  <c r="T116" i="9"/>
  <c r="W115" i="9"/>
  <c r="U113" i="9"/>
  <c r="X112" i="9"/>
  <c r="V110" i="9"/>
  <c r="Y109" i="9"/>
  <c r="T108" i="9"/>
  <c r="W107" i="9"/>
  <c r="U105" i="9"/>
  <c r="X104" i="9"/>
  <c r="W219" i="9"/>
  <c r="Y213" i="9"/>
  <c r="T212" i="9"/>
  <c r="V206" i="9"/>
  <c r="T198" i="9"/>
  <c r="U196" i="9"/>
  <c r="V194" i="9"/>
  <c r="W192" i="9"/>
  <c r="U190" i="9"/>
  <c r="X189" i="9"/>
  <c r="V187" i="9"/>
  <c r="Y186" i="9"/>
  <c r="T185" i="9"/>
  <c r="W184" i="9"/>
  <c r="U182" i="9"/>
  <c r="X181" i="9"/>
  <c r="V179" i="9"/>
  <c r="Y178" i="9"/>
  <c r="T177" i="9"/>
  <c r="W176" i="9"/>
  <c r="U174" i="9"/>
  <c r="X173" i="9"/>
  <c r="V171" i="9"/>
  <c r="Y170" i="9"/>
  <c r="T169" i="9"/>
  <c r="W168" i="9"/>
  <c r="U166" i="9"/>
  <c r="X165" i="9"/>
  <c r="V163" i="9"/>
  <c r="Y162" i="9"/>
  <c r="T161" i="9"/>
  <c r="W160" i="9"/>
  <c r="U158" i="9"/>
  <c r="X157" i="9"/>
  <c r="V155" i="9"/>
  <c r="Y154" i="9"/>
  <c r="T153" i="9"/>
  <c r="W152" i="9"/>
  <c r="U150" i="9"/>
  <c r="X149" i="9"/>
  <c r="V147" i="9"/>
  <c r="Y146" i="9"/>
  <c r="T145" i="9"/>
  <c r="W144" i="9"/>
  <c r="U142" i="9"/>
  <c r="X141" i="9"/>
  <c r="V139" i="9"/>
  <c r="Y138" i="9"/>
  <c r="T137" i="9"/>
  <c r="W136" i="9"/>
  <c r="U134" i="9"/>
  <c r="X133" i="9"/>
  <c r="V131" i="9"/>
  <c r="Y130" i="9"/>
  <c r="T129" i="9"/>
  <c r="W128" i="9"/>
  <c r="U126" i="9"/>
  <c r="X125" i="9"/>
  <c r="V123" i="9"/>
  <c r="Y122" i="9"/>
  <c r="T121" i="9"/>
  <c r="W120" i="9"/>
  <c r="U118" i="9"/>
  <c r="X117" i="9"/>
  <c r="V115" i="9"/>
  <c r="Y114" i="9"/>
  <c r="T113" i="9"/>
  <c r="W112" i="9"/>
  <c r="U110" i="9"/>
  <c r="X109" i="9"/>
  <c r="V107" i="9"/>
  <c r="X220" i="9"/>
  <c r="U213" i="9"/>
  <c r="W207" i="9"/>
  <c r="Y201" i="9"/>
  <c r="Y197" i="9"/>
  <c r="T196" i="9"/>
  <c r="Y195" i="9"/>
  <c r="T194" i="9"/>
  <c r="V192" i="9"/>
  <c r="Y191" i="9"/>
  <c r="T190" i="9"/>
  <c r="W189" i="9"/>
  <c r="U187" i="9"/>
  <c r="X186" i="9"/>
  <c r="V184" i="9"/>
  <c r="Y183" i="9"/>
  <c r="T182" i="9"/>
  <c r="W181" i="9"/>
  <c r="U179" i="9"/>
  <c r="X178" i="9"/>
  <c r="V176" i="9"/>
  <c r="Y175" i="9"/>
  <c r="T174" i="9"/>
  <c r="W173" i="9"/>
  <c r="U171" i="9"/>
  <c r="X170" i="9"/>
  <c r="V168" i="9"/>
  <c r="Y167" i="9"/>
  <c r="T166" i="9"/>
  <c r="W165" i="9"/>
  <c r="U163" i="9"/>
  <c r="X162" i="9"/>
  <c r="V160" i="9"/>
  <c r="Y159" i="9"/>
  <c r="T158" i="9"/>
  <c r="W157" i="9"/>
  <c r="U155" i="9"/>
  <c r="X154" i="9"/>
  <c r="V152" i="9"/>
  <c r="Y151" i="9"/>
  <c r="T150" i="9"/>
  <c r="W149" i="9"/>
  <c r="U147" i="9"/>
  <c r="X146" i="9"/>
  <c r="V144" i="9"/>
  <c r="Y143" i="9"/>
  <c r="T142" i="9"/>
  <c r="W141" i="9"/>
  <c r="U139" i="9"/>
  <c r="X138" i="9"/>
  <c r="V136" i="9"/>
  <c r="Y135" i="9"/>
  <c r="T134" i="9"/>
  <c r="W133" i="9"/>
  <c r="U131" i="9"/>
  <c r="X130" i="9"/>
  <c r="V128" i="9"/>
  <c r="Y127" i="9"/>
  <c r="T126" i="9"/>
  <c r="W125" i="9"/>
  <c r="U123" i="9"/>
  <c r="X122" i="9"/>
  <c r="V120" i="9"/>
  <c r="Y119" i="9"/>
  <c r="T118" i="9"/>
  <c r="W117" i="9"/>
  <c r="U115" i="9"/>
  <c r="X114" i="9"/>
  <c r="V112" i="9"/>
  <c r="Y111" i="9"/>
  <c r="T110" i="9"/>
  <c r="W109" i="9"/>
  <c r="Y221" i="9"/>
  <c r="T220" i="9"/>
  <c r="V214" i="9"/>
  <c r="X208" i="9"/>
  <c r="U201" i="9"/>
  <c r="Y199" i="9"/>
  <c r="W197" i="9"/>
  <c r="X195" i="9"/>
  <c r="Y193" i="9"/>
  <c r="U192" i="9"/>
  <c r="X191" i="9"/>
  <c r="V189" i="9"/>
  <c r="Y188" i="9"/>
  <c r="T187" i="9"/>
  <c r="W186" i="9"/>
  <c r="U184" i="9"/>
  <c r="X183" i="9"/>
  <c r="V181" i="9"/>
  <c r="Y180" i="9"/>
  <c r="T179" i="9"/>
  <c r="W178" i="9"/>
  <c r="U176" i="9"/>
  <c r="X175" i="9"/>
  <c r="V173" i="9"/>
  <c r="Y172" i="9"/>
  <c r="T171" i="9"/>
  <c r="W170" i="9"/>
  <c r="U168" i="9"/>
  <c r="X167" i="9"/>
  <c r="V165" i="9"/>
  <c r="Y164" i="9"/>
  <c r="T163" i="9"/>
  <c r="W162" i="9"/>
  <c r="U160" i="9"/>
  <c r="X159" i="9"/>
  <c r="V157" i="9"/>
  <c r="Y156" i="9"/>
  <c r="T155" i="9"/>
  <c r="W154" i="9"/>
  <c r="U152" i="9"/>
  <c r="X151" i="9"/>
  <c r="V149" i="9"/>
  <c r="Y148" i="9"/>
  <c r="T147" i="9"/>
  <c r="W146" i="9"/>
  <c r="U144" i="9"/>
  <c r="X143" i="9"/>
  <c r="V141" i="9"/>
  <c r="Y140" i="9"/>
  <c r="T139" i="9"/>
  <c r="W138" i="9"/>
  <c r="U136" i="9"/>
  <c r="X135" i="9"/>
  <c r="V133" i="9"/>
  <c r="Y132" i="9"/>
  <c r="T131" i="9"/>
  <c r="W130" i="9"/>
  <c r="U128" i="9"/>
  <c r="X127" i="9"/>
  <c r="V125" i="9"/>
  <c r="Y124" i="9"/>
  <c r="T123" i="9"/>
  <c r="W122" i="9"/>
  <c r="U120" i="9"/>
  <c r="X119" i="9"/>
  <c r="V117" i="9"/>
  <c r="Y116" i="9"/>
  <c r="T115" i="9"/>
  <c r="W114" i="9"/>
  <c r="U112" i="9"/>
  <c r="X111" i="9"/>
  <c r="V109" i="9"/>
  <c r="Y108" i="9"/>
  <c r="T107" i="9"/>
  <c r="U221" i="9"/>
  <c r="W215" i="9"/>
  <c r="Y209" i="9"/>
  <c r="T208" i="9"/>
  <c r="V202" i="9"/>
  <c r="W199" i="9"/>
  <c r="V197" i="9"/>
  <c r="W195" i="9"/>
  <c r="W193" i="9"/>
  <c r="T192" i="9"/>
  <c r="W191" i="9"/>
  <c r="U189" i="9"/>
  <c r="X188" i="9"/>
  <c r="V186" i="9"/>
  <c r="Y185" i="9"/>
  <c r="T184" i="9"/>
  <c r="W183" i="9"/>
  <c r="U181" i="9"/>
  <c r="X180" i="9"/>
  <c r="V178" i="9"/>
  <c r="Y177" i="9"/>
  <c r="T176" i="9"/>
  <c r="W175" i="9"/>
  <c r="U173" i="9"/>
  <c r="X172" i="9"/>
  <c r="V170" i="9"/>
  <c r="Y169" i="9"/>
  <c r="T168" i="9"/>
  <c r="W167" i="9"/>
  <c r="U165" i="9"/>
  <c r="X164" i="9"/>
  <c r="V162" i="9"/>
  <c r="Y161" i="9"/>
  <c r="T160" i="9"/>
  <c r="W159" i="9"/>
  <c r="U157" i="9"/>
  <c r="X156" i="9"/>
  <c r="V154" i="9"/>
  <c r="Y153" i="9"/>
  <c r="T152" i="9"/>
  <c r="W151" i="9"/>
  <c r="U149" i="9"/>
  <c r="X148" i="9"/>
  <c r="V146" i="9"/>
  <c r="Y145" i="9"/>
  <c r="T144" i="9"/>
  <c r="W143" i="9"/>
  <c r="U141" i="9"/>
  <c r="X140" i="9"/>
  <c r="V138" i="9"/>
  <c r="Y137" i="9"/>
  <c r="T136" i="9"/>
  <c r="W135" i="9"/>
  <c r="U133" i="9"/>
  <c r="X132" i="9"/>
  <c r="V130" i="9"/>
  <c r="Y129" i="9"/>
  <c r="T128" i="9"/>
  <c r="W127" i="9"/>
  <c r="U125" i="9"/>
  <c r="X124" i="9"/>
  <c r="V122" i="9"/>
  <c r="Y121" i="9"/>
  <c r="T120" i="9"/>
  <c r="W119" i="9"/>
  <c r="U117" i="9"/>
  <c r="X116" i="9"/>
  <c r="V114" i="9"/>
  <c r="Y113" i="9"/>
  <c r="T112" i="9"/>
  <c r="W111" i="9"/>
  <c r="U109" i="9"/>
  <c r="X108" i="9"/>
  <c r="V106" i="9"/>
  <c r="Y105" i="9"/>
  <c r="T104" i="9"/>
  <c r="W103" i="9"/>
  <c r="X216" i="9"/>
  <c r="U209" i="9"/>
  <c r="W203" i="9"/>
  <c r="U199" i="9"/>
  <c r="U197" i="9"/>
  <c r="U195" i="9"/>
  <c r="V193" i="9"/>
  <c r="V191" i="9"/>
  <c r="Y190" i="9"/>
  <c r="T189" i="9"/>
  <c r="W188" i="9"/>
  <c r="U186" i="9"/>
  <c r="X185" i="9"/>
  <c r="V183" i="9"/>
  <c r="Y182" i="9"/>
  <c r="T181" i="9"/>
  <c r="W180" i="9"/>
  <c r="U178" i="9"/>
  <c r="X177" i="9"/>
  <c r="V175" i="9"/>
  <c r="Y174" i="9"/>
  <c r="T173" i="9"/>
  <c r="W172" i="9"/>
  <c r="U170" i="9"/>
  <c r="X169" i="9"/>
  <c r="V167" i="9"/>
  <c r="Y166" i="9"/>
  <c r="T165" i="9"/>
  <c r="W164" i="9"/>
  <c r="U162" i="9"/>
  <c r="X161" i="9"/>
  <c r="V159" i="9"/>
  <c r="Y158" i="9"/>
  <c r="T157" i="9"/>
  <c r="W156" i="9"/>
  <c r="U154" i="9"/>
  <c r="X153" i="9"/>
  <c r="V151" i="9"/>
  <c r="Y150" i="9"/>
  <c r="T149" i="9"/>
  <c r="W148" i="9"/>
  <c r="U146" i="9"/>
  <c r="X145" i="9"/>
  <c r="V143" i="9"/>
  <c r="Y142" i="9"/>
  <c r="T141" i="9"/>
  <c r="W140" i="9"/>
  <c r="U138" i="9"/>
  <c r="X137" i="9"/>
  <c r="V135" i="9"/>
  <c r="Y134" i="9"/>
  <c r="T133" i="9"/>
  <c r="W132" i="9"/>
  <c r="U130" i="9"/>
  <c r="X129" i="9"/>
  <c r="V127" i="9"/>
  <c r="Y126" i="9"/>
  <c r="T125" i="9"/>
  <c r="W124" i="9"/>
  <c r="U122" i="9"/>
  <c r="X121" i="9"/>
  <c r="V119" i="9"/>
  <c r="Y118" i="9"/>
  <c r="T117" i="9"/>
  <c r="W116" i="9"/>
  <c r="U114" i="9"/>
  <c r="Y217" i="9"/>
  <c r="T216" i="9"/>
  <c r="V210" i="9"/>
  <c r="X204" i="9"/>
  <c r="X200" i="9"/>
  <c r="T199" i="9"/>
  <c r="X198" i="9"/>
  <c r="Y196" i="9"/>
  <c r="T195" i="9"/>
  <c r="U193" i="9"/>
  <c r="U191" i="9"/>
  <c r="X190" i="9"/>
  <c r="V188" i="9"/>
  <c r="Y187" i="9"/>
  <c r="T186" i="9"/>
  <c r="W185" i="9"/>
  <c r="U183" i="9"/>
  <c r="X182" i="9"/>
  <c r="V180" i="9"/>
  <c r="Y179" i="9"/>
  <c r="T178" i="9"/>
  <c r="W177" i="9"/>
  <c r="U175" i="9"/>
  <c r="X174" i="9"/>
  <c r="V172" i="9"/>
  <c r="Y171" i="9"/>
  <c r="T170" i="9"/>
  <c r="W169" i="9"/>
  <c r="U167" i="9"/>
  <c r="X166" i="9"/>
  <c r="V164" i="9"/>
  <c r="Y163" i="9"/>
  <c r="T162" i="9"/>
  <c r="W161" i="9"/>
  <c r="U159" i="9"/>
  <c r="X158" i="9"/>
  <c r="V156" i="9"/>
  <c r="Y155" i="9"/>
  <c r="T154" i="9"/>
  <c r="W153" i="9"/>
  <c r="U151" i="9"/>
  <c r="X150" i="9"/>
  <c r="V148" i="9"/>
  <c r="Y147" i="9"/>
  <c r="T146" i="9"/>
  <c r="W145" i="9"/>
  <c r="U143" i="9"/>
  <c r="X142" i="9"/>
  <c r="V140" i="9"/>
  <c r="Y139" i="9"/>
  <c r="T138" i="9"/>
  <c r="W137" i="9"/>
  <c r="U135" i="9"/>
  <c r="X134" i="9"/>
  <c r="V132" i="9"/>
  <c r="Y131" i="9"/>
  <c r="T130" i="9"/>
  <c r="W129" i="9"/>
  <c r="U127" i="9"/>
  <c r="X126" i="9"/>
  <c r="V124" i="9"/>
  <c r="Y123" i="9"/>
  <c r="T122" i="9"/>
  <c r="W121" i="9"/>
  <c r="U119" i="9"/>
  <c r="X118" i="9"/>
  <c r="V116" i="9"/>
  <c r="Y115" i="9"/>
  <c r="T114" i="9"/>
  <c r="W113" i="9"/>
  <c r="U111" i="9"/>
  <c r="X110" i="9"/>
  <c r="V108" i="9"/>
  <c r="X11" i="9"/>
  <c r="U12" i="9"/>
  <c r="AC12" i="9"/>
  <c r="AK12" i="9"/>
  <c r="AS12" i="9"/>
  <c r="AP13" i="9"/>
  <c r="W14" i="9"/>
  <c r="AE14" i="9"/>
  <c r="AM14" i="9"/>
  <c r="T15" i="9"/>
  <c r="AB15" i="9"/>
  <c r="AJ15" i="9"/>
  <c r="AR15" i="9"/>
  <c r="Y16" i="9"/>
  <c r="AG16" i="9"/>
  <c r="AO16" i="9"/>
  <c r="V17" i="9"/>
  <c r="AD17" i="9"/>
  <c r="AL17" i="9"/>
  <c r="AA18" i="9"/>
  <c r="AI18" i="9"/>
  <c r="AQ18" i="9"/>
  <c r="X19" i="9"/>
  <c r="AF19" i="9"/>
  <c r="AN19" i="9"/>
  <c r="U20" i="9"/>
  <c r="AC20" i="9"/>
  <c r="AK20" i="9"/>
  <c r="AS20" i="9"/>
  <c r="AP21" i="9"/>
  <c r="W22" i="9"/>
  <c r="AE22" i="9"/>
  <c r="AM22" i="9"/>
  <c r="T23" i="9"/>
  <c r="AB23" i="9"/>
  <c r="AJ23" i="9"/>
  <c r="AR23" i="9"/>
  <c r="Y24" i="9"/>
  <c r="AG24" i="9"/>
  <c r="AO24" i="9"/>
  <c r="V25" i="9"/>
  <c r="AD25" i="9"/>
  <c r="AL25" i="9"/>
  <c r="AA26" i="9"/>
  <c r="AI26" i="9"/>
  <c r="AQ26" i="9"/>
  <c r="X27" i="9"/>
  <c r="AF27" i="9"/>
  <c r="AN27" i="9"/>
  <c r="U28" i="9"/>
  <c r="AC28" i="9"/>
  <c r="AK28" i="9"/>
  <c r="AS28" i="9"/>
  <c r="AP29" i="9"/>
  <c r="W30" i="9"/>
  <c r="AE30" i="9"/>
  <c r="AM30" i="9"/>
  <c r="T31" i="9"/>
  <c r="AB31" i="9"/>
  <c r="AJ31" i="9"/>
  <c r="AR31" i="9"/>
  <c r="Y32" i="9"/>
  <c r="AG32" i="9"/>
  <c r="AO32" i="9"/>
  <c r="V33" i="9"/>
  <c r="AD33" i="9"/>
  <c r="AL33" i="9"/>
  <c r="AA34" i="9"/>
  <c r="AI34" i="9"/>
  <c r="AQ34" i="9"/>
  <c r="X35" i="9"/>
  <c r="AF35" i="9"/>
  <c r="AN35" i="9"/>
  <c r="U36" i="9"/>
  <c r="AC36" i="9"/>
  <c r="AK36" i="9"/>
  <c r="AS36" i="9"/>
  <c r="AP37" i="9"/>
  <c r="W38" i="9"/>
  <c r="AE38" i="9"/>
  <c r="AM38" i="9"/>
  <c r="T39" i="9"/>
  <c r="AB39" i="9"/>
  <c r="AJ39" i="9"/>
  <c r="AR39" i="9"/>
  <c r="Y40" i="9"/>
  <c r="AG40" i="9"/>
  <c r="AO40" i="9"/>
  <c r="V41" i="9"/>
  <c r="AD41" i="9"/>
  <c r="AL41" i="9"/>
  <c r="AA42" i="9"/>
  <c r="AI42" i="9"/>
  <c r="AQ42" i="9"/>
  <c r="X43" i="9"/>
  <c r="AF43" i="9"/>
  <c r="AN43" i="9"/>
  <c r="U44" i="9"/>
  <c r="AC44" i="9"/>
  <c r="AK44" i="9"/>
  <c r="AS44" i="9"/>
  <c r="AP45" i="9"/>
  <c r="W46" i="9"/>
  <c r="AE46" i="9"/>
  <c r="AM46" i="9"/>
  <c r="T47" i="9"/>
  <c r="AB47" i="9"/>
  <c r="AJ47" i="9"/>
  <c r="AR47" i="9"/>
  <c r="Y48" i="9"/>
  <c r="AG48" i="9"/>
  <c r="AO48" i="9"/>
  <c r="V49" i="9"/>
  <c r="AD49" i="9"/>
  <c r="AL49" i="9"/>
  <c r="AA50" i="9"/>
  <c r="AI50" i="9"/>
  <c r="AQ50" i="9"/>
  <c r="X51" i="9"/>
  <c r="AF51" i="9"/>
  <c r="AN51" i="9"/>
  <c r="U52" i="9"/>
  <c r="AC52" i="9"/>
  <c r="AK52" i="9"/>
  <c r="AS52" i="9"/>
  <c r="AP53" i="9"/>
  <c r="W54" i="9"/>
  <c r="AE54" i="9"/>
  <c r="AM54" i="9"/>
  <c r="T55" i="9"/>
  <c r="AB55" i="9"/>
  <c r="AJ55" i="9"/>
  <c r="AR55" i="9"/>
  <c r="Y56" i="9"/>
  <c r="AG56" i="9"/>
  <c r="AO56" i="9"/>
  <c r="V57" i="9"/>
  <c r="AD57" i="9"/>
  <c r="AL57" i="9"/>
  <c r="AA58" i="9"/>
  <c r="AI58" i="9"/>
  <c r="AQ58" i="9"/>
  <c r="X59" i="9"/>
  <c r="AF59" i="9"/>
  <c r="AN59" i="9"/>
  <c r="U60" i="9"/>
  <c r="AC60" i="9"/>
  <c r="AK60" i="9"/>
  <c r="AS60" i="9"/>
  <c r="AP61" i="9"/>
  <c r="W62" i="9"/>
  <c r="AE62" i="9"/>
  <c r="AM62" i="9"/>
  <c r="T63" i="9"/>
  <c r="AB63" i="9"/>
  <c r="AJ63" i="9"/>
  <c r="AR63" i="9"/>
  <c r="Y64" i="9"/>
  <c r="AG64" i="9"/>
  <c r="AO64" i="9"/>
  <c r="V65" i="9"/>
  <c r="AD65" i="9"/>
  <c r="AL65" i="9"/>
  <c r="AA66" i="9"/>
  <c r="AI66" i="9"/>
  <c r="AQ66" i="9"/>
  <c r="X67" i="9"/>
  <c r="AF67" i="9"/>
  <c r="AN67" i="9"/>
  <c r="U68" i="9"/>
  <c r="AC68" i="9"/>
  <c r="AK68" i="9"/>
  <c r="AS68" i="9"/>
  <c r="AP69" i="9"/>
  <c r="W70" i="9"/>
  <c r="AE70" i="9"/>
  <c r="AM70" i="9"/>
  <c r="T71" i="9"/>
  <c r="AB71" i="9"/>
  <c r="AJ71" i="9"/>
  <c r="AR71" i="9"/>
  <c r="Y72" i="9"/>
  <c r="AG72" i="9"/>
  <c r="AO72" i="9"/>
  <c r="V73" i="9"/>
  <c r="AD73" i="9"/>
  <c r="AL73" i="9"/>
  <c r="AA74" i="9"/>
  <c r="AI74" i="9"/>
  <c r="AQ74" i="9"/>
  <c r="X75" i="9"/>
  <c r="AF75" i="9"/>
  <c r="AN75" i="9"/>
  <c r="U76" i="9"/>
  <c r="AC76" i="9"/>
  <c r="AK76" i="9"/>
  <c r="AS76" i="9"/>
  <c r="AP77" i="9"/>
  <c r="W78" i="9"/>
  <c r="AE78" i="9"/>
  <c r="AM78" i="9"/>
  <c r="T79" i="9"/>
  <c r="AB79" i="9"/>
  <c r="AJ79" i="9"/>
  <c r="AR79" i="9"/>
  <c r="Y80" i="9"/>
  <c r="AG80" i="9"/>
  <c r="AO80" i="9"/>
  <c r="V81" i="9"/>
  <c r="AD81" i="9"/>
  <c r="AL81" i="9"/>
  <c r="AA82" i="9"/>
  <c r="AI82" i="9"/>
  <c r="AQ82" i="9"/>
  <c r="X83" i="9"/>
  <c r="AF83" i="9"/>
  <c r="AN83" i="9"/>
  <c r="U84" i="9"/>
  <c r="AC84" i="9"/>
  <c r="AK84" i="9"/>
  <c r="AS84" i="9"/>
  <c r="AP85" i="9"/>
  <c r="W86" i="9"/>
  <c r="AE86" i="9"/>
  <c r="AM86" i="9"/>
  <c r="T87" i="9"/>
  <c r="AB87" i="9"/>
  <c r="AJ87" i="9"/>
  <c r="AR87" i="9"/>
  <c r="Y88" i="9"/>
  <c r="AG88" i="9"/>
  <c r="AO88" i="9"/>
  <c r="V89" i="9"/>
  <c r="AD89" i="9"/>
  <c r="AL89" i="9"/>
  <c r="AA90" i="9"/>
  <c r="AI90" i="9"/>
  <c r="AQ90" i="9"/>
  <c r="X91" i="9"/>
  <c r="AF91" i="9"/>
  <c r="AN91" i="9"/>
  <c r="U92" i="9"/>
  <c r="AC92" i="9"/>
  <c r="AK92" i="9"/>
  <c r="AS92" i="9"/>
  <c r="AP93" i="9"/>
  <c r="W94" i="9"/>
  <c r="AE94" i="9"/>
  <c r="AM94" i="9"/>
  <c r="T95" i="9"/>
  <c r="AB95" i="9"/>
  <c r="AJ95" i="9"/>
  <c r="AR95" i="9"/>
  <c r="Y96" i="9"/>
  <c r="AG96" i="9"/>
  <c r="AO96" i="9"/>
  <c r="V97" i="9"/>
  <c r="AD97" i="9"/>
  <c r="AL97" i="9"/>
  <c r="AA98" i="9"/>
  <c r="AI98" i="9"/>
  <c r="AQ98" i="9"/>
  <c r="X99" i="9"/>
  <c r="AF99" i="9"/>
  <c r="AN99" i="9"/>
  <c r="U100" i="9"/>
  <c r="AC100" i="9"/>
  <c r="AK100" i="9"/>
  <c r="AS100" i="9"/>
  <c r="AP101" i="9"/>
  <c r="W102" i="9"/>
  <c r="AF102" i="9"/>
  <c r="AR102" i="9"/>
  <c r="AD103" i="9"/>
  <c r="AP103" i="9"/>
  <c r="AC104" i="9"/>
  <c r="AP104" i="9"/>
  <c r="AA105" i="9"/>
  <c r="AN105" i="9"/>
  <c r="Y106" i="9"/>
  <c r="AN106" i="9"/>
  <c r="W108" i="9"/>
  <c r="AQ112" i="9"/>
  <c r="Z9" i="9"/>
  <c r="AC1081" i="9"/>
  <c r="AF1080" i="9"/>
  <c r="AA1079" i="9"/>
  <c r="AD1078" i="9"/>
  <c r="AG1077" i="9"/>
  <c r="AB1076" i="9"/>
  <c r="AE1075" i="9"/>
  <c r="AC1073" i="9"/>
  <c r="AF1072" i="9"/>
  <c r="AA1071" i="9"/>
  <c r="AD1070" i="9"/>
  <c r="AG1069" i="9"/>
  <c r="AB1068" i="9"/>
  <c r="AE1067" i="9"/>
  <c r="AC1065" i="9"/>
  <c r="AF1064" i="9"/>
  <c r="AA1063" i="9"/>
  <c r="AD1062" i="9"/>
  <c r="AG1061" i="9"/>
  <c r="AB1060" i="9"/>
  <c r="AE1059" i="9"/>
  <c r="AC1057" i="9"/>
  <c r="AB1081" i="9"/>
  <c r="AE1080" i="9"/>
  <c r="AC1078" i="9"/>
  <c r="AF1077" i="9"/>
  <c r="AA1076" i="9"/>
  <c r="AD1075" i="9"/>
  <c r="AG1074" i="9"/>
  <c r="AB1073" i="9"/>
  <c r="AE1072" i="9"/>
  <c r="AC1070" i="9"/>
  <c r="AF1069" i="9"/>
  <c r="AA1068" i="9"/>
  <c r="AD1067" i="9"/>
  <c r="AG1066" i="9"/>
  <c r="AB1065" i="9"/>
  <c r="AE1064" i="9"/>
  <c r="AC1062" i="9"/>
  <c r="AF1061" i="9"/>
  <c r="AA1060" i="9"/>
  <c r="AD1059" i="9"/>
  <c r="AG1058" i="9"/>
  <c r="AA1081" i="9"/>
  <c r="AD1080" i="9"/>
  <c r="AG1079" i="9"/>
  <c r="AB1078" i="9"/>
  <c r="AE1077" i="9"/>
  <c r="AC1075" i="9"/>
  <c r="AF1074" i="9"/>
  <c r="AA1073" i="9"/>
  <c r="AD1072" i="9"/>
  <c r="AG1071" i="9"/>
  <c r="AB1070" i="9"/>
  <c r="AE1069" i="9"/>
  <c r="AC1067" i="9"/>
  <c r="AF1066" i="9"/>
  <c r="AA1065" i="9"/>
  <c r="AD1064" i="9"/>
  <c r="AG1063" i="9"/>
  <c r="AB1062" i="9"/>
  <c r="AE1061" i="9"/>
  <c r="AC1059" i="9"/>
  <c r="AF1058" i="9"/>
  <c r="AC1080" i="9"/>
  <c r="AF1079" i="9"/>
  <c r="AA1078" i="9"/>
  <c r="AD1077" i="9"/>
  <c r="AG1076" i="9"/>
  <c r="AB1075" i="9"/>
  <c r="AE1074" i="9"/>
  <c r="AC1072" i="9"/>
  <c r="AF1071" i="9"/>
  <c r="AA1070" i="9"/>
  <c r="AD1069" i="9"/>
  <c r="AG1068" i="9"/>
  <c r="AB1067" i="9"/>
  <c r="AE1066" i="9"/>
  <c r="AC1064" i="9"/>
  <c r="AF1063" i="9"/>
  <c r="AA1062" i="9"/>
  <c r="AD1061" i="9"/>
  <c r="AG1060" i="9"/>
  <c r="AB1059" i="9"/>
  <c r="AE1058" i="9"/>
  <c r="AG1081" i="9"/>
  <c r="AB1080" i="9"/>
  <c r="AE1079" i="9"/>
  <c r="AC1077" i="9"/>
  <c r="AF1076" i="9"/>
  <c r="AA1075" i="9"/>
  <c r="AD1074" i="9"/>
  <c r="AG1073" i="9"/>
  <c r="AB1072" i="9"/>
  <c r="AE1071" i="9"/>
  <c r="AC1069" i="9"/>
  <c r="AF1068" i="9"/>
  <c r="AA1067" i="9"/>
  <c r="AD1066" i="9"/>
  <c r="AG1065" i="9"/>
  <c r="AB1064" i="9"/>
  <c r="AE1063" i="9"/>
  <c r="AC1061" i="9"/>
  <c r="AF1060" i="9"/>
  <c r="AA1059" i="9"/>
  <c r="AD1058" i="9"/>
  <c r="AG1057" i="9"/>
  <c r="AF1081" i="9"/>
  <c r="AA1080" i="9"/>
  <c r="AD1079" i="9"/>
  <c r="AG1078" i="9"/>
  <c r="AB1077" i="9"/>
  <c r="AE1076" i="9"/>
  <c r="AC1074" i="9"/>
  <c r="AF1073" i="9"/>
  <c r="AA1072" i="9"/>
  <c r="AD1071" i="9"/>
  <c r="AG1070" i="9"/>
  <c r="AB1069" i="9"/>
  <c r="AE1068" i="9"/>
  <c r="AC1066" i="9"/>
  <c r="AF1065" i="9"/>
  <c r="AA1064" i="9"/>
  <c r="AD1063" i="9"/>
  <c r="AG1062" i="9"/>
  <c r="AB1061" i="9"/>
  <c r="AE1060" i="9"/>
  <c r="AC1058" i="9"/>
  <c r="AF1057" i="9"/>
  <c r="AE1081" i="9"/>
  <c r="AC1079" i="9"/>
  <c r="AF1078" i="9"/>
  <c r="AA1077" i="9"/>
  <c r="AD1076" i="9"/>
  <c r="AG1075" i="9"/>
  <c r="AB1074" i="9"/>
  <c r="AE1073" i="9"/>
  <c r="AC1071" i="9"/>
  <c r="AF1070" i="9"/>
  <c r="AA1069" i="9"/>
  <c r="AD1068" i="9"/>
  <c r="AG1067" i="9"/>
  <c r="AB1066" i="9"/>
  <c r="AE1065" i="9"/>
  <c r="AC1063" i="9"/>
  <c r="AF1062" i="9"/>
  <c r="AA1061" i="9"/>
  <c r="AD1060" i="9"/>
  <c r="AG1059" i="9"/>
  <c r="AB1058" i="9"/>
  <c r="AE1057" i="9"/>
  <c r="AB1079" i="9"/>
  <c r="AF1067" i="9"/>
  <c r="AC1060" i="9"/>
  <c r="AB1056" i="9"/>
  <c r="AE1055" i="9"/>
  <c r="AC1053" i="9"/>
  <c r="AF1052" i="9"/>
  <c r="AA1051" i="9"/>
  <c r="AD1050" i="9"/>
  <c r="AG1049" i="9"/>
  <c r="AB1048" i="9"/>
  <c r="AE1047" i="9"/>
  <c r="AC1045" i="9"/>
  <c r="AF1044" i="9"/>
  <c r="AA1043" i="9"/>
  <c r="AD1042" i="9"/>
  <c r="AG1041" i="9"/>
  <c r="AB1040" i="9"/>
  <c r="AE1039" i="9"/>
  <c r="AC1037" i="9"/>
  <c r="AF1036" i="9"/>
  <c r="AA1035" i="9"/>
  <c r="AD1034" i="9"/>
  <c r="AG1033" i="9"/>
  <c r="AE1078" i="9"/>
  <c r="AB1071" i="9"/>
  <c r="AF1059" i="9"/>
  <c r="AG1056" i="9"/>
  <c r="AB1055" i="9"/>
  <c r="AE1054" i="9"/>
  <c r="AC1052" i="9"/>
  <c r="AF1051" i="9"/>
  <c r="AA1050" i="9"/>
  <c r="AD1049" i="9"/>
  <c r="AG1048" i="9"/>
  <c r="AB1047" i="9"/>
  <c r="AE1046" i="9"/>
  <c r="AC1044" i="9"/>
  <c r="AF1043" i="9"/>
  <c r="AA1042" i="9"/>
  <c r="AD1041" i="9"/>
  <c r="AG1040" i="9"/>
  <c r="AB1039" i="9"/>
  <c r="AE1038" i="9"/>
  <c r="AC1036" i="9"/>
  <c r="AF1035" i="9"/>
  <c r="AG1080" i="9"/>
  <c r="AD1073" i="9"/>
  <c r="AA1066" i="9"/>
  <c r="AD1057" i="9"/>
  <c r="AF1056" i="9"/>
  <c r="AA1055" i="9"/>
  <c r="AD1054" i="9"/>
  <c r="AG1053" i="9"/>
  <c r="AB1052" i="9"/>
  <c r="AE1051" i="9"/>
  <c r="AC1049" i="9"/>
  <c r="AF1048" i="9"/>
  <c r="AA1047" i="9"/>
  <c r="AD1046" i="9"/>
  <c r="AG1045" i="9"/>
  <c r="AB1044" i="9"/>
  <c r="AE1043" i="9"/>
  <c r="AC1041" i="9"/>
  <c r="AF1040" i="9"/>
  <c r="AA1039" i="9"/>
  <c r="AD1038" i="9"/>
  <c r="AF1075" i="9"/>
  <c r="AC1068" i="9"/>
  <c r="AB1057" i="9"/>
  <c r="AE1056" i="9"/>
  <c r="AC1054" i="9"/>
  <c r="AF1053" i="9"/>
  <c r="AA1052" i="9"/>
  <c r="AD1051" i="9"/>
  <c r="AG1050" i="9"/>
  <c r="AB1049" i="9"/>
  <c r="AE1048" i="9"/>
  <c r="AC1046" i="9"/>
  <c r="AF1045" i="9"/>
  <c r="AA1044" i="9"/>
  <c r="AD1043" i="9"/>
  <c r="AG1042" i="9"/>
  <c r="AB1041" i="9"/>
  <c r="AE1040" i="9"/>
  <c r="AC1038" i="9"/>
  <c r="AF1037" i="9"/>
  <c r="AE1070" i="9"/>
  <c r="AB1063" i="9"/>
  <c r="AA1057" i="9"/>
  <c r="AD1056" i="9"/>
  <c r="AG1055" i="9"/>
  <c r="AB1054" i="9"/>
  <c r="AE1053" i="9"/>
  <c r="AC1051" i="9"/>
  <c r="AF1050" i="9"/>
  <c r="AA1049" i="9"/>
  <c r="AD1048" i="9"/>
  <c r="AG1047" i="9"/>
  <c r="AB1046" i="9"/>
  <c r="AE1045" i="9"/>
  <c r="AC1043" i="9"/>
  <c r="AF1042" i="9"/>
  <c r="AA1041" i="9"/>
  <c r="AD1040" i="9"/>
  <c r="AG1039" i="9"/>
  <c r="AD1081" i="9"/>
  <c r="AE1062" i="9"/>
  <c r="AD1055" i="9"/>
  <c r="AG1051" i="9"/>
  <c r="AA1048" i="9"/>
  <c r="AF1047" i="9"/>
  <c r="AD1044" i="9"/>
  <c r="AC1040" i="9"/>
  <c r="AB1036" i="9"/>
  <c r="AF1034" i="9"/>
  <c r="AE1033" i="9"/>
  <c r="AF1032" i="9"/>
  <c r="AA1031" i="9"/>
  <c r="AD1030" i="9"/>
  <c r="AG1029" i="9"/>
  <c r="AB1028" i="9"/>
  <c r="AE1027" i="9"/>
  <c r="AC1025" i="9"/>
  <c r="AF1024" i="9"/>
  <c r="AA1023" i="9"/>
  <c r="AD1022" i="9"/>
  <c r="AG1021" i="9"/>
  <c r="AB1020" i="9"/>
  <c r="AE1019" i="9"/>
  <c r="AC1017" i="9"/>
  <c r="AF1016" i="9"/>
  <c r="AA1015" i="9"/>
  <c r="AG1072" i="9"/>
  <c r="AA1054" i="9"/>
  <c r="AC1050" i="9"/>
  <c r="AF1046" i="9"/>
  <c r="AE1042" i="9"/>
  <c r="AC1039" i="9"/>
  <c r="AG1038" i="9"/>
  <c r="AD1037" i="9"/>
  <c r="AD1035" i="9"/>
  <c r="AB1034" i="9"/>
  <c r="AB1033" i="9"/>
  <c r="AC1032" i="9"/>
  <c r="AF1031" i="9"/>
  <c r="AA1030" i="9"/>
  <c r="AD1029" i="9"/>
  <c r="AG1028" i="9"/>
  <c r="AB1027" i="9"/>
  <c r="AE1026" i="9"/>
  <c r="AC1024" i="9"/>
  <c r="AF1023" i="9"/>
  <c r="AA1022" i="9"/>
  <c r="AD1021" i="9"/>
  <c r="AG1020" i="9"/>
  <c r="AB1019" i="9"/>
  <c r="AE1018" i="9"/>
  <c r="AD1065" i="9"/>
  <c r="AD1053" i="9"/>
  <c r="AB1050" i="9"/>
  <c r="AF1049" i="9"/>
  <c r="AA1046" i="9"/>
  <c r="AC1042" i="9"/>
  <c r="AF1038" i="9"/>
  <c r="AB1037" i="9"/>
  <c r="AC1035" i="9"/>
  <c r="AA1034" i="9"/>
  <c r="AA1033" i="9"/>
  <c r="AB1032" i="9"/>
  <c r="AE1031" i="9"/>
  <c r="AC1029" i="9"/>
  <c r="AF1028" i="9"/>
  <c r="AA1027" i="9"/>
  <c r="AD1026" i="9"/>
  <c r="AG1025" i="9"/>
  <c r="AB1024" i="9"/>
  <c r="AE1023" i="9"/>
  <c r="AC1021" i="9"/>
  <c r="AF1020" i="9"/>
  <c r="AA1058" i="9"/>
  <c r="AB1053" i="9"/>
  <c r="AG1052" i="9"/>
  <c r="AE1049" i="9"/>
  <c r="AD1045" i="9"/>
  <c r="AB1042" i="9"/>
  <c r="AF1041" i="9"/>
  <c r="AB1038" i="9"/>
  <c r="AA1037" i="9"/>
  <c r="AG1036" i="9"/>
  <c r="AB1035" i="9"/>
  <c r="AA1032" i="9"/>
  <c r="AD1031" i="9"/>
  <c r="AG1030" i="9"/>
  <c r="AB1029" i="9"/>
  <c r="AE1028" i="9"/>
  <c r="AC1026" i="9"/>
  <c r="AF1025" i="9"/>
  <c r="AA1024" i="9"/>
  <c r="AD1023" i="9"/>
  <c r="AG1022" i="9"/>
  <c r="AB1021" i="9"/>
  <c r="AG1064" i="9"/>
  <c r="AC1056" i="9"/>
  <c r="AA1053" i="9"/>
  <c r="AE1052" i="9"/>
  <c r="AB1045" i="9"/>
  <c r="AG1044" i="9"/>
  <c r="AE1041" i="9"/>
  <c r="AA1038" i="9"/>
  <c r="AE1036" i="9"/>
  <c r="AC1031" i="9"/>
  <c r="AF1030" i="9"/>
  <c r="AA1029" i="9"/>
  <c r="AD1028" i="9"/>
  <c r="AG1027" i="9"/>
  <c r="AB1026" i="9"/>
  <c r="AE1025" i="9"/>
  <c r="AC1023" i="9"/>
  <c r="AF1022" i="9"/>
  <c r="AD1047" i="9"/>
  <c r="AA1045" i="9"/>
  <c r="AB1043" i="9"/>
  <c r="AE1037" i="9"/>
  <c r="AA1036" i="9"/>
  <c r="AC1034" i="9"/>
  <c r="AD1033" i="9"/>
  <c r="AG1032" i="9"/>
  <c r="AE1029" i="9"/>
  <c r="AD1025" i="9"/>
  <c r="AB1022" i="9"/>
  <c r="AF1021" i="9"/>
  <c r="AC1020" i="9"/>
  <c r="AG1019" i="9"/>
  <c r="AB1018" i="9"/>
  <c r="AG1017" i="9"/>
  <c r="AE1016" i="9"/>
  <c r="AE1015" i="9"/>
  <c r="AE1014" i="9"/>
  <c r="AC1012" i="9"/>
  <c r="AF1011" i="9"/>
  <c r="AA1010" i="9"/>
  <c r="AD1009" i="9"/>
  <c r="AG1008" i="9"/>
  <c r="AB1007" i="9"/>
  <c r="AE1006" i="9"/>
  <c r="AC1004" i="9"/>
  <c r="AF1003" i="9"/>
  <c r="AA1002" i="9"/>
  <c r="AD1001" i="9"/>
  <c r="AG1000" i="9"/>
  <c r="AB999" i="9"/>
  <c r="AE998" i="9"/>
  <c r="AA1074" i="9"/>
  <c r="AE1044" i="9"/>
  <c r="AA1040" i="9"/>
  <c r="AG1031" i="9"/>
  <c r="AA1028" i="9"/>
  <c r="AF1027" i="9"/>
  <c r="AD1024" i="9"/>
  <c r="AC1019" i="9"/>
  <c r="AD1017" i="9"/>
  <c r="AB1016" i="9"/>
  <c r="AB1015" i="9"/>
  <c r="AB1014" i="9"/>
  <c r="AE1013" i="9"/>
  <c r="AC1011" i="9"/>
  <c r="AF1010" i="9"/>
  <c r="AA1009" i="9"/>
  <c r="AD1008" i="9"/>
  <c r="AG1007" i="9"/>
  <c r="AB1006" i="9"/>
  <c r="AE1005" i="9"/>
  <c r="AC1003" i="9"/>
  <c r="AF1002" i="9"/>
  <c r="AA1001" i="9"/>
  <c r="AC1048" i="9"/>
  <c r="AG1046" i="9"/>
  <c r="AB1031" i="9"/>
  <c r="AD1027" i="9"/>
  <c r="AG1023" i="9"/>
  <c r="AA1019" i="9"/>
  <c r="AG1018" i="9"/>
  <c r="AB1017" i="9"/>
  <c r="AA1016" i="9"/>
  <c r="AA1014" i="9"/>
  <c r="AD1013" i="9"/>
  <c r="AG1012" i="9"/>
  <c r="AB1011" i="9"/>
  <c r="AE1010" i="9"/>
  <c r="AC1008" i="9"/>
  <c r="AF1007" i="9"/>
  <c r="AA1006" i="9"/>
  <c r="AD1005" i="9"/>
  <c r="AG1004" i="9"/>
  <c r="AG1054" i="9"/>
  <c r="AD1052" i="9"/>
  <c r="AE1050" i="9"/>
  <c r="AE1030" i="9"/>
  <c r="AC1027" i="9"/>
  <c r="AG1026" i="9"/>
  <c r="AB1023" i="9"/>
  <c r="AF1018" i="9"/>
  <c r="AA1017" i="9"/>
  <c r="AC1013" i="9"/>
  <c r="AF1012" i="9"/>
  <c r="AA1011" i="9"/>
  <c r="AD1010" i="9"/>
  <c r="AG1009" i="9"/>
  <c r="AB1008" i="9"/>
  <c r="AE1007" i="9"/>
  <c r="AC1005" i="9"/>
  <c r="AF1004" i="9"/>
  <c r="AA1056" i="9"/>
  <c r="AF1054" i="9"/>
  <c r="AF1039" i="9"/>
  <c r="AG1035" i="9"/>
  <c r="AG1034" i="9"/>
  <c r="AC1030" i="9"/>
  <c r="AF1026" i="9"/>
  <c r="AE1022" i="9"/>
  <c r="AE1020" i="9"/>
  <c r="AD1018" i="9"/>
  <c r="AG1015" i="9"/>
  <c r="AG1014" i="9"/>
  <c r="AB1013" i="9"/>
  <c r="AE1012" i="9"/>
  <c r="AC1010" i="9"/>
  <c r="AF1009" i="9"/>
  <c r="AA1008" i="9"/>
  <c r="AD1007" i="9"/>
  <c r="AG1006" i="9"/>
  <c r="AB1005" i="9"/>
  <c r="AE1004" i="9"/>
  <c r="AG1037" i="9"/>
  <c r="AE1032" i="9"/>
  <c r="AB1030" i="9"/>
  <c r="AC1028" i="9"/>
  <c r="AA1020" i="9"/>
  <c r="AC1015" i="9"/>
  <c r="AD1014" i="9"/>
  <c r="AG1010" i="9"/>
  <c r="AA1007" i="9"/>
  <c r="AF1006" i="9"/>
  <c r="AD1002" i="9"/>
  <c r="AF1000" i="9"/>
  <c r="AF999" i="9"/>
  <c r="AF998" i="9"/>
  <c r="AC996" i="9"/>
  <c r="AF995" i="9"/>
  <c r="AA994" i="9"/>
  <c r="AD993" i="9"/>
  <c r="AG992" i="9"/>
  <c r="AB991" i="9"/>
  <c r="AE990" i="9"/>
  <c r="AC988" i="9"/>
  <c r="AF987" i="9"/>
  <c r="AA986" i="9"/>
  <c r="AD985" i="9"/>
  <c r="AG984" i="9"/>
  <c r="AB983" i="9"/>
  <c r="AE982" i="9"/>
  <c r="AD1036" i="9"/>
  <c r="AF1029" i="9"/>
  <c r="AB1025" i="9"/>
  <c r="AA1021" i="9"/>
  <c r="AA1013" i="9"/>
  <c r="AC1009" i="9"/>
  <c r="AF1005" i="9"/>
  <c r="AE1003" i="9"/>
  <c r="AF1001" i="9"/>
  <c r="AC1000" i="9"/>
  <c r="AC999" i="9"/>
  <c r="AB998" i="9"/>
  <c r="AE997" i="9"/>
  <c r="AC995" i="9"/>
  <c r="AF994" i="9"/>
  <c r="AA993" i="9"/>
  <c r="AD992" i="9"/>
  <c r="AG991" i="9"/>
  <c r="AB990" i="9"/>
  <c r="AE989" i="9"/>
  <c r="AC987" i="9"/>
  <c r="AF986" i="9"/>
  <c r="AA985" i="9"/>
  <c r="AD984" i="9"/>
  <c r="AG983" i="9"/>
  <c r="AB1051" i="9"/>
  <c r="AF1033" i="9"/>
  <c r="AA1025" i="9"/>
  <c r="AD1012" i="9"/>
  <c r="AB1009" i="9"/>
  <c r="AF1008" i="9"/>
  <c r="AA1005" i="9"/>
  <c r="AD1003" i="9"/>
  <c r="AE1001" i="9"/>
  <c r="AB1000" i="9"/>
  <c r="AA999" i="9"/>
  <c r="AA998" i="9"/>
  <c r="AD997" i="9"/>
  <c r="AG996" i="9"/>
  <c r="AB995" i="9"/>
  <c r="AE994" i="9"/>
  <c r="AC992" i="9"/>
  <c r="AF991" i="9"/>
  <c r="AA990" i="9"/>
  <c r="AD989" i="9"/>
  <c r="AG988" i="9"/>
  <c r="AB987" i="9"/>
  <c r="AE986" i="9"/>
  <c r="AC984" i="9"/>
  <c r="AD1039" i="9"/>
  <c r="AC1033" i="9"/>
  <c r="AF1017" i="9"/>
  <c r="AG1016" i="9"/>
  <c r="AB1012" i="9"/>
  <c r="AG1011" i="9"/>
  <c r="AE1008" i="9"/>
  <c r="AD1004" i="9"/>
  <c r="AB1003" i="9"/>
  <c r="AC1001" i="9"/>
  <c r="AA1000" i="9"/>
  <c r="AC997" i="9"/>
  <c r="AF996" i="9"/>
  <c r="AA995" i="9"/>
  <c r="AD994" i="9"/>
  <c r="AG993" i="9"/>
  <c r="AB992" i="9"/>
  <c r="AE991" i="9"/>
  <c r="AC989" i="9"/>
  <c r="AF988" i="9"/>
  <c r="AA987" i="9"/>
  <c r="AD986" i="9"/>
  <c r="AG985" i="9"/>
  <c r="AF1055" i="9"/>
  <c r="AE1035" i="9"/>
  <c r="AG1024" i="9"/>
  <c r="AC1022" i="9"/>
  <c r="AF1019" i="9"/>
  <c r="AC1018" i="9"/>
  <c r="AE1017" i="9"/>
  <c r="AD1016" i="9"/>
  <c r="AF1015" i="9"/>
  <c r="AA1012" i="9"/>
  <c r="AE1011" i="9"/>
  <c r="AB1004" i="9"/>
  <c r="AA1003" i="9"/>
  <c r="AG1002" i="9"/>
  <c r="AB1001" i="9"/>
  <c r="AB997" i="9"/>
  <c r="AE996" i="9"/>
  <c r="AC994" i="9"/>
  <c r="AF993" i="9"/>
  <c r="AA992" i="9"/>
  <c r="AD991" i="9"/>
  <c r="AG990" i="9"/>
  <c r="AB989" i="9"/>
  <c r="AE988" i="9"/>
  <c r="AC1076" i="9"/>
  <c r="AG1043" i="9"/>
  <c r="AC1007" i="9"/>
  <c r="AG1005" i="9"/>
  <c r="AE1002" i="9"/>
  <c r="AG1001" i="9"/>
  <c r="AE1000" i="9"/>
  <c r="AG999" i="9"/>
  <c r="AA996" i="9"/>
  <c r="AE995" i="9"/>
  <c r="AB988" i="9"/>
  <c r="AG987" i="9"/>
  <c r="AA983" i="9"/>
  <c r="AG981" i="9"/>
  <c r="AC979" i="9"/>
  <c r="AF978" i="9"/>
  <c r="AA977" i="9"/>
  <c r="AD976" i="9"/>
  <c r="AG975" i="9"/>
  <c r="AB974" i="9"/>
  <c r="AE973" i="9"/>
  <c r="AC971" i="9"/>
  <c r="AF970" i="9"/>
  <c r="AA969" i="9"/>
  <c r="AD968" i="9"/>
  <c r="AG967" i="9"/>
  <c r="AB966" i="9"/>
  <c r="AE965" i="9"/>
  <c r="AC963" i="9"/>
  <c r="AF962" i="9"/>
  <c r="AA961" i="9"/>
  <c r="AD960" i="9"/>
  <c r="AG959" i="9"/>
  <c r="AB958" i="9"/>
  <c r="AE957" i="9"/>
  <c r="AC955" i="9"/>
  <c r="AF954" i="9"/>
  <c r="AA953" i="9"/>
  <c r="AD952" i="9"/>
  <c r="AG951" i="9"/>
  <c r="AB950" i="9"/>
  <c r="AE949" i="9"/>
  <c r="AC947" i="9"/>
  <c r="AF946" i="9"/>
  <c r="AA945" i="9"/>
  <c r="AD944" i="9"/>
  <c r="AA1018" i="9"/>
  <c r="AG1013" i="9"/>
  <c r="AD1011" i="9"/>
  <c r="AE1009" i="9"/>
  <c r="AG1003" i="9"/>
  <c r="AC1002" i="9"/>
  <c r="AD1000" i="9"/>
  <c r="AE999" i="9"/>
  <c r="AG998" i="9"/>
  <c r="AD995" i="9"/>
  <c r="AC991" i="9"/>
  <c r="AA988" i="9"/>
  <c r="AE987" i="9"/>
  <c r="AF985" i="9"/>
  <c r="AG982" i="9"/>
  <c r="AF981" i="9"/>
  <c r="AG980" i="9"/>
  <c r="AC1055" i="9"/>
  <c r="AD1032" i="9"/>
  <c r="AA1026" i="9"/>
  <c r="AE1021" i="9"/>
  <c r="AD1015" i="9"/>
  <c r="AF1013" i="9"/>
  <c r="AB1002" i="9"/>
  <c r="AD999" i="9"/>
  <c r="AD998" i="9"/>
  <c r="AG994" i="9"/>
  <c r="AA991" i="9"/>
  <c r="AF990" i="9"/>
  <c r="AD987" i="9"/>
  <c r="AE985" i="9"/>
  <c r="AF984" i="9"/>
  <c r="AF982" i="9"/>
  <c r="AE981" i="9"/>
  <c r="AF980" i="9"/>
  <c r="AD1020" i="9"/>
  <c r="AC998" i="9"/>
  <c r="AG997" i="9"/>
  <c r="AB994" i="9"/>
  <c r="AD990" i="9"/>
  <c r="AC985" i="9"/>
  <c r="AE984" i="9"/>
  <c r="AD982" i="9"/>
  <c r="AD981" i="9"/>
  <c r="AE980" i="9"/>
  <c r="AC978" i="9"/>
  <c r="AF977" i="9"/>
  <c r="AA976" i="9"/>
  <c r="AD975" i="9"/>
  <c r="AG974" i="9"/>
  <c r="AB973" i="9"/>
  <c r="AE972" i="9"/>
  <c r="AC970" i="9"/>
  <c r="AF969" i="9"/>
  <c r="AA968" i="9"/>
  <c r="AD967" i="9"/>
  <c r="AG966" i="9"/>
  <c r="AB965" i="9"/>
  <c r="AE964" i="9"/>
  <c r="AC962" i="9"/>
  <c r="AF961" i="9"/>
  <c r="AA960" i="9"/>
  <c r="AD959" i="9"/>
  <c r="AG958" i="9"/>
  <c r="AB957" i="9"/>
  <c r="AE956" i="9"/>
  <c r="AC954" i="9"/>
  <c r="AF953" i="9"/>
  <c r="AA952" i="9"/>
  <c r="AD951" i="9"/>
  <c r="AG950" i="9"/>
  <c r="AB949" i="9"/>
  <c r="AE948" i="9"/>
  <c r="AC946" i="9"/>
  <c r="AF945" i="9"/>
  <c r="AD1006" i="9"/>
  <c r="AA1004" i="9"/>
  <c r="AF997" i="9"/>
  <c r="AE993" i="9"/>
  <c r="AC990" i="9"/>
  <c r="AG989" i="9"/>
  <c r="AG986" i="9"/>
  <c r="AB985" i="9"/>
  <c r="AB984" i="9"/>
  <c r="AF983" i="9"/>
  <c r="AC982" i="9"/>
  <c r="AC981" i="9"/>
  <c r="AD980" i="9"/>
  <c r="AG979" i="9"/>
  <c r="AB978" i="9"/>
  <c r="AE977" i="9"/>
  <c r="AC975" i="9"/>
  <c r="AF974" i="9"/>
  <c r="AA973" i="9"/>
  <c r="AD972" i="9"/>
  <c r="AG971" i="9"/>
  <c r="AB970" i="9"/>
  <c r="AE969" i="9"/>
  <c r="AC967" i="9"/>
  <c r="AF966" i="9"/>
  <c r="AA965" i="9"/>
  <c r="AD964" i="9"/>
  <c r="AG963" i="9"/>
  <c r="AB962" i="9"/>
  <c r="AE961" i="9"/>
  <c r="AC959" i="9"/>
  <c r="AF958" i="9"/>
  <c r="AA957" i="9"/>
  <c r="AD956" i="9"/>
  <c r="AG955" i="9"/>
  <c r="AB954" i="9"/>
  <c r="AE953" i="9"/>
  <c r="AC951" i="9"/>
  <c r="AF950" i="9"/>
  <c r="AA949" i="9"/>
  <c r="AD948" i="9"/>
  <c r="AG947" i="9"/>
  <c r="AB946" i="9"/>
  <c r="AE1024" i="9"/>
  <c r="AF1014" i="9"/>
  <c r="AB1010" i="9"/>
  <c r="AC1006" i="9"/>
  <c r="AA997" i="9"/>
  <c r="AC993" i="9"/>
  <c r="AF989" i="9"/>
  <c r="AC986" i="9"/>
  <c r="AA984" i="9"/>
  <c r="AE983" i="9"/>
  <c r="AB982" i="9"/>
  <c r="AB981" i="9"/>
  <c r="AC980" i="9"/>
  <c r="AF979" i="9"/>
  <c r="AA978" i="9"/>
  <c r="AD977" i="9"/>
  <c r="AG976" i="9"/>
  <c r="AB975" i="9"/>
  <c r="AE974" i="9"/>
  <c r="AC972" i="9"/>
  <c r="AF971" i="9"/>
  <c r="AA970" i="9"/>
  <c r="AD969" i="9"/>
  <c r="AG968" i="9"/>
  <c r="AB967" i="9"/>
  <c r="AE966" i="9"/>
  <c r="AC964" i="9"/>
  <c r="AF963" i="9"/>
  <c r="AA962" i="9"/>
  <c r="AD961" i="9"/>
  <c r="AG960" i="9"/>
  <c r="AB959" i="9"/>
  <c r="AE958" i="9"/>
  <c r="AC956" i="9"/>
  <c r="AF955" i="9"/>
  <c r="AA954" i="9"/>
  <c r="AD953" i="9"/>
  <c r="AG952" i="9"/>
  <c r="AB951" i="9"/>
  <c r="AE950" i="9"/>
  <c r="AC948" i="9"/>
  <c r="AF947" i="9"/>
  <c r="AA946" i="9"/>
  <c r="AD945" i="9"/>
  <c r="AG944" i="9"/>
  <c r="AD1019" i="9"/>
  <c r="AC1014" i="9"/>
  <c r="AD996" i="9"/>
  <c r="AB993" i="9"/>
  <c r="AF992" i="9"/>
  <c r="AA989" i="9"/>
  <c r="AB986" i="9"/>
  <c r="AD983" i="9"/>
  <c r="AA982" i="9"/>
  <c r="AA981" i="9"/>
  <c r="AB980" i="9"/>
  <c r="AE979" i="9"/>
  <c r="AC977" i="9"/>
  <c r="AF976" i="9"/>
  <c r="AA975" i="9"/>
  <c r="AD974" i="9"/>
  <c r="AG973" i="9"/>
  <c r="AB972" i="9"/>
  <c r="AE971" i="9"/>
  <c r="AC969" i="9"/>
  <c r="AF968" i="9"/>
  <c r="AA967" i="9"/>
  <c r="AD966" i="9"/>
  <c r="AG965" i="9"/>
  <c r="AB964" i="9"/>
  <c r="AE963" i="9"/>
  <c r="AC961" i="9"/>
  <c r="AF960" i="9"/>
  <c r="AA959" i="9"/>
  <c r="AD958" i="9"/>
  <c r="AG957" i="9"/>
  <c r="AB956" i="9"/>
  <c r="AE955" i="9"/>
  <c r="AC953" i="9"/>
  <c r="AF952" i="9"/>
  <c r="AA951" i="9"/>
  <c r="AD950" i="9"/>
  <c r="AG949" i="9"/>
  <c r="AB948" i="9"/>
  <c r="AE947" i="9"/>
  <c r="AC945" i="9"/>
  <c r="AC1047" i="9"/>
  <c r="AE992" i="9"/>
  <c r="AD979" i="9"/>
  <c r="AB976" i="9"/>
  <c r="AF975" i="9"/>
  <c r="AA972" i="9"/>
  <c r="AC968" i="9"/>
  <c r="AF964" i="9"/>
  <c r="AE960" i="9"/>
  <c r="AC957" i="9"/>
  <c r="AG956" i="9"/>
  <c r="AB953" i="9"/>
  <c r="AD949" i="9"/>
  <c r="AA943" i="9"/>
  <c r="AE1034" i="9"/>
  <c r="AA979" i="9"/>
  <c r="AE978" i="9"/>
  <c r="AB971" i="9"/>
  <c r="AG970" i="9"/>
  <c r="AE967" i="9"/>
  <c r="AD963" i="9"/>
  <c r="AB960" i="9"/>
  <c r="AF959" i="9"/>
  <c r="AA956" i="9"/>
  <c r="AC952" i="9"/>
  <c r="AF948" i="9"/>
  <c r="AE945" i="9"/>
  <c r="AE944" i="9"/>
  <c r="AG943" i="9"/>
  <c r="AG995" i="9"/>
  <c r="AG977" i="9"/>
  <c r="AA974" i="9"/>
  <c r="AF973" i="9"/>
  <c r="AD970" i="9"/>
  <c r="AC966" i="9"/>
  <c r="AA963" i="9"/>
  <c r="AE962" i="9"/>
  <c r="AB955" i="9"/>
  <c r="AG954" i="9"/>
  <c r="AE951" i="9"/>
  <c r="AD947" i="9"/>
  <c r="AB944" i="9"/>
  <c r="AE943" i="9"/>
  <c r="AC941" i="9"/>
  <c r="AF940" i="9"/>
  <c r="AA939" i="9"/>
  <c r="AD938" i="9"/>
  <c r="AG937" i="9"/>
  <c r="AB936" i="9"/>
  <c r="AE935" i="9"/>
  <c r="AC933" i="9"/>
  <c r="AF932" i="9"/>
  <c r="AA931" i="9"/>
  <c r="AD930" i="9"/>
  <c r="AG929" i="9"/>
  <c r="AB928" i="9"/>
  <c r="AE927" i="9"/>
  <c r="AC925" i="9"/>
  <c r="AF924" i="9"/>
  <c r="AA923" i="9"/>
  <c r="AD922" i="9"/>
  <c r="AG921" i="9"/>
  <c r="AB920" i="9"/>
  <c r="AE919" i="9"/>
  <c r="AC917" i="9"/>
  <c r="AF916" i="9"/>
  <c r="AA915" i="9"/>
  <c r="AD914" i="9"/>
  <c r="AG913" i="9"/>
  <c r="AB912" i="9"/>
  <c r="AE911" i="9"/>
  <c r="AC1016" i="9"/>
  <c r="AD988" i="9"/>
  <c r="AB977" i="9"/>
  <c r="AD973" i="9"/>
  <c r="AG969" i="9"/>
  <c r="AA966" i="9"/>
  <c r="AF965" i="9"/>
  <c r="AD962" i="9"/>
  <c r="AC958" i="9"/>
  <c r="AA955" i="9"/>
  <c r="AE954" i="9"/>
  <c r="AB947" i="9"/>
  <c r="AG946" i="9"/>
  <c r="AA944" i="9"/>
  <c r="AD943" i="9"/>
  <c r="AG942" i="9"/>
  <c r="AB941" i="9"/>
  <c r="AE940" i="9"/>
  <c r="AC938" i="9"/>
  <c r="AF937" i="9"/>
  <c r="AA936" i="9"/>
  <c r="AD935" i="9"/>
  <c r="AG934" i="9"/>
  <c r="AB933" i="9"/>
  <c r="AE932" i="9"/>
  <c r="AC930" i="9"/>
  <c r="AF929" i="9"/>
  <c r="AA928" i="9"/>
  <c r="AD927" i="9"/>
  <c r="AG926" i="9"/>
  <c r="AB925" i="9"/>
  <c r="AE924" i="9"/>
  <c r="AC922" i="9"/>
  <c r="AF921" i="9"/>
  <c r="AA920" i="9"/>
  <c r="AD919" i="9"/>
  <c r="AG918" i="9"/>
  <c r="AB917" i="9"/>
  <c r="AE916" i="9"/>
  <c r="AC914" i="9"/>
  <c r="AF913" i="9"/>
  <c r="AA912" i="9"/>
  <c r="AD911" i="9"/>
  <c r="AG910" i="9"/>
  <c r="AC983" i="9"/>
  <c r="AE976" i="9"/>
  <c r="AC973" i="9"/>
  <c r="AG972" i="9"/>
  <c r="AB969" i="9"/>
  <c r="AD965" i="9"/>
  <c r="AG961" i="9"/>
  <c r="AA958" i="9"/>
  <c r="AF957" i="9"/>
  <c r="AD954" i="9"/>
  <c r="AC950" i="9"/>
  <c r="AA947" i="9"/>
  <c r="AE946" i="9"/>
  <c r="AC943" i="9"/>
  <c r="AF942" i="9"/>
  <c r="AA941" i="9"/>
  <c r="AD940" i="9"/>
  <c r="AG939" i="9"/>
  <c r="AB938" i="9"/>
  <c r="AE937" i="9"/>
  <c r="AC935" i="9"/>
  <c r="AF934" i="9"/>
  <c r="AA933" i="9"/>
  <c r="AD932" i="9"/>
  <c r="AG931" i="9"/>
  <c r="AB930" i="9"/>
  <c r="AE929" i="9"/>
  <c r="AC927" i="9"/>
  <c r="AF926" i="9"/>
  <c r="AA925" i="9"/>
  <c r="AD924" i="9"/>
  <c r="AG923" i="9"/>
  <c r="AB922" i="9"/>
  <c r="AE921" i="9"/>
  <c r="AC919" i="9"/>
  <c r="AF918" i="9"/>
  <c r="AA917" i="9"/>
  <c r="AD916" i="9"/>
  <c r="AG915" i="9"/>
  <c r="AB914" i="9"/>
  <c r="AE913" i="9"/>
  <c r="AC911" i="9"/>
  <c r="AF910" i="9"/>
  <c r="AF967" i="9"/>
  <c r="AC965" i="9"/>
  <c r="AB963" i="9"/>
  <c r="AG948" i="9"/>
  <c r="AD946" i="9"/>
  <c r="AE942" i="9"/>
  <c r="AG941" i="9"/>
  <c r="AA937" i="9"/>
  <c r="AC936" i="9"/>
  <c r="AB935" i="9"/>
  <c r="AD934" i="9"/>
  <c r="AF933" i="9"/>
  <c r="AA927" i="9"/>
  <c r="AC926" i="9"/>
  <c r="AE925" i="9"/>
  <c r="AG924" i="9"/>
  <c r="AF923" i="9"/>
  <c r="AB918" i="9"/>
  <c r="AD917" i="9"/>
  <c r="AC916" i="9"/>
  <c r="AE915" i="9"/>
  <c r="AG914" i="9"/>
  <c r="AA910" i="9"/>
  <c r="AC909" i="9"/>
  <c r="AF908" i="9"/>
  <c r="AA907" i="9"/>
  <c r="AD906" i="9"/>
  <c r="AG905" i="9"/>
  <c r="AB904" i="9"/>
  <c r="AE903" i="9"/>
  <c r="AC901" i="9"/>
  <c r="AF900" i="9"/>
  <c r="AA899" i="9"/>
  <c r="AD898" i="9"/>
  <c r="AG897" i="9"/>
  <c r="AB896" i="9"/>
  <c r="AE895" i="9"/>
  <c r="AC893" i="9"/>
  <c r="AF892" i="9"/>
  <c r="AA891" i="9"/>
  <c r="AD890" i="9"/>
  <c r="AG889" i="9"/>
  <c r="AB888" i="9"/>
  <c r="AE887" i="9"/>
  <c r="AC885" i="9"/>
  <c r="AD971" i="9"/>
  <c r="AE952" i="9"/>
  <c r="AA950" i="9"/>
  <c r="AA948" i="9"/>
  <c r="AD942" i="9"/>
  <c r="AF941" i="9"/>
  <c r="AE975" i="9"/>
  <c r="AA971" i="9"/>
  <c r="AF956" i="9"/>
  <c r="AB952" i="9"/>
  <c r="AF944" i="9"/>
  <c r="AC942" i="9"/>
  <c r="AE941" i="9"/>
  <c r="AG940" i="9"/>
  <c r="AB979" i="9"/>
  <c r="AG964" i="9"/>
  <c r="AG962" i="9"/>
  <c r="AC960" i="9"/>
  <c r="AC944" i="9"/>
  <c r="AB942" i="9"/>
  <c r="AD941" i="9"/>
  <c r="AC940" i="9"/>
  <c r="AE939" i="9"/>
  <c r="AG938" i="9"/>
  <c r="AA934" i="9"/>
  <c r="AB932" i="9"/>
  <c r="AD931" i="9"/>
  <c r="AF930" i="9"/>
  <c r="AG928" i="9"/>
  <c r="AA924" i="9"/>
  <c r="AC923" i="9"/>
  <c r="AE922" i="9"/>
  <c r="AD921" i="9"/>
  <c r="AF920" i="9"/>
  <c r="AB915" i="9"/>
  <c r="AA914" i="9"/>
  <c r="AC913" i="9"/>
  <c r="AE912" i="9"/>
  <c r="AG911" i="9"/>
  <c r="AC908" i="9"/>
  <c r="AF907" i="9"/>
  <c r="AA906" i="9"/>
  <c r="AD905" i="9"/>
  <c r="AG904" i="9"/>
  <c r="AB903" i="9"/>
  <c r="AE902" i="9"/>
  <c r="AC900" i="9"/>
  <c r="AF899" i="9"/>
  <c r="AA898" i="9"/>
  <c r="AD897" i="9"/>
  <c r="AG896" i="9"/>
  <c r="AB895" i="9"/>
  <c r="AE894" i="9"/>
  <c r="AC892" i="9"/>
  <c r="AF891" i="9"/>
  <c r="AA890" i="9"/>
  <c r="AD889" i="9"/>
  <c r="AG888" i="9"/>
  <c r="AB887" i="9"/>
  <c r="AE886" i="9"/>
  <c r="AE968" i="9"/>
  <c r="AA964" i="9"/>
  <c r="AF949" i="9"/>
  <c r="AG945" i="9"/>
  <c r="AF943" i="9"/>
  <c r="AA942" i="9"/>
  <c r="AB940" i="9"/>
  <c r="AD939" i="9"/>
  <c r="AF938" i="9"/>
  <c r="AG936" i="9"/>
  <c r="AA932" i="9"/>
  <c r="AC931" i="9"/>
  <c r="AE930" i="9"/>
  <c r="AD929" i="9"/>
  <c r="AF928" i="9"/>
  <c r="AB923" i="9"/>
  <c r="AA922" i="9"/>
  <c r="AC921" i="9"/>
  <c r="AE920" i="9"/>
  <c r="AG919" i="9"/>
  <c r="AB913" i="9"/>
  <c r="AD912" i="9"/>
  <c r="AF911" i="9"/>
  <c r="AE910" i="9"/>
  <c r="AG909" i="9"/>
  <c r="AB908" i="9"/>
  <c r="AE907" i="9"/>
  <c r="AC905" i="9"/>
  <c r="AF904" i="9"/>
  <c r="AA903" i="9"/>
  <c r="AD902" i="9"/>
  <c r="AG901" i="9"/>
  <c r="AB900" i="9"/>
  <c r="AE899" i="9"/>
  <c r="AC897" i="9"/>
  <c r="AF896" i="9"/>
  <c r="AA895" i="9"/>
  <c r="AD894" i="9"/>
  <c r="AG893" i="9"/>
  <c r="AB892" i="9"/>
  <c r="AE891" i="9"/>
  <c r="AC889" i="9"/>
  <c r="AF888" i="9"/>
  <c r="AB996" i="9"/>
  <c r="AF972" i="9"/>
  <c r="AE970" i="9"/>
  <c r="AB968" i="9"/>
  <c r="AG953" i="9"/>
  <c r="AF951" i="9"/>
  <c r="AC949" i="9"/>
  <c r="AB945" i="9"/>
  <c r="AB943" i="9"/>
  <c r="AA940" i="9"/>
  <c r="AC939" i="9"/>
  <c r="AE938" i="9"/>
  <c r="AD937" i="9"/>
  <c r="AF936" i="9"/>
  <c r="AB931" i="9"/>
  <c r="AA930" i="9"/>
  <c r="AC929" i="9"/>
  <c r="AE928" i="9"/>
  <c r="AG927" i="9"/>
  <c r="AB921" i="9"/>
  <c r="AD920" i="9"/>
  <c r="AF919" i="9"/>
  <c r="AE918" i="9"/>
  <c r="AG917" i="9"/>
  <c r="AA913" i="9"/>
  <c r="AC912" i="9"/>
  <c r="AB911" i="9"/>
  <c r="AD910" i="9"/>
  <c r="AF909" i="9"/>
  <c r="AA908" i="9"/>
  <c r="AD907" i="9"/>
  <c r="AG906" i="9"/>
  <c r="AB905" i="9"/>
  <c r="AE904" i="9"/>
  <c r="AC902" i="9"/>
  <c r="AF901" i="9"/>
  <c r="AA900" i="9"/>
  <c r="AD899" i="9"/>
  <c r="AG898" i="9"/>
  <c r="AB897" i="9"/>
  <c r="AE896" i="9"/>
  <c r="AC894" i="9"/>
  <c r="AF893" i="9"/>
  <c r="AA892" i="9"/>
  <c r="AD891" i="9"/>
  <c r="AG890" i="9"/>
  <c r="AG978" i="9"/>
  <c r="AC976" i="9"/>
  <c r="AC974" i="9"/>
  <c r="AD957" i="9"/>
  <c r="AD955" i="9"/>
  <c r="AB939" i="9"/>
  <c r="AA938" i="9"/>
  <c r="AC937" i="9"/>
  <c r="AE936" i="9"/>
  <c r="AG935" i="9"/>
  <c r="AB929" i="9"/>
  <c r="AD928" i="9"/>
  <c r="AF927" i="9"/>
  <c r="AE926" i="9"/>
  <c r="AG925" i="9"/>
  <c r="AA921" i="9"/>
  <c r="AC920" i="9"/>
  <c r="AB919" i="9"/>
  <c r="AD918" i="9"/>
  <c r="AF917" i="9"/>
  <c r="AA911" i="9"/>
  <c r="AC910" i="9"/>
  <c r="AE909" i="9"/>
  <c r="AC907" i="9"/>
  <c r="AF906" i="9"/>
  <c r="AA905" i="9"/>
  <c r="AD904" i="9"/>
  <c r="AG903" i="9"/>
  <c r="AB902" i="9"/>
  <c r="AE901" i="9"/>
  <c r="AC899" i="9"/>
  <c r="AF898" i="9"/>
  <c r="AA897" i="9"/>
  <c r="AD896" i="9"/>
  <c r="AG895" i="9"/>
  <c r="AB894" i="9"/>
  <c r="AE893" i="9"/>
  <c r="AA980" i="9"/>
  <c r="AD978" i="9"/>
  <c r="AB961" i="9"/>
  <c r="AD936" i="9"/>
  <c r="AE959" i="9"/>
  <c r="AB937" i="9"/>
  <c r="AG933" i="9"/>
  <c r="AC932" i="9"/>
  <c r="AE923" i="9"/>
  <c r="AC918" i="9"/>
  <c r="AD913" i="9"/>
  <c r="AC906" i="9"/>
  <c r="AF902" i="9"/>
  <c r="AE898" i="9"/>
  <c r="AC895" i="9"/>
  <c r="AG894" i="9"/>
  <c r="AC891" i="9"/>
  <c r="AA889" i="9"/>
  <c r="AC888" i="9"/>
  <c r="AF887" i="9"/>
  <c r="AA886" i="9"/>
  <c r="AA884" i="9"/>
  <c r="AD883" i="9"/>
  <c r="AG882" i="9"/>
  <c r="AB881" i="9"/>
  <c r="AE880" i="9"/>
  <c r="AC878" i="9"/>
  <c r="AF877" i="9"/>
  <c r="AA876" i="9"/>
  <c r="AD875" i="9"/>
  <c r="AG874" i="9"/>
  <c r="AB873" i="9"/>
  <c r="AE872" i="9"/>
  <c r="AC870" i="9"/>
  <c r="AF869" i="9"/>
  <c r="AA868" i="9"/>
  <c r="AD867" i="9"/>
  <c r="AG866" i="9"/>
  <c r="AB865" i="9"/>
  <c r="AE864" i="9"/>
  <c r="AC862" i="9"/>
  <c r="AF861" i="9"/>
  <c r="AA860" i="9"/>
  <c r="AD859" i="9"/>
  <c r="AG858" i="9"/>
  <c r="AB857" i="9"/>
  <c r="AE856" i="9"/>
  <c r="AC854" i="9"/>
  <c r="AE933" i="9"/>
  <c r="AC928" i="9"/>
  <c r="AD923" i="9"/>
  <c r="AA918" i="9"/>
  <c r="AF914" i="9"/>
  <c r="AD909" i="9"/>
  <c r="AB906" i="9"/>
  <c r="AF905" i="9"/>
  <c r="AA902" i="9"/>
  <c r="AC898" i="9"/>
  <c r="AF894" i="9"/>
  <c r="AB891" i="9"/>
  <c r="AA888" i="9"/>
  <c r="AD887" i="9"/>
  <c r="AC883" i="9"/>
  <c r="AF882" i="9"/>
  <c r="AA881" i="9"/>
  <c r="AD880" i="9"/>
  <c r="AG879" i="9"/>
  <c r="AB878" i="9"/>
  <c r="AE877" i="9"/>
  <c r="AC875" i="9"/>
  <c r="AF874" i="9"/>
  <c r="AA873" i="9"/>
  <c r="AD872" i="9"/>
  <c r="AG871" i="9"/>
  <c r="AB870" i="9"/>
  <c r="AE869" i="9"/>
  <c r="AC867" i="9"/>
  <c r="AF866" i="9"/>
  <c r="AA865" i="9"/>
  <c r="AD864" i="9"/>
  <c r="AG863" i="9"/>
  <c r="AB862" i="9"/>
  <c r="AE861" i="9"/>
  <c r="AC859" i="9"/>
  <c r="AF858" i="9"/>
  <c r="AA857" i="9"/>
  <c r="AD856" i="9"/>
  <c r="AG855" i="9"/>
  <c r="AB854" i="9"/>
  <c r="AE934" i="9"/>
  <c r="AD933" i="9"/>
  <c r="AC924" i="9"/>
  <c r="AA919" i="9"/>
  <c r="AF915" i="9"/>
  <c r="AE914" i="9"/>
  <c r="AB909" i="9"/>
  <c r="AG908" i="9"/>
  <c r="AE905" i="9"/>
  <c r="AD901" i="9"/>
  <c r="AB898" i="9"/>
  <c r="AF897" i="9"/>
  <c r="AA894" i="9"/>
  <c r="AC887" i="9"/>
  <c r="AG885" i="9"/>
  <c r="AG884" i="9"/>
  <c r="AB883" i="9"/>
  <c r="AE882" i="9"/>
  <c r="AC880" i="9"/>
  <c r="AF879" i="9"/>
  <c r="AA878" i="9"/>
  <c r="AD877" i="9"/>
  <c r="AG876" i="9"/>
  <c r="AB875" i="9"/>
  <c r="AE874" i="9"/>
  <c r="AC872" i="9"/>
  <c r="AF871" i="9"/>
  <c r="AA870" i="9"/>
  <c r="AD869" i="9"/>
  <c r="AG868" i="9"/>
  <c r="AB867" i="9"/>
  <c r="AE866" i="9"/>
  <c r="AC864" i="9"/>
  <c r="AF863" i="9"/>
  <c r="AA862" i="9"/>
  <c r="AD861" i="9"/>
  <c r="AG860" i="9"/>
  <c r="AB859" i="9"/>
  <c r="AE858" i="9"/>
  <c r="AC856" i="9"/>
  <c r="AF855" i="9"/>
  <c r="AA854" i="9"/>
  <c r="AF925" i="9"/>
  <c r="AD915" i="9"/>
  <c r="AC904" i="9"/>
  <c r="AC903" i="9"/>
  <c r="AG900" i="9"/>
  <c r="AG899" i="9"/>
  <c r="AE888" i="9"/>
  <c r="AD886" i="9"/>
  <c r="AB885" i="9"/>
  <c r="AB884" i="9"/>
  <c r="AA883" i="9"/>
  <c r="AC882" i="9"/>
  <c r="AE881" i="9"/>
  <c r="AG880" i="9"/>
  <c r="AB874" i="9"/>
  <c r="AD873" i="9"/>
  <c r="AF872" i="9"/>
  <c r="AE871" i="9"/>
  <c r="AG870" i="9"/>
  <c r="AA866" i="9"/>
  <c r="AC865" i="9"/>
  <c r="AB864" i="9"/>
  <c r="AD863" i="9"/>
  <c r="AF862" i="9"/>
  <c r="AA856" i="9"/>
  <c r="AC855" i="9"/>
  <c r="AE854" i="9"/>
  <c r="AB853" i="9"/>
  <c r="AE852" i="9"/>
  <c r="AC850" i="9"/>
  <c r="AF849" i="9"/>
  <c r="AA848" i="9"/>
  <c r="AD847" i="9"/>
  <c r="AG846" i="9"/>
  <c r="AB845" i="9"/>
  <c r="AE844" i="9"/>
  <c r="AC842" i="9"/>
  <c r="AF841" i="9"/>
  <c r="AA840" i="9"/>
  <c r="AD839" i="9"/>
  <c r="AG838" i="9"/>
  <c r="AB837" i="9"/>
  <c r="AE836" i="9"/>
  <c r="AC834" i="9"/>
  <c r="AF833" i="9"/>
  <c r="AA832" i="9"/>
  <c r="AD831" i="9"/>
  <c r="AG830" i="9"/>
  <c r="AB829" i="9"/>
  <c r="AE828" i="9"/>
  <c r="AC826" i="9"/>
  <c r="AF825" i="9"/>
  <c r="AA824" i="9"/>
  <c r="AD823" i="9"/>
  <c r="AG822" i="9"/>
  <c r="AB821" i="9"/>
  <c r="AE820" i="9"/>
  <c r="AC818" i="9"/>
  <c r="AF935" i="9"/>
  <c r="AF931" i="9"/>
  <c r="AA929" i="9"/>
  <c r="AD925" i="9"/>
  <c r="AE917" i="9"/>
  <c r="AC915" i="9"/>
  <c r="AA909" i="9"/>
  <c r="AA904" i="9"/>
  <c r="AE900" i="9"/>
  <c r="AB899" i="9"/>
  <c r="AF895" i="9"/>
  <c r="AD888" i="9"/>
  <c r="AC886" i="9"/>
  <c r="AA885" i="9"/>
  <c r="AB882" i="9"/>
  <c r="AD881" i="9"/>
  <c r="AF880" i="9"/>
  <c r="AE879" i="9"/>
  <c r="AG878" i="9"/>
  <c r="AA874" i="9"/>
  <c r="AC873" i="9"/>
  <c r="AB872" i="9"/>
  <c r="AD871" i="9"/>
  <c r="AF870" i="9"/>
  <c r="AA864" i="9"/>
  <c r="AC863" i="9"/>
  <c r="AA935" i="9"/>
  <c r="AE931" i="9"/>
  <c r="AB927" i="9"/>
  <c r="AD900" i="9"/>
  <c r="AD895" i="9"/>
  <c r="AF890" i="9"/>
  <c r="AB886" i="9"/>
  <c r="AA882" i="9"/>
  <c r="AC881" i="9"/>
  <c r="AB880" i="9"/>
  <c r="AD879" i="9"/>
  <c r="AF878" i="9"/>
  <c r="AA872" i="9"/>
  <c r="AC871" i="9"/>
  <c r="AE870" i="9"/>
  <c r="AG869" i="9"/>
  <c r="AF868" i="9"/>
  <c r="AB863" i="9"/>
  <c r="AF939" i="9"/>
  <c r="AB901" i="9"/>
  <c r="AC896" i="9"/>
  <c r="AG892" i="9"/>
  <c r="AG891" i="9"/>
  <c r="AE890" i="9"/>
  <c r="AG887" i="9"/>
  <c r="AA880" i="9"/>
  <c r="AC879" i="9"/>
  <c r="AE878" i="9"/>
  <c r="AG877" i="9"/>
  <c r="AF876" i="9"/>
  <c r="AB871" i="9"/>
  <c r="AD870" i="9"/>
  <c r="AC869" i="9"/>
  <c r="AE868" i="9"/>
  <c r="AG867" i="9"/>
  <c r="AA863" i="9"/>
  <c r="AB861" i="9"/>
  <c r="AD860" i="9"/>
  <c r="AF859" i="9"/>
  <c r="AG857" i="9"/>
  <c r="AG853" i="9"/>
  <c r="AB852" i="9"/>
  <c r="AE851" i="9"/>
  <c r="AC849" i="9"/>
  <c r="AF848" i="9"/>
  <c r="AA847" i="9"/>
  <c r="AD846" i="9"/>
  <c r="AG845" i="9"/>
  <c r="AB844" i="9"/>
  <c r="AE843" i="9"/>
  <c r="AC841" i="9"/>
  <c r="AF840" i="9"/>
  <c r="AA839" i="9"/>
  <c r="AD838" i="9"/>
  <c r="AG837" i="9"/>
  <c r="AB836" i="9"/>
  <c r="AE835" i="9"/>
  <c r="AC833" i="9"/>
  <c r="AF832" i="9"/>
  <c r="AA831" i="9"/>
  <c r="AD830" i="9"/>
  <c r="AG829" i="9"/>
  <c r="AB828" i="9"/>
  <c r="AE827" i="9"/>
  <c r="AC825" i="9"/>
  <c r="AF824" i="9"/>
  <c r="AA823" i="9"/>
  <c r="AD822" i="9"/>
  <c r="AG920" i="9"/>
  <c r="AG916" i="9"/>
  <c r="AG912" i="9"/>
  <c r="AB910" i="9"/>
  <c r="AE906" i="9"/>
  <c r="AA901" i="9"/>
  <c r="AE897" i="9"/>
  <c r="AA896" i="9"/>
  <c r="AE892" i="9"/>
  <c r="AC890" i="9"/>
  <c r="AA887" i="9"/>
  <c r="AF884" i="9"/>
  <c r="AB879" i="9"/>
  <c r="AD878" i="9"/>
  <c r="AC877" i="9"/>
  <c r="AE876" i="9"/>
  <c r="AG875" i="9"/>
  <c r="AA871" i="9"/>
  <c r="AB869" i="9"/>
  <c r="AD868" i="9"/>
  <c r="AF867" i="9"/>
  <c r="AG865" i="9"/>
  <c r="AA861" i="9"/>
  <c r="AC860" i="9"/>
  <c r="AE859" i="9"/>
  <c r="AD858" i="9"/>
  <c r="AF857" i="9"/>
  <c r="AF853" i="9"/>
  <c r="AA852" i="9"/>
  <c r="AD851" i="9"/>
  <c r="AG850" i="9"/>
  <c r="AB849" i="9"/>
  <c r="AE848" i="9"/>
  <c r="AC846" i="9"/>
  <c r="AF845" i="9"/>
  <c r="AA844" i="9"/>
  <c r="AD843" i="9"/>
  <c r="AG842" i="9"/>
  <c r="AB841" i="9"/>
  <c r="AE840" i="9"/>
  <c r="AC838" i="9"/>
  <c r="AF837" i="9"/>
  <c r="AA836" i="9"/>
  <c r="AD835" i="9"/>
  <c r="AG834" i="9"/>
  <c r="AB833" i="9"/>
  <c r="AE832" i="9"/>
  <c r="AC830" i="9"/>
  <c r="AF829" i="9"/>
  <c r="AA828" i="9"/>
  <c r="AD827" i="9"/>
  <c r="AG826" i="9"/>
  <c r="AB825" i="9"/>
  <c r="AE824" i="9"/>
  <c r="AC822" i="9"/>
  <c r="AC934" i="9"/>
  <c r="AG930" i="9"/>
  <c r="AD926" i="9"/>
  <c r="AB924" i="9"/>
  <c r="AG922" i="9"/>
  <c r="AB916" i="9"/>
  <c r="AF912" i="9"/>
  <c r="AG907" i="9"/>
  <c r="AG902" i="9"/>
  <c r="AD893" i="9"/>
  <c r="AD892" i="9"/>
  <c r="AB890" i="9"/>
  <c r="AF889" i="9"/>
  <c r="AF885" i="9"/>
  <c r="AE884" i="9"/>
  <c r="AG883" i="9"/>
  <c r="AA879" i="9"/>
  <c r="AB877" i="9"/>
  <c r="AD876" i="9"/>
  <c r="AF875" i="9"/>
  <c r="AG873" i="9"/>
  <c r="AA869" i="9"/>
  <c r="AC868" i="9"/>
  <c r="AE867" i="9"/>
  <c r="AD866" i="9"/>
  <c r="AF865" i="9"/>
  <c r="AB860" i="9"/>
  <c r="AA859" i="9"/>
  <c r="AC858" i="9"/>
  <c r="AE857" i="9"/>
  <c r="AG856" i="9"/>
  <c r="AE853" i="9"/>
  <c r="AC851" i="9"/>
  <c r="AF850" i="9"/>
  <c r="AA849" i="9"/>
  <c r="AD848" i="9"/>
  <c r="AG847" i="9"/>
  <c r="AB846" i="9"/>
  <c r="AE845" i="9"/>
  <c r="AC843" i="9"/>
  <c r="AF842" i="9"/>
  <c r="AA841" i="9"/>
  <c r="AD840" i="9"/>
  <c r="AG839" i="9"/>
  <c r="AB838" i="9"/>
  <c r="AE837" i="9"/>
  <c r="AC835" i="9"/>
  <c r="AF834" i="9"/>
  <c r="AA833" i="9"/>
  <c r="AD832" i="9"/>
  <c r="AG831" i="9"/>
  <c r="AB830" i="9"/>
  <c r="AE829" i="9"/>
  <c r="AC827" i="9"/>
  <c r="AF826" i="9"/>
  <c r="AA825" i="9"/>
  <c r="AD824" i="9"/>
  <c r="AG823" i="9"/>
  <c r="AB822" i="9"/>
  <c r="AE821" i="9"/>
  <c r="AC819" i="9"/>
  <c r="AF818" i="9"/>
  <c r="AB934" i="9"/>
  <c r="AG932" i="9"/>
  <c r="AB926" i="9"/>
  <c r="AF922" i="9"/>
  <c r="AA916" i="9"/>
  <c r="AE908" i="9"/>
  <c r="AB907" i="9"/>
  <c r="AF903" i="9"/>
  <c r="AB893" i="9"/>
  <c r="AE889" i="9"/>
  <c r="AG886" i="9"/>
  <c r="AE885" i="9"/>
  <c r="AD884" i="9"/>
  <c r="AF883" i="9"/>
  <c r="AG881" i="9"/>
  <c r="AA877" i="9"/>
  <c r="AC876" i="9"/>
  <c r="AE875" i="9"/>
  <c r="AD874" i="9"/>
  <c r="AF873" i="9"/>
  <c r="AB868" i="9"/>
  <c r="AA867" i="9"/>
  <c r="AC866" i="9"/>
  <c r="AE865" i="9"/>
  <c r="AG864" i="9"/>
  <c r="AB858" i="9"/>
  <c r="AD857" i="9"/>
  <c r="AF856" i="9"/>
  <c r="AE855" i="9"/>
  <c r="AG854" i="9"/>
  <c r="AD853" i="9"/>
  <c r="AG852" i="9"/>
  <c r="AB851" i="9"/>
  <c r="AE850" i="9"/>
  <c r="AC848" i="9"/>
  <c r="AF847" i="9"/>
  <c r="AA846" i="9"/>
  <c r="AD845" i="9"/>
  <c r="AG844" i="9"/>
  <c r="AB843" i="9"/>
  <c r="AE842" i="9"/>
  <c r="AC840" i="9"/>
  <c r="AF839" i="9"/>
  <c r="AA838" i="9"/>
  <c r="AD837" i="9"/>
  <c r="AG836" i="9"/>
  <c r="AB835" i="9"/>
  <c r="AE834" i="9"/>
  <c r="AC832" i="9"/>
  <c r="AF831" i="9"/>
  <c r="AA830" i="9"/>
  <c r="AD829" i="9"/>
  <c r="AG828" i="9"/>
  <c r="AB827" i="9"/>
  <c r="AE826" i="9"/>
  <c r="AE883" i="9"/>
  <c r="AF864" i="9"/>
  <c r="AG859" i="9"/>
  <c r="AD854" i="9"/>
  <c r="AC853" i="9"/>
  <c r="AA850" i="9"/>
  <c r="AE849" i="9"/>
  <c r="AB842" i="9"/>
  <c r="AG841" i="9"/>
  <c r="AE838" i="9"/>
  <c r="AD834" i="9"/>
  <c r="AB831" i="9"/>
  <c r="AF830" i="9"/>
  <c r="AA827" i="9"/>
  <c r="AG824" i="9"/>
  <c r="AB823" i="9"/>
  <c r="AF820" i="9"/>
  <c r="AA819" i="9"/>
  <c r="AG818" i="9"/>
  <c r="AE817" i="9"/>
  <c r="AC815" i="9"/>
  <c r="AF814" i="9"/>
  <c r="AA813" i="9"/>
  <c r="AD812" i="9"/>
  <c r="AG811" i="9"/>
  <c r="AB810" i="9"/>
  <c r="AE809" i="9"/>
  <c r="AC807" i="9"/>
  <c r="AF806" i="9"/>
  <c r="AA805" i="9"/>
  <c r="AD804" i="9"/>
  <c r="AG803" i="9"/>
  <c r="AB802" i="9"/>
  <c r="AE801" i="9"/>
  <c r="AC799" i="9"/>
  <c r="AF798" i="9"/>
  <c r="AA797" i="9"/>
  <c r="AD796" i="9"/>
  <c r="AG795" i="9"/>
  <c r="AB794" i="9"/>
  <c r="AE793" i="9"/>
  <c r="AC791" i="9"/>
  <c r="AF790" i="9"/>
  <c r="AA789" i="9"/>
  <c r="AD788" i="9"/>
  <c r="AG787" i="9"/>
  <c r="AB786" i="9"/>
  <c r="AA875" i="9"/>
  <c r="AF860" i="9"/>
  <c r="AD855" i="9"/>
  <c r="AA853" i="9"/>
  <c r="AF852" i="9"/>
  <c r="AD849" i="9"/>
  <c r="AC845" i="9"/>
  <c r="AA842" i="9"/>
  <c r="AE841" i="9"/>
  <c r="AB834" i="9"/>
  <c r="AG833" i="9"/>
  <c r="AE830" i="9"/>
  <c r="AD826" i="9"/>
  <c r="AC824" i="9"/>
  <c r="AD820" i="9"/>
  <c r="AE818" i="9"/>
  <c r="AD817" i="9"/>
  <c r="AG816" i="9"/>
  <c r="AB815" i="9"/>
  <c r="AE814" i="9"/>
  <c r="AC812" i="9"/>
  <c r="AF811" i="9"/>
  <c r="AA810" i="9"/>
  <c r="AD809" i="9"/>
  <c r="AG808" i="9"/>
  <c r="AB807" i="9"/>
  <c r="AE806" i="9"/>
  <c r="AC804" i="9"/>
  <c r="AF803" i="9"/>
  <c r="AA802" i="9"/>
  <c r="AD801" i="9"/>
  <c r="AG800" i="9"/>
  <c r="AB799" i="9"/>
  <c r="AE798" i="9"/>
  <c r="AC796" i="9"/>
  <c r="AF795" i="9"/>
  <c r="AA794" i="9"/>
  <c r="AD793" i="9"/>
  <c r="AG792" i="9"/>
  <c r="AB791" i="9"/>
  <c r="AE790" i="9"/>
  <c r="AC788" i="9"/>
  <c r="AD903" i="9"/>
  <c r="AA893" i="9"/>
  <c r="AF886" i="9"/>
  <c r="AD882" i="9"/>
  <c r="AE863" i="9"/>
  <c r="AE860" i="9"/>
  <c r="AB855" i="9"/>
  <c r="AD852" i="9"/>
  <c r="AG848" i="9"/>
  <c r="AA845" i="9"/>
  <c r="AF844" i="9"/>
  <c r="AD841" i="9"/>
  <c r="AC837" i="9"/>
  <c r="AA834" i="9"/>
  <c r="AE833" i="9"/>
  <c r="AB826" i="9"/>
  <c r="AG825" i="9"/>
  <c r="AB824" i="9"/>
  <c r="AC820" i="9"/>
  <c r="AD818" i="9"/>
  <c r="AC817" i="9"/>
  <c r="AF816" i="9"/>
  <c r="AA815" i="9"/>
  <c r="AD814" i="9"/>
  <c r="AG813" i="9"/>
  <c r="AB812" i="9"/>
  <c r="AE811" i="9"/>
  <c r="AC809" i="9"/>
  <c r="AF808" i="9"/>
  <c r="AA807" i="9"/>
  <c r="AD806" i="9"/>
  <c r="AG805" i="9"/>
  <c r="AB804" i="9"/>
  <c r="AE803" i="9"/>
  <c r="AC801" i="9"/>
  <c r="AF800" i="9"/>
  <c r="AA799" i="9"/>
  <c r="AD798" i="9"/>
  <c r="AG797" i="9"/>
  <c r="AB796" i="9"/>
  <c r="AE795" i="9"/>
  <c r="AC793" i="9"/>
  <c r="AF792" i="9"/>
  <c r="AA791" i="9"/>
  <c r="AD790" i="9"/>
  <c r="AG789" i="9"/>
  <c r="AC874" i="9"/>
  <c r="AG861" i="9"/>
  <c r="AB856" i="9"/>
  <c r="AA855" i="9"/>
  <c r="AC852" i="9"/>
  <c r="AG851" i="9"/>
  <c r="AB848" i="9"/>
  <c r="AD844" i="9"/>
  <c r="AG840" i="9"/>
  <c r="AA837" i="9"/>
  <c r="AF836" i="9"/>
  <c r="AD833" i="9"/>
  <c r="AC829" i="9"/>
  <c r="AA826" i="9"/>
  <c r="AE825" i="9"/>
  <c r="AF822" i="9"/>
  <c r="AG821" i="9"/>
  <c r="AB820" i="9"/>
  <c r="AG819" i="9"/>
  <c r="AB818" i="9"/>
  <c r="AB817" i="9"/>
  <c r="AE816" i="9"/>
  <c r="AC814" i="9"/>
  <c r="AF813" i="9"/>
  <c r="AA812" i="9"/>
  <c r="AD811" i="9"/>
  <c r="AG810" i="9"/>
  <c r="AB809" i="9"/>
  <c r="AE808" i="9"/>
  <c r="AC806" i="9"/>
  <c r="AF805" i="9"/>
  <c r="AA804" i="9"/>
  <c r="AD803" i="9"/>
  <c r="AG802" i="9"/>
  <c r="AB801" i="9"/>
  <c r="AE800" i="9"/>
  <c r="AC798" i="9"/>
  <c r="AF797" i="9"/>
  <c r="AA796" i="9"/>
  <c r="AD795" i="9"/>
  <c r="AG794" i="9"/>
  <c r="AB793" i="9"/>
  <c r="AE792" i="9"/>
  <c r="AC790" i="9"/>
  <c r="AF789" i="9"/>
  <c r="AA788" i="9"/>
  <c r="AD885" i="9"/>
  <c r="AF881" i="9"/>
  <c r="AB866" i="9"/>
  <c r="AG862" i="9"/>
  <c r="AC861" i="9"/>
  <c r="AF851" i="9"/>
  <c r="AE847" i="9"/>
  <c r="AC844" i="9"/>
  <c r="AG843" i="9"/>
  <c r="AB840" i="9"/>
  <c r="AD836" i="9"/>
  <c r="AG832" i="9"/>
  <c r="AA829" i="9"/>
  <c r="AF828" i="9"/>
  <c r="AD825" i="9"/>
  <c r="AE822" i="9"/>
  <c r="AF821" i="9"/>
  <c r="AA820" i="9"/>
  <c r="AF819" i="9"/>
  <c r="AA818" i="9"/>
  <c r="AA817" i="9"/>
  <c r="AD816" i="9"/>
  <c r="AG815" i="9"/>
  <c r="AB814" i="9"/>
  <c r="AE813" i="9"/>
  <c r="AC811" i="9"/>
  <c r="AF810" i="9"/>
  <c r="AA809" i="9"/>
  <c r="AD808" i="9"/>
  <c r="AG807" i="9"/>
  <c r="AB806" i="9"/>
  <c r="AE805" i="9"/>
  <c r="AC803" i="9"/>
  <c r="AF802" i="9"/>
  <c r="AA801" i="9"/>
  <c r="AD800" i="9"/>
  <c r="AG799" i="9"/>
  <c r="AB798" i="9"/>
  <c r="AE797" i="9"/>
  <c r="AC795" i="9"/>
  <c r="AF794" i="9"/>
  <c r="AA793" i="9"/>
  <c r="AD792" i="9"/>
  <c r="AA926" i="9"/>
  <c r="AE873" i="9"/>
  <c r="AE862" i="9"/>
  <c r="AC857" i="9"/>
  <c r="AA851" i="9"/>
  <c r="AC847" i="9"/>
  <c r="AF843" i="9"/>
  <c r="AE839" i="9"/>
  <c r="AC836" i="9"/>
  <c r="AG835" i="9"/>
  <c r="AB832" i="9"/>
  <c r="AD828" i="9"/>
  <c r="AF823" i="9"/>
  <c r="AA822" i="9"/>
  <c r="AD821" i="9"/>
  <c r="AE819" i="9"/>
  <c r="AC816" i="9"/>
  <c r="AF815" i="9"/>
  <c r="AA814" i="9"/>
  <c r="AD813" i="9"/>
  <c r="AG812" i="9"/>
  <c r="AB811" i="9"/>
  <c r="AE810" i="9"/>
  <c r="AC808" i="9"/>
  <c r="AF807" i="9"/>
  <c r="AA806" i="9"/>
  <c r="AD805" i="9"/>
  <c r="AG804" i="9"/>
  <c r="AB803" i="9"/>
  <c r="AE802" i="9"/>
  <c r="AC800" i="9"/>
  <c r="AF799" i="9"/>
  <c r="AA798" i="9"/>
  <c r="AD797" i="9"/>
  <c r="AG796" i="9"/>
  <c r="AB795" i="9"/>
  <c r="AE794" i="9"/>
  <c r="AC792" i="9"/>
  <c r="AF791" i="9"/>
  <c r="AA790" i="9"/>
  <c r="AD789" i="9"/>
  <c r="AD908" i="9"/>
  <c r="AB889" i="9"/>
  <c r="AC884" i="9"/>
  <c r="AD865" i="9"/>
  <c r="AD862" i="9"/>
  <c r="AD850" i="9"/>
  <c r="AB847" i="9"/>
  <c r="AF846" i="9"/>
  <c r="AA843" i="9"/>
  <c r="AC839" i="9"/>
  <c r="AF835" i="9"/>
  <c r="AE831" i="9"/>
  <c r="AC828" i="9"/>
  <c r="AG827" i="9"/>
  <c r="AE823" i="9"/>
  <c r="AC821" i="9"/>
  <c r="AD819" i="9"/>
  <c r="AG817" i="9"/>
  <c r="AB816" i="9"/>
  <c r="AE815" i="9"/>
  <c r="AC813" i="9"/>
  <c r="AF812" i="9"/>
  <c r="AA811" i="9"/>
  <c r="AD810" i="9"/>
  <c r="AG809" i="9"/>
  <c r="AB808" i="9"/>
  <c r="AE807" i="9"/>
  <c r="AC805" i="9"/>
  <c r="AF804" i="9"/>
  <c r="AA803" i="9"/>
  <c r="AD802" i="9"/>
  <c r="AG801" i="9"/>
  <c r="AB800" i="9"/>
  <c r="AE799" i="9"/>
  <c r="AC797" i="9"/>
  <c r="AB876" i="9"/>
  <c r="AG872" i="9"/>
  <c r="AA858" i="9"/>
  <c r="AF854" i="9"/>
  <c r="AB850" i="9"/>
  <c r="AG849" i="9"/>
  <c r="AE846" i="9"/>
  <c r="AD842" i="9"/>
  <c r="AB839" i="9"/>
  <c r="AF838" i="9"/>
  <c r="AA835" i="9"/>
  <c r="AC831" i="9"/>
  <c r="AF827" i="9"/>
  <c r="AC823" i="9"/>
  <c r="AA821" i="9"/>
  <c r="AG820" i="9"/>
  <c r="AB819" i="9"/>
  <c r="AF817" i="9"/>
  <c r="AF809" i="9"/>
  <c r="AC802" i="9"/>
  <c r="AG793" i="9"/>
  <c r="AB792" i="9"/>
  <c r="AD791" i="9"/>
  <c r="AG788" i="9"/>
  <c r="AD787" i="9"/>
  <c r="AD786" i="9"/>
  <c r="AE785" i="9"/>
  <c r="AC783" i="9"/>
  <c r="AF782" i="9"/>
  <c r="AA781" i="9"/>
  <c r="AD780" i="9"/>
  <c r="AG779" i="9"/>
  <c r="AB778" i="9"/>
  <c r="AE777" i="9"/>
  <c r="AC775" i="9"/>
  <c r="AF774" i="9"/>
  <c r="AA773" i="9"/>
  <c r="AD772" i="9"/>
  <c r="AG771" i="9"/>
  <c r="AB770" i="9"/>
  <c r="AE769" i="9"/>
  <c r="AC767" i="9"/>
  <c r="AF766" i="9"/>
  <c r="AA765" i="9"/>
  <c r="AD764" i="9"/>
  <c r="AA816" i="9"/>
  <c r="AE804" i="9"/>
  <c r="AB797" i="9"/>
  <c r="AF793" i="9"/>
  <c r="AA792" i="9"/>
  <c r="AG790" i="9"/>
  <c r="AF788" i="9"/>
  <c r="AC787" i="9"/>
  <c r="AC786" i="9"/>
  <c r="AD785" i="9"/>
  <c r="AG784" i="9"/>
  <c r="AB783" i="9"/>
  <c r="AE782" i="9"/>
  <c r="AC780" i="9"/>
  <c r="AF779" i="9"/>
  <c r="AA778" i="9"/>
  <c r="AD777" i="9"/>
  <c r="AG776" i="9"/>
  <c r="AB775" i="9"/>
  <c r="AE774" i="9"/>
  <c r="AC772" i="9"/>
  <c r="AF771" i="9"/>
  <c r="AA770" i="9"/>
  <c r="AD769" i="9"/>
  <c r="AG768" i="9"/>
  <c r="AB767" i="9"/>
  <c r="AE766" i="9"/>
  <c r="AG806" i="9"/>
  <c r="AD799" i="9"/>
  <c r="AD794" i="9"/>
  <c r="AB790" i="9"/>
  <c r="AE788" i="9"/>
  <c r="AB787" i="9"/>
  <c r="AA786" i="9"/>
  <c r="AC785" i="9"/>
  <c r="AF784" i="9"/>
  <c r="AA783" i="9"/>
  <c r="AD782" i="9"/>
  <c r="AG781" i="9"/>
  <c r="AB780" i="9"/>
  <c r="AE779" i="9"/>
  <c r="AC777" i="9"/>
  <c r="AF776" i="9"/>
  <c r="AA775" i="9"/>
  <c r="AD774" i="9"/>
  <c r="AG773" i="9"/>
  <c r="AB772" i="9"/>
  <c r="AE771" i="9"/>
  <c r="AC769" i="9"/>
  <c r="AF768" i="9"/>
  <c r="AA767" i="9"/>
  <c r="AD815" i="9"/>
  <c r="AA808" i="9"/>
  <c r="AF796" i="9"/>
  <c r="AA795" i="9"/>
  <c r="AC789" i="9"/>
  <c r="AA785" i="9"/>
  <c r="AD784" i="9"/>
  <c r="AG783" i="9"/>
  <c r="AB782" i="9"/>
  <c r="AE781" i="9"/>
  <c r="AC779" i="9"/>
  <c r="AF778" i="9"/>
  <c r="AA777" i="9"/>
  <c r="AD776" i="9"/>
  <c r="AG775" i="9"/>
  <c r="AB774" i="9"/>
  <c r="AE773" i="9"/>
  <c r="AC771" i="9"/>
  <c r="AF770" i="9"/>
  <c r="AA769" i="9"/>
  <c r="AD768" i="9"/>
  <c r="AG767" i="9"/>
  <c r="AB766" i="9"/>
  <c r="AE765" i="9"/>
  <c r="AC810" i="9"/>
  <c r="AG798" i="9"/>
  <c r="AE796" i="9"/>
  <c r="AB789" i="9"/>
  <c r="AG786" i="9"/>
  <c r="AC784" i="9"/>
  <c r="AF783" i="9"/>
  <c r="AA782" i="9"/>
  <c r="AD781" i="9"/>
  <c r="AG780" i="9"/>
  <c r="AB779" i="9"/>
  <c r="AE778" i="9"/>
  <c r="AC776" i="9"/>
  <c r="AF775" i="9"/>
  <c r="AA774" i="9"/>
  <c r="AD773" i="9"/>
  <c r="AG772" i="9"/>
  <c r="AB771" i="9"/>
  <c r="AE812" i="9"/>
  <c r="AB805" i="9"/>
  <c r="AG791" i="9"/>
  <c r="AF787" i="9"/>
  <c r="AF786" i="9"/>
  <c r="AG785" i="9"/>
  <c r="AB784" i="9"/>
  <c r="AE783" i="9"/>
  <c r="AC781" i="9"/>
  <c r="AF780" i="9"/>
  <c r="AA779" i="9"/>
  <c r="AD778" i="9"/>
  <c r="AG777" i="9"/>
  <c r="AB776" i="9"/>
  <c r="AE775" i="9"/>
  <c r="AC773" i="9"/>
  <c r="AF772" i="9"/>
  <c r="AA771" i="9"/>
  <c r="AD770" i="9"/>
  <c r="AG769" i="9"/>
  <c r="AB768" i="9"/>
  <c r="AD807" i="9"/>
  <c r="AE787" i="9"/>
  <c r="AG782" i="9"/>
  <c r="AB781" i="9"/>
  <c r="AD775" i="9"/>
  <c r="AA768" i="9"/>
  <c r="AD766" i="9"/>
  <c r="AF765" i="9"/>
  <c r="AA763" i="9"/>
  <c r="AD762" i="9"/>
  <c r="AG761" i="9"/>
  <c r="AB760" i="9"/>
  <c r="AE759" i="9"/>
  <c r="AC757" i="9"/>
  <c r="AF756" i="9"/>
  <c r="AA755" i="9"/>
  <c r="AD754" i="9"/>
  <c r="AG753" i="9"/>
  <c r="AB752" i="9"/>
  <c r="AA787" i="9"/>
  <c r="AC782" i="9"/>
  <c r="AE776" i="9"/>
  <c r="AG770" i="9"/>
  <c r="AF767" i="9"/>
  <c r="AC766" i="9"/>
  <c r="AD765" i="9"/>
  <c r="AG764" i="9"/>
  <c r="AC762" i="9"/>
  <c r="AF761" i="9"/>
  <c r="AA760" i="9"/>
  <c r="AD759" i="9"/>
  <c r="AG758" i="9"/>
  <c r="AB757" i="9"/>
  <c r="AE756" i="9"/>
  <c r="AC754" i="9"/>
  <c r="AF753" i="9"/>
  <c r="AA752" i="9"/>
  <c r="AD751" i="9"/>
  <c r="AG750" i="9"/>
  <c r="AB749" i="9"/>
  <c r="AE748" i="9"/>
  <c r="AC746" i="9"/>
  <c r="AF745" i="9"/>
  <c r="AA744" i="9"/>
  <c r="AD743" i="9"/>
  <c r="AG742" i="9"/>
  <c r="AB741" i="9"/>
  <c r="AE740" i="9"/>
  <c r="AC738" i="9"/>
  <c r="AF737" i="9"/>
  <c r="AA736" i="9"/>
  <c r="AD735" i="9"/>
  <c r="AG734" i="9"/>
  <c r="AB733" i="9"/>
  <c r="AE732" i="9"/>
  <c r="AC730" i="9"/>
  <c r="AF729" i="9"/>
  <c r="AA728" i="9"/>
  <c r="AD727" i="9"/>
  <c r="AG726" i="9"/>
  <c r="AB725" i="9"/>
  <c r="AE724" i="9"/>
  <c r="AC722" i="9"/>
  <c r="AF721" i="9"/>
  <c r="AA720" i="9"/>
  <c r="AD719" i="9"/>
  <c r="AG814" i="9"/>
  <c r="AE791" i="9"/>
  <c r="AD783" i="9"/>
  <c r="AF777" i="9"/>
  <c r="AA776" i="9"/>
  <c r="AE770" i="9"/>
  <c r="AE767" i="9"/>
  <c r="AA766" i="9"/>
  <c r="AC765" i="9"/>
  <c r="AF764" i="9"/>
  <c r="AG763" i="9"/>
  <c r="AB762" i="9"/>
  <c r="AE761" i="9"/>
  <c r="AC759" i="9"/>
  <c r="AF758" i="9"/>
  <c r="AA757" i="9"/>
  <c r="AD756" i="9"/>
  <c r="AG755" i="9"/>
  <c r="AB754" i="9"/>
  <c r="AE753" i="9"/>
  <c r="AC751" i="9"/>
  <c r="AF750" i="9"/>
  <c r="AA749" i="9"/>
  <c r="AD748" i="9"/>
  <c r="AG747" i="9"/>
  <c r="AB746" i="9"/>
  <c r="AE745" i="9"/>
  <c r="AC743" i="9"/>
  <c r="AF742" i="9"/>
  <c r="AA741" i="9"/>
  <c r="AD740" i="9"/>
  <c r="AG739" i="9"/>
  <c r="AB738" i="9"/>
  <c r="AE737" i="9"/>
  <c r="AC735" i="9"/>
  <c r="AF734" i="9"/>
  <c r="AA733" i="9"/>
  <c r="AD732" i="9"/>
  <c r="AG731" i="9"/>
  <c r="AB730" i="9"/>
  <c r="AE729" i="9"/>
  <c r="AC727" i="9"/>
  <c r="AF726" i="9"/>
  <c r="AA725" i="9"/>
  <c r="AD724" i="9"/>
  <c r="AG723" i="9"/>
  <c r="AB813" i="9"/>
  <c r="AB788" i="9"/>
  <c r="AE784" i="9"/>
  <c r="AG778" i="9"/>
  <c r="AB777" i="9"/>
  <c r="AD771" i="9"/>
  <c r="AC770" i="9"/>
  <c r="AD767" i="9"/>
  <c r="AB765" i="9"/>
  <c r="AE764" i="9"/>
  <c r="AF763" i="9"/>
  <c r="AA762" i="9"/>
  <c r="AD761" i="9"/>
  <c r="AG760" i="9"/>
  <c r="AB759" i="9"/>
  <c r="AE758" i="9"/>
  <c r="AC756" i="9"/>
  <c r="AF755" i="9"/>
  <c r="AA754" i="9"/>
  <c r="AD753" i="9"/>
  <c r="AG752" i="9"/>
  <c r="AB751" i="9"/>
  <c r="AE750" i="9"/>
  <c r="AC748" i="9"/>
  <c r="AF747" i="9"/>
  <c r="AA746" i="9"/>
  <c r="AD745" i="9"/>
  <c r="AG744" i="9"/>
  <c r="AB743" i="9"/>
  <c r="AE742" i="9"/>
  <c r="AC740" i="9"/>
  <c r="AF739" i="9"/>
  <c r="AA738" i="9"/>
  <c r="AD737" i="9"/>
  <c r="AG736" i="9"/>
  <c r="AB735" i="9"/>
  <c r="AE734" i="9"/>
  <c r="AC732" i="9"/>
  <c r="AF731" i="9"/>
  <c r="AA730" i="9"/>
  <c r="AD729" i="9"/>
  <c r="AG728" i="9"/>
  <c r="AB727" i="9"/>
  <c r="AE726" i="9"/>
  <c r="AC724" i="9"/>
  <c r="AF723" i="9"/>
  <c r="AA722" i="9"/>
  <c r="AF785" i="9"/>
  <c r="AA784" i="9"/>
  <c r="AC778" i="9"/>
  <c r="AE772" i="9"/>
  <c r="AF769" i="9"/>
  <c r="AC764" i="9"/>
  <c r="AE763" i="9"/>
  <c r="AC761" i="9"/>
  <c r="AF760" i="9"/>
  <c r="AA759" i="9"/>
  <c r="AD758" i="9"/>
  <c r="AG757" i="9"/>
  <c r="AB756" i="9"/>
  <c r="AE755" i="9"/>
  <c r="AC753" i="9"/>
  <c r="AF752" i="9"/>
  <c r="AF801" i="9"/>
  <c r="AC794" i="9"/>
  <c r="AB785" i="9"/>
  <c r="AD779" i="9"/>
  <c r="AF773" i="9"/>
  <c r="AA772" i="9"/>
  <c r="AB769" i="9"/>
  <c r="AB764" i="9"/>
  <c r="AD763" i="9"/>
  <c r="AG762" i="9"/>
  <c r="AB761" i="9"/>
  <c r="AE760" i="9"/>
  <c r="AC758" i="9"/>
  <c r="AF757" i="9"/>
  <c r="AA756" i="9"/>
  <c r="AD755" i="9"/>
  <c r="AG754" i="9"/>
  <c r="AB753" i="9"/>
  <c r="AE752" i="9"/>
  <c r="AC750" i="9"/>
  <c r="AF749" i="9"/>
  <c r="AA748" i="9"/>
  <c r="AD747" i="9"/>
  <c r="AG746" i="9"/>
  <c r="AB745" i="9"/>
  <c r="AE744" i="9"/>
  <c r="AC742" i="9"/>
  <c r="AF741" i="9"/>
  <c r="AA740" i="9"/>
  <c r="AD739" i="9"/>
  <c r="AG738" i="9"/>
  <c r="AB737" i="9"/>
  <c r="AE736" i="9"/>
  <c r="AC734" i="9"/>
  <c r="AF733" i="9"/>
  <c r="AA732" i="9"/>
  <c r="AD731" i="9"/>
  <c r="AG730" i="9"/>
  <c r="AB729" i="9"/>
  <c r="AE728" i="9"/>
  <c r="AC726" i="9"/>
  <c r="AF725" i="9"/>
  <c r="AA724" i="9"/>
  <c r="AD723" i="9"/>
  <c r="AG722" i="9"/>
  <c r="AB721" i="9"/>
  <c r="AE720" i="9"/>
  <c r="AA800" i="9"/>
  <c r="AE786" i="9"/>
  <c r="AE780" i="9"/>
  <c r="AG774" i="9"/>
  <c r="AB773" i="9"/>
  <c r="AE768" i="9"/>
  <c r="AA764" i="9"/>
  <c r="AC763" i="9"/>
  <c r="AF762" i="9"/>
  <c r="AA761" i="9"/>
  <c r="AD760" i="9"/>
  <c r="AG759" i="9"/>
  <c r="AB758" i="9"/>
  <c r="AE757" i="9"/>
  <c r="AC755" i="9"/>
  <c r="AF754" i="9"/>
  <c r="AA753" i="9"/>
  <c r="AD752" i="9"/>
  <c r="AG751" i="9"/>
  <c r="AB750" i="9"/>
  <c r="AE749" i="9"/>
  <c r="AC747" i="9"/>
  <c r="AF746" i="9"/>
  <c r="AA745" i="9"/>
  <c r="AD744" i="9"/>
  <c r="AG743" i="9"/>
  <c r="AB742" i="9"/>
  <c r="AE741" i="9"/>
  <c r="AC739" i="9"/>
  <c r="AF738" i="9"/>
  <c r="AA737" i="9"/>
  <c r="AD736" i="9"/>
  <c r="AG735" i="9"/>
  <c r="AB734" i="9"/>
  <c r="AE733" i="9"/>
  <c r="AC731" i="9"/>
  <c r="AF730" i="9"/>
  <c r="AA729" i="9"/>
  <c r="AD728" i="9"/>
  <c r="AG727" i="9"/>
  <c r="AE789" i="9"/>
  <c r="AF781" i="9"/>
  <c r="AA780" i="9"/>
  <c r="AC774" i="9"/>
  <c r="AC768" i="9"/>
  <c r="AG766" i="9"/>
  <c r="AG765" i="9"/>
  <c r="AB763" i="9"/>
  <c r="AE762" i="9"/>
  <c r="AC760" i="9"/>
  <c r="AF759" i="9"/>
  <c r="AA758" i="9"/>
  <c r="AD757" i="9"/>
  <c r="AG756" i="9"/>
  <c r="AB755" i="9"/>
  <c r="AE754" i="9"/>
  <c r="AC752" i="9"/>
  <c r="AF751" i="9"/>
  <c r="AA750" i="9"/>
  <c r="AD749" i="9"/>
  <c r="AG748" i="9"/>
  <c r="AB747" i="9"/>
  <c r="AE746" i="9"/>
  <c r="AC744" i="9"/>
  <c r="AF743" i="9"/>
  <c r="AA742" i="9"/>
  <c r="AD741" i="9"/>
  <c r="AG740" i="9"/>
  <c r="AB739" i="9"/>
  <c r="AE738" i="9"/>
  <c r="AC736" i="9"/>
  <c r="AF735" i="9"/>
  <c r="AA734" i="9"/>
  <c r="AD733" i="9"/>
  <c r="AG732" i="9"/>
  <c r="AB731" i="9"/>
  <c r="AE730" i="9"/>
  <c r="AC728" i="9"/>
  <c r="AF727" i="9"/>
  <c r="AA726" i="9"/>
  <c r="AD725" i="9"/>
  <c r="AF748" i="9"/>
  <c r="AA747" i="9"/>
  <c r="AC741" i="9"/>
  <c r="AE735" i="9"/>
  <c r="AG729" i="9"/>
  <c r="AB728" i="9"/>
  <c r="AE725" i="9"/>
  <c r="AF722" i="9"/>
  <c r="AF720" i="9"/>
  <c r="AA719" i="9"/>
  <c r="AB718" i="9"/>
  <c r="AE717" i="9"/>
  <c r="AC715" i="9"/>
  <c r="AF714" i="9"/>
  <c r="AA713" i="9"/>
  <c r="AD712" i="9"/>
  <c r="AG711" i="9"/>
  <c r="AB710" i="9"/>
  <c r="AE709" i="9"/>
  <c r="AC707" i="9"/>
  <c r="AF706" i="9"/>
  <c r="AA705" i="9"/>
  <c r="AD704" i="9"/>
  <c r="AG749" i="9"/>
  <c r="AB748" i="9"/>
  <c r="AD742" i="9"/>
  <c r="AF736" i="9"/>
  <c r="AA735" i="9"/>
  <c r="AC729" i="9"/>
  <c r="AC725" i="9"/>
  <c r="AE722" i="9"/>
  <c r="AD720" i="9"/>
  <c r="AA718" i="9"/>
  <c r="AD717" i="9"/>
  <c r="AG716" i="9"/>
  <c r="AB715" i="9"/>
  <c r="AE714" i="9"/>
  <c r="AC712" i="9"/>
  <c r="AF711" i="9"/>
  <c r="AA710" i="9"/>
  <c r="AD709" i="9"/>
  <c r="AG708" i="9"/>
  <c r="AB707" i="9"/>
  <c r="AE706" i="9"/>
  <c r="AC704" i="9"/>
  <c r="AF703" i="9"/>
  <c r="AA702" i="9"/>
  <c r="AD701" i="9"/>
  <c r="AG700" i="9"/>
  <c r="AB699" i="9"/>
  <c r="AE698" i="9"/>
  <c r="AC696" i="9"/>
  <c r="AF695" i="9"/>
  <c r="AA694" i="9"/>
  <c r="AD693" i="9"/>
  <c r="AG692" i="9"/>
  <c r="AB691" i="9"/>
  <c r="AE690" i="9"/>
  <c r="AC688" i="9"/>
  <c r="AF687" i="9"/>
  <c r="AA686" i="9"/>
  <c r="AD685" i="9"/>
  <c r="AG684" i="9"/>
  <c r="AB683" i="9"/>
  <c r="AE682" i="9"/>
  <c r="AC680" i="9"/>
  <c r="AF679" i="9"/>
  <c r="AA678" i="9"/>
  <c r="AD677" i="9"/>
  <c r="AG676" i="9"/>
  <c r="AB675" i="9"/>
  <c r="AE674" i="9"/>
  <c r="AC672" i="9"/>
  <c r="AC749" i="9"/>
  <c r="AE743" i="9"/>
  <c r="AG737" i="9"/>
  <c r="AB736" i="9"/>
  <c r="AD730" i="9"/>
  <c r="AE723" i="9"/>
  <c r="AD722" i="9"/>
  <c r="AC720" i="9"/>
  <c r="AC717" i="9"/>
  <c r="AF716" i="9"/>
  <c r="AA715" i="9"/>
  <c r="AD714" i="9"/>
  <c r="AG713" i="9"/>
  <c r="AB712" i="9"/>
  <c r="AE711" i="9"/>
  <c r="AC709" i="9"/>
  <c r="AF708" i="9"/>
  <c r="AA707" i="9"/>
  <c r="AD706" i="9"/>
  <c r="AG705" i="9"/>
  <c r="AB704" i="9"/>
  <c r="AE703" i="9"/>
  <c r="AC701" i="9"/>
  <c r="AF700" i="9"/>
  <c r="AA699" i="9"/>
  <c r="AD698" i="9"/>
  <c r="AG697" i="9"/>
  <c r="AB696" i="9"/>
  <c r="AE695" i="9"/>
  <c r="AC693" i="9"/>
  <c r="AF692" i="9"/>
  <c r="AA691" i="9"/>
  <c r="AD690" i="9"/>
  <c r="AG689" i="9"/>
  <c r="AB688" i="9"/>
  <c r="AE687" i="9"/>
  <c r="AC685" i="9"/>
  <c r="AF684" i="9"/>
  <c r="AA683" i="9"/>
  <c r="AD682" i="9"/>
  <c r="AG681" i="9"/>
  <c r="AB680" i="9"/>
  <c r="AE679" i="9"/>
  <c r="AC677" i="9"/>
  <c r="AF676" i="9"/>
  <c r="AA675" i="9"/>
  <c r="AD750" i="9"/>
  <c r="AF744" i="9"/>
  <c r="AA743" i="9"/>
  <c r="AC737" i="9"/>
  <c r="AE731" i="9"/>
  <c r="AC723" i="9"/>
  <c r="AB722" i="9"/>
  <c r="AG721" i="9"/>
  <c r="AB720" i="9"/>
  <c r="AG719" i="9"/>
  <c r="AG718" i="9"/>
  <c r="AB717" i="9"/>
  <c r="AE716" i="9"/>
  <c r="AC714" i="9"/>
  <c r="AF713" i="9"/>
  <c r="AA712" i="9"/>
  <c r="AD711" i="9"/>
  <c r="AG710" i="9"/>
  <c r="AB709" i="9"/>
  <c r="AE708" i="9"/>
  <c r="AC706" i="9"/>
  <c r="AF705" i="9"/>
  <c r="AA704" i="9"/>
  <c r="AD703" i="9"/>
  <c r="AG702" i="9"/>
  <c r="AB701" i="9"/>
  <c r="AE700" i="9"/>
  <c r="AC698" i="9"/>
  <c r="AF697" i="9"/>
  <c r="AA696" i="9"/>
  <c r="AD695" i="9"/>
  <c r="AG694" i="9"/>
  <c r="AB693" i="9"/>
  <c r="AE692" i="9"/>
  <c r="AC690" i="9"/>
  <c r="AF689" i="9"/>
  <c r="AA688" i="9"/>
  <c r="AD687" i="9"/>
  <c r="AG686" i="9"/>
  <c r="AB685" i="9"/>
  <c r="AE684" i="9"/>
  <c r="AC682" i="9"/>
  <c r="AF681" i="9"/>
  <c r="AA680" i="9"/>
  <c r="AD679" i="9"/>
  <c r="AG678" i="9"/>
  <c r="AB677" i="9"/>
  <c r="AE676" i="9"/>
  <c r="AE751" i="9"/>
  <c r="AG745" i="9"/>
  <c r="AB744" i="9"/>
  <c r="AD738" i="9"/>
  <c r="AF732" i="9"/>
  <c r="AA731" i="9"/>
  <c r="AG724" i="9"/>
  <c r="AB723" i="9"/>
  <c r="AE721" i="9"/>
  <c r="AF719" i="9"/>
  <c r="AF718" i="9"/>
  <c r="AA717" i="9"/>
  <c r="AD716" i="9"/>
  <c r="AG715" i="9"/>
  <c r="AB714" i="9"/>
  <c r="AE713" i="9"/>
  <c r="AC711" i="9"/>
  <c r="AF710" i="9"/>
  <c r="AA709" i="9"/>
  <c r="AD708" i="9"/>
  <c r="AG707" i="9"/>
  <c r="AB706" i="9"/>
  <c r="AE705" i="9"/>
  <c r="AA751" i="9"/>
  <c r="AC745" i="9"/>
  <c r="AE739" i="9"/>
  <c r="AG733" i="9"/>
  <c r="AB732" i="9"/>
  <c r="AF724" i="9"/>
  <c r="AA723" i="9"/>
  <c r="AD721" i="9"/>
  <c r="AE719" i="9"/>
  <c r="AE718" i="9"/>
  <c r="AC716" i="9"/>
  <c r="AF715" i="9"/>
  <c r="AA714" i="9"/>
  <c r="AD713" i="9"/>
  <c r="AG712" i="9"/>
  <c r="AB711" i="9"/>
  <c r="AE710" i="9"/>
  <c r="AC708" i="9"/>
  <c r="AF707" i="9"/>
  <c r="AA706" i="9"/>
  <c r="AD705" i="9"/>
  <c r="AG704" i="9"/>
  <c r="AB703" i="9"/>
  <c r="AE702" i="9"/>
  <c r="AC700" i="9"/>
  <c r="AF699" i="9"/>
  <c r="AA698" i="9"/>
  <c r="AD697" i="9"/>
  <c r="AG696" i="9"/>
  <c r="AB695" i="9"/>
  <c r="AE694" i="9"/>
  <c r="AC692" i="9"/>
  <c r="AF691" i="9"/>
  <c r="AA690" i="9"/>
  <c r="AD689" i="9"/>
  <c r="AG688" i="9"/>
  <c r="AB687" i="9"/>
  <c r="AE686" i="9"/>
  <c r="AC684" i="9"/>
  <c r="AF683" i="9"/>
  <c r="AA682" i="9"/>
  <c r="AD681" i="9"/>
  <c r="AG680" i="9"/>
  <c r="AB679" i="9"/>
  <c r="AE678" i="9"/>
  <c r="AC676" i="9"/>
  <c r="AF675" i="9"/>
  <c r="AA674" i="9"/>
  <c r="AD673" i="9"/>
  <c r="AG672" i="9"/>
  <c r="AD746" i="9"/>
  <c r="AF740" i="9"/>
  <c r="AA739" i="9"/>
  <c r="AC733" i="9"/>
  <c r="AE727" i="9"/>
  <c r="AD726" i="9"/>
  <c r="AB724" i="9"/>
  <c r="AC721" i="9"/>
  <c r="AC719" i="9"/>
  <c r="AD718" i="9"/>
  <c r="AG717" i="9"/>
  <c r="AB716" i="9"/>
  <c r="AE715" i="9"/>
  <c r="AC713" i="9"/>
  <c r="AF712" i="9"/>
  <c r="AA711" i="9"/>
  <c r="AD710" i="9"/>
  <c r="AG709" i="9"/>
  <c r="AB708" i="9"/>
  <c r="AE707" i="9"/>
  <c r="AC705" i="9"/>
  <c r="AF704" i="9"/>
  <c r="AA703" i="9"/>
  <c r="AD702" i="9"/>
  <c r="AG701" i="9"/>
  <c r="AB700" i="9"/>
  <c r="AE699" i="9"/>
  <c r="AC697" i="9"/>
  <c r="AF696" i="9"/>
  <c r="AA695" i="9"/>
  <c r="AD694" i="9"/>
  <c r="AG693" i="9"/>
  <c r="AB692" i="9"/>
  <c r="AE691" i="9"/>
  <c r="AC689" i="9"/>
  <c r="AF688" i="9"/>
  <c r="AA687" i="9"/>
  <c r="AD686" i="9"/>
  <c r="AG685" i="9"/>
  <c r="AB684" i="9"/>
  <c r="AE683" i="9"/>
  <c r="AC681" i="9"/>
  <c r="AF680" i="9"/>
  <c r="AE747" i="9"/>
  <c r="AG741" i="9"/>
  <c r="AB740" i="9"/>
  <c r="AD734" i="9"/>
  <c r="AF728" i="9"/>
  <c r="AA727" i="9"/>
  <c r="AB726" i="9"/>
  <c r="AG725" i="9"/>
  <c r="AA721" i="9"/>
  <c r="AG720" i="9"/>
  <c r="AB719" i="9"/>
  <c r="AC718" i="9"/>
  <c r="AF717" i="9"/>
  <c r="AA716" i="9"/>
  <c r="AD715" i="9"/>
  <c r="AG714" i="9"/>
  <c r="AB713" i="9"/>
  <c r="AE712" i="9"/>
  <c r="AC710" i="9"/>
  <c r="AF709" i="9"/>
  <c r="AA708" i="9"/>
  <c r="AD707" i="9"/>
  <c r="AG706" i="9"/>
  <c r="AB705" i="9"/>
  <c r="AE704" i="9"/>
  <c r="AC702" i="9"/>
  <c r="AF701" i="9"/>
  <c r="AA700" i="9"/>
  <c r="AD699" i="9"/>
  <c r="AG698" i="9"/>
  <c r="AB697" i="9"/>
  <c r="AE696" i="9"/>
  <c r="AC694" i="9"/>
  <c r="AF693" i="9"/>
  <c r="AA692" i="9"/>
  <c r="AD691" i="9"/>
  <c r="AG690" i="9"/>
  <c r="AB689" i="9"/>
  <c r="AE688" i="9"/>
  <c r="AC686" i="9"/>
  <c r="AF685" i="9"/>
  <c r="AA684" i="9"/>
  <c r="AD683" i="9"/>
  <c r="AG682" i="9"/>
  <c r="AB681" i="9"/>
  <c r="AE680" i="9"/>
  <c r="AG699" i="9"/>
  <c r="AB698" i="9"/>
  <c r="AD692" i="9"/>
  <c r="AF686" i="9"/>
  <c r="AA685" i="9"/>
  <c r="AG679" i="9"/>
  <c r="AB678" i="9"/>
  <c r="AC675" i="9"/>
  <c r="AC674" i="9"/>
  <c r="AD672" i="9"/>
  <c r="AC671" i="9"/>
  <c r="AF670" i="9"/>
  <c r="AA669" i="9"/>
  <c r="AD668" i="9"/>
  <c r="AG667" i="9"/>
  <c r="AB666" i="9"/>
  <c r="AE665" i="9"/>
  <c r="AC663" i="9"/>
  <c r="AF662" i="9"/>
  <c r="AA661" i="9"/>
  <c r="AD660" i="9"/>
  <c r="AG659" i="9"/>
  <c r="AB658" i="9"/>
  <c r="AE657" i="9"/>
  <c r="AC655" i="9"/>
  <c r="AF654" i="9"/>
  <c r="AA653" i="9"/>
  <c r="AD652" i="9"/>
  <c r="AG651" i="9"/>
  <c r="AB650" i="9"/>
  <c r="AE649" i="9"/>
  <c r="AC647" i="9"/>
  <c r="AF646" i="9"/>
  <c r="AA645" i="9"/>
  <c r="AD644" i="9"/>
  <c r="AG643" i="9"/>
  <c r="AB642" i="9"/>
  <c r="AE641" i="9"/>
  <c r="AC639" i="9"/>
  <c r="AF638" i="9"/>
  <c r="AA637" i="9"/>
  <c r="AD636" i="9"/>
  <c r="AG635" i="9"/>
  <c r="AB634" i="9"/>
  <c r="AE633" i="9"/>
  <c r="AC631" i="9"/>
  <c r="AF630" i="9"/>
  <c r="AA629" i="9"/>
  <c r="AD628" i="9"/>
  <c r="AG627" i="9"/>
  <c r="AC699" i="9"/>
  <c r="AE693" i="9"/>
  <c r="AG687" i="9"/>
  <c r="AB686" i="9"/>
  <c r="AD680" i="9"/>
  <c r="AC679" i="9"/>
  <c r="AD676" i="9"/>
  <c r="AB674" i="9"/>
  <c r="AG673" i="9"/>
  <c r="AB672" i="9"/>
  <c r="AB671" i="9"/>
  <c r="AE670" i="9"/>
  <c r="AC668" i="9"/>
  <c r="AF667" i="9"/>
  <c r="AA666" i="9"/>
  <c r="AD665" i="9"/>
  <c r="AG664" i="9"/>
  <c r="AB663" i="9"/>
  <c r="AE662" i="9"/>
  <c r="AC660" i="9"/>
  <c r="AF659" i="9"/>
  <c r="AA658" i="9"/>
  <c r="AD657" i="9"/>
  <c r="AG656" i="9"/>
  <c r="AB655" i="9"/>
  <c r="AE654" i="9"/>
  <c r="AC652" i="9"/>
  <c r="AF651" i="9"/>
  <c r="AA650" i="9"/>
  <c r="AD649" i="9"/>
  <c r="AG648" i="9"/>
  <c r="AB647" i="9"/>
  <c r="AE646" i="9"/>
  <c r="AC644" i="9"/>
  <c r="AF643" i="9"/>
  <c r="AA642" i="9"/>
  <c r="AD641" i="9"/>
  <c r="AG640" i="9"/>
  <c r="AB639" i="9"/>
  <c r="AE638" i="9"/>
  <c r="AC636" i="9"/>
  <c r="AF635" i="9"/>
  <c r="AA634" i="9"/>
  <c r="AD633" i="9"/>
  <c r="AG632" i="9"/>
  <c r="AB631" i="9"/>
  <c r="AE630" i="9"/>
  <c r="AC628" i="9"/>
  <c r="AF627" i="9"/>
  <c r="AA626" i="9"/>
  <c r="AD625" i="9"/>
  <c r="AG624" i="9"/>
  <c r="AB623" i="9"/>
  <c r="AE622" i="9"/>
  <c r="AC620" i="9"/>
  <c r="AF619" i="9"/>
  <c r="AA618" i="9"/>
  <c r="AD617" i="9"/>
  <c r="AG616" i="9"/>
  <c r="AB615" i="9"/>
  <c r="AE614" i="9"/>
  <c r="AC612" i="9"/>
  <c r="AF611" i="9"/>
  <c r="AA610" i="9"/>
  <c r="AD609" i="9"/>
  <c r="AG608" i="9"/>
  <c r="AB607" i="9"/>
  <c r="AE606" i="9"/>
  <c r="AC604" i="9"/>
  <c r="AF603" i="9"/>
  <c r="AA602" i="9"/>
  <c r="AD601" i="9"/>
  <c r="AG600" i="9"/>
  <c r="AB599" i="9"/>
  <c r="AE598" i="9"/>
  <c r="AC596" i="9"/>
  <c r="AF595" i="9"/>
  <c r="AA594" i="9"/>
  <c r="AD593" i="9"/>
  <c r="AG592" i="9"/>
  <c r="AB591" i="9"/>
  <c r="AE590" i="9"/>
  <c r="AC588" i="9"/>
  <c r="AF587" i="9"/>
  <c r="AA586" i="9"/>
  <c r="AD585" i="9"/>
  <c r="AG584" i="9"/>
  <c r="AB583" i="9"/>
  <c r="AE582" i="9"/>
  <c r="AD700" i="9"/>
  <c r="AF694" i="9"/>
  <c r="AA693" i="9"/>
  <c r="AC687" i="9"/>
  <c r="AE681" i="9"/>
  <c r="AA679" i="9"/>
  <c r="AG677" i="9"/>
  <c r="AB676" i="9"/>
  <c r="AF673" i="9"/>
  <c r="AA672" i="9"/>
  <c r="AA671" i="9"/>
  <c r="AD670" i="9"/>
  <c r="AG669" i="9"/>
  <c r="AB668" i="9"/>
  <c r="AE667" i="9"/>
  <c r="AC665" i="9"/>
  <c r="AF664" i="9"/>
  <c r="AA663" i="9"/>
  <c r="AD662" i="9"/>
  <c r="AG661" i="9"/>
  <c r="AB660" i="9"/>
  <c r="AE659" i="9"/>
  <c r="AC657" i="9"/>
  <c r="AF656" i="9"/>
  <c r="AA655" i="9"/>
  <c r="AD654" i="9"/>
  <c r="AG653" i="9"/>
  <c r="AB652" i="9"/>
  <c r="AE651" i="9"/>
  <c r="AE701" i="9"/>
  <c r="AG695" i="9"/>
  <c r="AB694" i="9"/>
  <c r="AD688" i="9"/>
  <c r="AF682" i="9"/>
  <c r="AA681" i="9"/>
  <c r="AF677" i="9"/>
  <c r="AA676" i="9"/>
  <c r="AE673" i="9"/>
  <c r="AC670" i="9"/>
  <c r="AF669" i="9"/>
  <c r="AA668" i="9"/>
  <c r="AD667" i="9"/>
  <c r="AG666" i="9"/>
  <c r="AB665" i="9"/>
  <c r="AE664" i="9"/>
  <c r="AC662" i="9"/>
  <c r="AF661" i="9"/>
  <c r="AA660" i="9"/>
  <c r="AD659" i="9"/>
  <c r="AG658" i="9"/>
  <c r="AB657" i="9"/>
  <c r="AE656" i="9"/>
  <c r="AC654" i="9"/>
  <c r="AF653" i="9"/>
  <c r="AA652" i="9"/>
  <c r="AD651" i="9"/>
  <c r="AG650" i="9"/>
  <c r="AF702" i="9"/>
  <c r="AA701" i="9"/>
  <c r="AC695" i="9"/>
  <c r="AE689" i="9"/>
  <c r="AG683" i="9"/>
  <c r="AB682" i="9"/>
  <c r="AE677" i="9"/>
  <c r="AC673" i="9"/>
  <c r="AG671" i="9"/>
  <c r="AB670" i="9"/>
  <c r="AE669" i="9"/>
  <c r="AC667" i="9"/>
  <c r="AF666" i="9"/>
  <c r="AA665" i="9"/>
  <c r="AD664" i="9"/>
  <c r="AG663" i="9"/>
  <c r="AB662" i="9"/>
  <c r="AE661" i="9"/>
  <c r="AC659" i="9"/>
  <c r="AF658" i="9"/>
  <c r="AA657" i="9"/>
  <c r="AD656" i="9"/>
  <c r="AG655" i="9"/>
  <c r="AB654" i="9"/>
  <c r="AE653" i="9"/>
  <c r="AC651" i="9"/>
  <c r="AF650" i="9"/>
  <c r="AA649" i="9"/>
  <c r="AD648" i="9"/>
  <c r="AG647" i="9"/>
  <c r="AB646" i="9"/>
  <c r="AE645" i="9"/>
  <c r="AC643" i="9"/>
  <c r="AF642" i="9"/>
  <c r="AA641" i="9"/>
  <c r="AD640" i="9"/>
  <c r="AG639" i="9"/>
  <c r="AB638" i="9"/>
  <c r="AE637" i="9"/>
  <c r="AC635" i="9"/>
  <c r="AF634" i="9"/>
  <c r="AA633" i="9"/>
  <c r="AD632" i="9"/>
  <c r="AG631" i="9"/>
  <c r="AG703" i="9"/>
  <c r="AB702" i="9"/>
  <c r="AD696" i="9"/>
  <c r="AF690" i="9"/>
  <c r="AA689" i="9"/>
  <c r="AC683" i="9"/>
  <c r="AF678" i="9"/>
  <c r="AA677" i="9"/>
  <c r="AG675" i="9"/>
  <c r="AG674" i="9"/>
  <c r="AB673" i="9"/>
  <c r="AF671" i="9"/>
  <c r="AA670" i="9"/>
  <c r="AD669" i="9"/>
  <c r="AG668" i="9"/>
  <c r="AB667" i="9"/>
  <c r="AE666" i="9"/>
  <c r="AC664" i="9"/>
  <c r="AF663" i="9"/>
  <c r="AA662" i="9"/>
  <c r="AD661" i="9"/>
  <c r="AG660" i="9"/>
  <c r="AB659" i="9"/>
  <c r="AE658" i="9"/>
  <c r="AC656" i="9"/>
  <c r="AF655" i="9"/>
  <c r="AA654" i="9"/>
  <c r="AD653" i="9"/>
  <c r="AG652" i="9"/>
  <c r="AB651" i="9"/>
  <c r="AE650" i="9"/>
  <c r="AC648" i="9"/>
  <c r="AF647" i="9"/>
  <c r="AA646" i="9"/>
  <c r="AD645" i="9"/>
  <c r="AG644" i="9"/>
  <c r="AB643" i="9"/>
  <c r="AE642" i="9"/>
  <c r="AC640" i="9"/>
  <c r="AF639" i="9"/>
  <c r="AA638" i="9"/>
  <c r="AD637" i="9"/>
  <c r="AG636" i="9"/>
  <c r="AB635" i="9"/>
  <c r="AE634" i="9"/>
  <c r="AC632" i="9"/>
  <c r="AF631" i="9"/>
  <c r="AA630" i="9"/>
  <c r="AD629" i="9"/>
  <c r="AG628" i="9"/>
  <c r="AB627" i="9"/>
  <c r="AE626" i="9"/>
  <c r="AC624" i="9"/>
  <c r="AF623" i="9"/>
  <c r="AA622" i="9"/>
  <c r="AD621" i="9"/>
  <c r="AG620" i="9"/>
  <c r="AB619" i="9"/>
  <c r="AE618" i="9"/>
  <c r="AC616" i="9"/>
  <c r="AF615" i="9"/>
  <c r="AA614" i="9"/>
  <c r="AD613" i="9"/>
  <c r="AG612" i="9"/>
  <c r="AB611" i="9"/>
  <c r="AE610" i="9"/>
  <c r="AC608" i="9"/>
  <c r="AF607" i="9"/>
  <c r="AA606" i="9"/>
  <c r="AD605" i="9"/>
  <c r="AG604" i="9"/>
  <c r="AB603" i="9"/>
  <c r="AE602" i="9"/>
  <c r="AC600" i="9"/>
  <c r="AF599" i="9"/>
  <c r="AA598" i="9"/>
  <c r="AD597" i="9"/>
  <c r="AG596" i="9"/>
  <c r="AB595" i="9"/>
  <c r="AE594" i="9"/>
  <c r="AC592" i="9"/>
  <c r="AF591" i="9"/>
  <c r="AA590" i="9"/>
  <c r="AD589" i="9"/>
  <c r="AG588" i="9"/>
  <c r="AB587" i="9"/>
  <c r="AE586" i="9"/>
  <c r="AC584" i="9"/>
  <c r="AF583" i="9"/>
  <c r="AA582" i="9"/>
  <c r="AC703" i="9"/>
  <c r="AE697" i="9"/>
  <c r="AG691" i="9"/>
  <c r="AB690" i="9"/>
  <c r="AD684" i="9"/>
  <c r="AD678" i="9"/>
  <c r="AE675" i="9"/>
  <c r="AF674" i="9"/>
  <c r="AA673" i="9"/>
  <c r="AF672" i="9"/>
  <c r="AE671" i="9"/>
  <c r="AC669" i="9"/>
  <c r="AF668" i="9"/>
  <c r="AA667" i="9"/>
  <c r="AD666" i="9"/>
  <c r="AG665" i="9"/>
  <c r="AB664" i="9"/>
  <c r="AE663" i="9"/>
  <c r="AC661" i="9"/>
  <c r="AF660" i="9"/>
  <c r="AA659" i="9"/>
  <c r="AD658" i="9"/>
  <c r="AG657" i="9"/>
  <c r="AB656" i="9"/>
  <c r="AE655" i="9"/>
  <c r="AC653" i="9"/>
  <c r="AF652" i="9"/>
  <c r="AA651" i="9"/>
  <c r="AD650" i="9"/>
  <c r="AG649" i="9"/>
  <c r="AB648" i="9"/>
  <c r="AE647" i="9"/>
  <c r="AC645" i="9"/>
  <c r="AF644" i="9"/>
  <c r="AA643" i="9"/>
  <c r="AD642" i="9"/>
  <c r="AG641" i="9"/>
  <c r="AB640" i="9"/>
  <c r="AE639" i="9"/>
  <c r="AC637" i="9"/>
  <c r="AF636" i="9"/>
  <c r="AA635" i="9"/>
  <c r="AD634" i="9"/>
  <c r="AG633" i="9"/>
  <c r="AB632" i="9"/>
  <c r="AE631" i="9"/>
  <c r="AC629" i="9"/>
  <c r="AF628" i="9"/>
  <c r="AA627" i="9"/>
  <c r="AD626" i="9"/>
  <c r="AG625" i="9"/>
  <c r="AB624" i="9"/>
  <c r="AE623" i="9"/>
  <c r="AC621" i="9"/>
  <c r="AF620" i="9"/>
  <c r="AA619" i="9"/>
  <c r="AD618" i="9"/>
  <c r="AG617" i="9"/>
  <c r="AB616" i="9"/>
  <c r="AE615" i="9"/>
  <c r="AC613" i="9"/>
  <c r="AF612" i="9"/>
  <c r="AA611" i="9"/>
  <c r="AD610" i="9"/>
  <c r="AG609" i="9"/>
  <c r="AB608" i="9"/>
  <c r="AE607" i="9"/>
  <c r="AC605" i="9"/>
  <c r="AF604" i="9"/>
  <c r="AA603" i="9"/>
  <c r="AD602" i="9"/>
  <c r="AG601" i="9"/>
  <c r="AB600" i="9"/>
  <c r="AE599" i="9"/>
  <c r="AC597" i="9"/>
  <c r="AF596" i="9"/>
  <c r="AA595" i="9"/>
  <c r="AD594" i="9"/>
  <c r="AG593" i="9"/>
  <c r="AB592" i="9"/>
  <c r="AE591" i="9"/>
  <c r="AC589" i="9"/>
  <c r="AF588" i="9"/>
  <c r="AF698" i="9"/>
  <c r="AA697" i="9"/>
  <c r="AC691" i="9"/>
  <c r="AE685" i="9"/>
  <c r="AC678" i="9"/>
  <c r="AD675" i="9"/>
  <c r="AD674" i="9"/>
  <c r="AE672" i="9"/>
  <c r="AD671" i="9"/>
  <c r="AG670" i="9"/>
  <c r="AB669" i="9"/>
  <c r="AE668" i="9"/>
  <c r="AC666" i="9"/>
  <c r="AF665" i="9"/>
  <c r="AA664" i="9"/>
  <c r="AD663" i="9"/>
  <c r="AG662" i="9"/>
  <c r="AB661" i="9"/>
  <c r="AE660" i="9"/>
  <c r="AC658" i="9"/>
  <c r="AF657" i="9"/>
  <c r="AA656" i="9"/>
  <c r="AD655" i="9"/>
  <c r="AG654" i="9"/>
  <c r="AB653" i="9"/>
  <c r="AE652" i="9"/>
  <c r="AC650" i="9"/>
  <c r="AF649" i="9"/>
  <c r="AA648" i="9"/>
  <c r="AD647" i="9"/>
  <c r="AG646" i="9"/>
  <c r="AB645" i="9"/>
  <c r="AE644" i="9"/>
  <c r="AC642" i="9"/>
  <c r="AF641" i="9"/>
  <c r="AA640" i="9"/>
  <c r="AD639" i="9"/>
  <c r="AG638" i="9"/>
  <c r="AB637" i="9"/>
  <c r="AE636" i="9"/>
  <c r="AC634" i="9"/>
  <c r="AF633" i="9"/>
  <c r="AA632" i="9"/>
  <c r="AD631" i="9"/>
  <c r="AG630" i="9"/>
  <c r="AB629" i="9"/>
  <c r="AE628" i="9"/>
  <c r="AC626" i="9"/>
  <c r="AF625" i="9"/>
  <c r="AA624" i="9"/>
  <c r="AD623" i="9"/>
  <c r="AG622" i="9"/>
  <c r="AB621" i="9"/>
  <c r="AE620" i="9"/>
  <c r="AC618" i="9"/>
  <c r="AF617" i="9"/>
  <c r="AA616" i="9"/>
  <c r="AD615" i="9"/>
  <c r="AG614" i="9"/>
  <c r="AB613" i="9"/>
  <c r="AE612" i="9"/>
  <c r="AC610" i="9"/>
  <c r="AF609" i="9"/>
  <c r="AA608" i="9"/>
  <c r="AD607" i="9"/>
  <c r="AG606" i="9"/>
  <c r="AB605" i="9"/>
  <c r="AE604" i="9"/>
  <c r="AC602" i="9"/>
  <c r="AF601" i="9"/>
  <c r="AA600" i="9"/>
  <c r="AD599" i="9"/>
  <c r="AG598" i="9"/>
  <c r="AB597" i="9"/>
  <c r="AE596" i="9"/>
  <c r="AC594" i="9"/>
  <c r="AF593" i="9"/>
  <c r="AA592" i="9"/>
  <c r="AD591" i="9"/>
  <c r="AG590" i="9"/>
  <c r="AB589" i="9"/>
  <c r="AE588" i="9"/>
  <c r="AB649" i="9"/>
  <c r="AD643" i="9"/>
  <c r="AF637" i="9"/>
  <c r="AA636" i="9"/>
  <c r="AD627" i="9"/>
  <c r="AE625" i="9"/>
  <c r="AF622" i="9"/>
  <c r="AA621" i="9"/>
  <c r="AG619" i="9"/>
  <c r="AB618" i="9"/>
  <c r="AC615" i="9"/>
  <c r="AD612" i="9"/>
  <c r="AE609" i="9"/>
  <c r="AF606" i="9"/>
  <c r="AA605" i="9"/>
  <c r="AG603" i="9"/>
  <c r="AB602" i="9"/>
  <c r="AC599" i="9"/>
  <c r="AD596" i="9"/>
  <c r="AE593" i="9"/>
  <c r="AF590" i="9"/>
  <c r="AA589" i="9"/>
  <c r="AC586" i="9"/>
  <c r="AD584" i="9"/>
  <c r="AD582" i="9"/>
  <c r="AB581" i="9"/>
  <c r="AE580" i="9"/>
  <c r="AC578" i="9"/>
  <c r="AF577" i="9"/>
  <c r="AA576" i="9"/>
  <c r="AD575" i="9"/>
  <c r="AG574" i="9"/>
  <c r="AB573" i="9"/>
  <c r="AE572" i="9"/>
  <c r="AC570" i="9"/>
  <c r="AF569" i="9"/>
  <c r="AA568" i="9"/>
  <c r="AD567" i="9"/>
  <c r="AG566" i="9"/>
  <c r="AB565" i="9"/>
  <c r="AE564" i="9"/>
  <c r="AC562" i="9"/>
  <c r="AF561" i="9"/>
  <c r="AA560" i="9"/>
  <c r="AD559" i="9"/>
  <c r="AG558" i="9"/>
  <c r="AG645" i="9"/>
  <c r="AB644" i="9"/>
  <c r="AD638" i="9"/>
  <c r="AF632" i="9"/>
  <c r="AA631" i="9"/>
  <c r="AD630" i="9"/>
  <c r="AC627" i="9"/>
  <c r="AC625" i="9"/>
  <c r="AD622" i="9"/>
  <c r="AE619" i="9"/>
  <c r="AF616" i="9"/>
  <c r="AA615" i="9"/>
  <c r="AG613" i="9"/>
  <c r="AB612" i="9"/>
  <c r="AC609" i="9"/>
  <c r="AD606" i="9"/>
  <c r="AE603" i="9"/>
  <c r="AF600" i="9"/>
  <c r="AA599" i="9"/>
  <c r="AG597" i="9"/>
  <c r="AB596" i="9"/>
  <c r="AC593" i="9"/>
  <c r="AD590" i="9"/>
  <c r="AG587" i="9"/>
  <c r="AB586" i="9"/>
  <c r="AG585" i="9"/>
  <c r="AB584" i="9"/>
  <c r="AC582" i="9"/>
  <c r="AA581" i="9"/>
  <c r="AD580" i="9"/>
  <c r="AG579" i="9"/>
  <c r="AB578" i="9"/>
  <c r="AE577" i="9"/>
  <c r="AC575" i="9"/>
  <c r="AF574" i="9"/>
  <c r="AA573" i="9"/>
  <c r="AD572" i="9"/>
  <c r="AG571" i="9"/>
  <c r="AB570" i="9"/>
  <c r="AE569" i="9"/>
  <c r="AC567" i="9"/>
  <c r="AF566" i="9"/>
  <c r="AA565" i="9"/>
  <c r="AD564" i="9"/>
  <c r="AG563" i="9"/>
  <c r="AB562" i="9"/>
  <c r="AE561" i="9"/>
  <c r="AC559" i="9"/>
  <c r="AF558" i="9"/>
  <c r="AA557" i="9"/>
  <c r="AD556" i="9"/>
  <c r="AG555" i="9"/>
  <c r="AB554" i="9"/>
  <c r="AE553" i="9"/>
  <c r="AC551" i="9"/>
  <c r="AF550" i="9"/>
  <c r="AA549" i="9"/>
  <c r="AD548" i="9"/>
  <c r="AG547" i="9"/>
  <c r="AB546" i="9"/>
  <c r="AE545" i="9"/>
  <c r="AC543" i="9"/>
  <c r="AF542" i="9"/>
  <c r="AA541" i="9"/>
  <c r="AD540" i="9"/>
  <c r="AG539" i="9"/>
  <c r="AB538" i="9"/>
  <c r="AE537" i="9"/>
  <c r="AC535" i="9"/>
  <c r="AF534" i="9"/>
  <c r="AA533" i="9"/>
  <c r="AD532" i="9"/>
  <c r="AG531" i="9"/>
  <c r="AB530" i="9"/>
  <c r="AE529" i="9"/>
  <c r="AC527" i="9"/>
  <c r="AF526" i="9"/>
  <c r="AA525" i="9"/>
  <c r="AD524" i="9"/>
  <c r="AG523" i="9"/>
  <c r="AB522" i="9"/>
  <c r="AE521" i="9"/>
  <c r="AC519" i="9"/>
  <c r="AF518" i="9"/>
  <c r="AA517" i="9"/>
  <c r="AD516" i="9"/>
  <c r="AG515" i="9"/>
  <c r="AB514" i="9"/>
  <c r="AE513" i="9"/>
  <c r="AC511" i="9"/>
  <c r="AF645" i="9"/>
  <c r="AA644" i="9"/>
  <c r="AC638" i="9"/>
  <c r="AE632" i="9"/>
  <c r="AC630" i="9"/>
  <c r="AG629" i="9"/>
  <c r="AG626" i="9"/>
  <c r="AB625" i="9"/>
  <c r="AC622" i="9"/>
  <c r="AD619" i="9"/>
  <c r="AE616" i="9"/>
  <c r="AF613" i="9"/>
  <c r="AA612" i="9"/>
  <c r="AG610" i="9"/>
  <c r="AB609" i="9"/>
  <c r="AC606" i="9"/>
  <c r="AD603" i="9"/>
  <c r="AE600" i="9"/>
  <c r="AF597" i="9"/>
  <c r="AA596" i="9"/>
  <c r="AG594" i="9"/>
  <c r="AB593" i="9"/>
  <c r="AC590" i="9"/>
  <c r="AE587" i="9"/>
  <c r="AD646" i="9"/>
  <c r="AF640" i="9"/>
  <c r="AA639" i="9"/>
  <c r="AC633" i="9"/>
  <c r="AB630" i="9"/>
  <c r="AF629" i="9"/>
  <c r="AF626" i="9"/>
  <c r="AA625" i="9"/>
  <c r="AG623" i="9"/>
  <c r="AB622" i="9"/>
  <c r="AC619" i="9"/>
  <c r="AD616" i="9"/>
  <c r="AE613" i="9"/>
  <c r="AF610" i="9"/>
  <c r="AA609" i="9"/>
  <c r="AG607" i="9"/>
  <c r="AB606" i="9"/>
  <c r="AC603" i="9"/>
  <c r="AD600" i="9"/>
  <c r="AE597" i="9"/>
  <c r="AF594" i="9"/>
  <c r="AA593" i="9"/>
  <c r="AG591" i="9"/>
  <c r="AB590" i="9"/>
  <c r="AD587" i="9"/>
  <c r="AC646" i="9"/>
  <c r="AE640" i="9"/>
  <c r="AG634" i="9"/>
  <c r="AB633" i="9"/>
  <c r="AE629" i="9"/>
  <c r="AB626" i="9"/>
  <c r="AC623" i="9"/>
  <c r="AD620" i="9"/>
  <c r="AE617" i="9"/>
  <c r="AF614" i="9"/>
  <c r="AA613" i="9"/>
  <c r="AG611" i="9"/>
  <c r="AB610" i="9"/>
  <c r="AC607" i="9"/>
  <c r="AD604" i="9"/>
  <c r="AE601" i="9"/>
  <c r="AF598" i="9"/>
  <c r="AA597" i="9"/>
  <c r="AG595" i="9"/>
  <c r="AB594" i="9"/>
  <c r="AC591" i="9"/>
  <c r="AD588" i="9"/>
  <c r="AC587" i="9"/>
  <c r="AC585" i="9"/>
  <c r="AD583" i="9"/>
  <c r="AF581" i="9"/>
  <c r="AA580" i="9"/>
  <c r="AD579" i="9"/>
  <c r="AG578" i="9"/>
  <c r="AB577" i="9"/>
  <c r="AE576" i="9"/>
  <c r="AC574" i="9"/>
  <c r="AF573" i="9"/>
  <c r="AA572" i="9"/>
  <c r="AD571" i="9"/>
  <c r="AG570" i="9"/>
  <c r="AB569" i="9"/>
  <c r="AE568" i="9"/>
  <c r="AC566" i="9"/>
  <c r="AF565" i="9"/>
  <c r="AA564" i="9"/>
  <c r="AD563" i="9"/>
  <c r="AG562" i="9"/>
  <c r="AB561" i="9"/>
  <c r="AE560" i="9"/>
  <c r="AF648" i="9"/>
  <c r="AA647" i="9"/>
  <c r="AC641" i="9"/>
  <c r="AE635" i="9"/>
  <c r="AF624" i="9"/>
  <c r="AA623" i="9"/>
  <c r="AG621" i="9"/>
  <c r="AB620" i="9"/>
  <c r="AC617" i="9"/>
  <c r="AD614" i="9"/>
  <c r="AE611" i="9"/>
  <c r="AF608" i="9"/>
  <c r="AA607" i="9"/>
  <c r="AG605" i="9"/>
  <c r="AB604" i="9"/>
  <c r="AC601" i="9"/>
  <c r="AD598" i="9"/>
  <c r="AE595" i="9"/>
  <c r="AF592" i="9"/>
  <c r="AA591" i="9"/>
  <c r="AG589" i="9"/>
  <c r="AB588" i="9"/>
  <c r="AA587" i="9"/>
  <c r="AG586" i="9"/>
  <c r="AB585" i="9"/>
  <c r="AC583" i="9"/>
  <c r="AE581" i="9"/>
  <c r="AC579" i="9"/>
  <c r="AF578" i="9"/>
  <c r="AA577" i="9"/>
  <c r="AD576" i="9"/>
  <c r="AG575" i="9"/>
  <c r="AB574" i="9"/>
  <c r="AE573" i="9"/>
  <c r="AC571" i="9"/>
  <c r="AF570" i="9"/>
  <c r="AA569" i="9"/>
  <c r="AD568" i="9"/>
  <c r="AG567" i="9"/>
  <c r="AB566" i="9"/>
  <c r="AE565" i="9"/>
  <c r="AC563" i="9"/>
  <c r="AF562" i="9"/>
  <c r="AA561" i="9"/>
  <c r="AD560" i="9"/>
  <c r="AG559" i="9"/>
  <c r="AB558" i="9"/>
  <c r="AE557" i="9"/>
  <c r="AC555" i="9"/>
  <c r="AF554" i="9"/>
  <c r="AA553" i="9"/>
  <c r="AD552" i="9"/>
  <c r="AG551" i="9"/>
  <c r="AB550" i="9"/>
  <c r="AE549" i="9"/>
  <c r="AC547" i="9"/>
  <c r="AF546" i="9"/>
  <c r="AA545" i="9"/>
  <c r="AD544" i="9"/>
  <c r="AG543" i="9"/>
  <c r="AB542" i="9"/>
  <c r="AE541" i="9"/>
  <c r="AC539" i="9"/>
  <c r="AF538" i="9"/>
  <c r="AA537" i="9"/>
  <c r="AD536" i="9"/>
  <c r="AG535" i="9"/>
  <c r="AB534" i="9"/>
  <c r="AE533" i="9"/>
  <c r="AC531" i="9"/>
  <c r="AF530" i="9"/>
  <c r="AA529" i="9"/>
  <c r="AD528" i="9"/>
  <c r="AG527" i="9"/>
  <c r="AB526" i="9"/>
  <c r="AE525" i="9"/>
  <c r="AC523" i="9"/>
  <c r="AF522" i="9"/>
  <c r="AA521" i="9"/>
  <c r="AD520" i="9"/>
  <c r="AG519" i="9"/>
  <c r="AB518" i="9"/>
  <c r="AE517" i="9"/>
  <c r="AC515" i="9"/>
  <c r="AF514" i="9"/>
  <c r="AA513" i="9"/>
  <c r="AD512" i="9"/>
  <c r="AG511" i="9"/>
  <c r="AE648" i="9"/>
  <c r="AG642" i="9"/>
  <c r="AB641" i="9"/>
  <c r="AD635" i="9"/>
  <c r="AB628" i="9"/>
  <c r="AE624" i="9"/>
  <c r="AF621" i="9"/>
  <c r="AA620" i="9"/>
  <c r="AG618" i="9"/>
  <c r="AB617" i="9"/>
  <c r="AC614" i="9"/>
  <c r="AD611" i="9"/>
  <c r="AE608" i="9"/>
  <c r="AF605" i="9"/>
  <c r="AA604" i="9"/>
  <c r="AG602" i="9"/>
  <c r="AB601" i="9"/>
  <c r="AC598" i="9"/>
  <c r="AD595" i="9"/>
  <c r="AE592" i="9"/>
  <c r="AF589" i="9"/>
  <c r="AA588" i="9"/>
  <c r="AF586" i="9"/>
  <c r="AA585" i="9"/>
  <c r="AF584" i="9"/>
  <c r="AA583" i="9"/>
  <c r="AG582" i="9"/>
  <c r="AD581" i="9"/>
  <c r="AG580" i="9"/>
  <c r="AB579" i="9"/>
  <c r="AE578" i="9"/>
  <c r="AC576" i="9"/>
  <c r="AF575" i="9"/>
  <c r="AA574" i="9"/>
  <c r="AD573" i="9"/>
  <c r="AG572" i="9"/>
  <c r="AB571" i="9"/>
  <c r="AE570" i="9"/>
  <c r="AC568" i="9"/>
  <c r="AF567" i="9"/>
  <c r="AA566" i="9"/>
  <c r="AD565" i="9"/>
  <c r="AG564" i="9"/>
  <c r="AB563" i="9"/>
  <c r="AE562" i="9"/>
  <c r="AC560" i="9"/>
  <c r="AF559" i="9"/>
  <c r="AA558" i="9"/>
  <c r="AD557" i="9"/>
  <c r="AG556" i="9"/>
  <c r="AB555" i="9"/>
  <c r="AE554" i="9"/>
  <c r="AC552" i="9"/>
  <c r="AF551" i="9"/>
  <c r="AA550" i="9"/>
  <c r="AD549" i="9"/>
  <c r="AG548" i="9"/>
  <c r="AB547" i="9"/>
  <c r="AE546" i="9"/>
  <c r="AC544" i="9"/>
  <c r="AF543" i="9"/>
  <c r="AA542" i="9"/>
  <c r="AD541" i="9"/>
  <c r="AG540" i="9"/>
  <c r="AB539" i="9"/>
  <c r="AE538" i="9"/>
  <c r="AC536" i="9"/>
  <c r="AF535" i="9"/>
  <c r="AA534" i="9"/>
  <c r="AD533" i="9"/>
  <c r="AG532" i="9"/>
  <c r="AB531" i="9"/>
  <c r="AE530" i="9"/>
  <c r="AC528" i="9"/>
  <c r="AF527" i="9"/>
  <c r="AA526" i="9"/>
  <c r="AD525" i="9"/>
  <c r="AG524" i="9"/>
  <c r="AB523" i="9"/>
  <c r="AE522" i="9"/>
  <c r="AC520" i="9"/>
  <c r="AF519" i="9"/>
  <c r="AC649" i="9"/>
  <c r="AE643" i="9"/>
  <c r="AG637" i="9"/>
  <c r="AB636" i="9"/>
  <c r="AA628" i="9"/>
  <c r="AE627" i="9"/>
  <c r="AD624" i="9"/>
  <c r="AE621" i="9"/>
  <c r="AF618" i="9"/>
  <c r="AA617" i="9"/>
  <c r="AG615" i="9"/>
  <c r="AB614" i="9"/>
  <c r="AC611" i="9"/>
  <c r="AD608" i="9"/>
  <c r="AE605" i="9"/>
  <c r="AF602" i="9"/>
  <c r="AA601" i="9"/>
  <c r="AG599" i="9"/>
  <c r="AB598" i="9"/>
  <c r="AC595" i="9"/>
  <c r="AD592" i="9"/>
  <c r="AE589" i="9"/>
  <c r="AD586" i="9"/>
  <c r="AE584" i="9"/>
  <c r="AF582" i="9"/>
  <c r="AC581" i="9"/>
  <c r="AF580" i="9"/>
  <c r="AA579" i="9"/>
  <c r="AD578" i="9"/>
  <c r="AG577" i="9"/>
  <c r="AB576" i="9"/>
  <c r="AE575" i="9"/>
  <c r="AC573" i="9"/>
  <c r="AF572" i="9"/>
  <c r="AA571" i="9"/>
  <c r="AD570" i="9"/>
  <c r="AG569" i="9"/>
  <c r="AB568" i="9"/>
  <c r="AE567" i="9"/>
  <c r="AC565" i="9"/>
  <c r="AF564" i="9"/>
  <c r="AA563" i="9"/>
  <c r="AD562" i="9"/>
  <c r="AG561" i="9"/>
  <c r="AB560" i="9"/>
  <c r="AE559" i="9"/>
  <c r="AC557" i="9"/>
  <c r="AF556" i="9"/>
  <c r="AA555" i="9"/>
  <c r="AD554" i="9"/>
  <c r="AG553" i="9"/>
  <c r="AB552" i="9"/>
  <c r="AE551" i="9"/>
  <c r="AC549" i="9"/>
  <c r="AF548" i="9"/>
  <c r="AA547" i="9"/>
  <c r="AD546" i="9"/>
  <c r="AG545" i="9"/>
  <c r="AB544" i="9"/>
  <c r="AE543" i="9"/>
  <c r="AC541" i="9"/>
  <c r="AF540" i="9"/>
  <c r="AA539" i="9"/>
  <c r="AD538" i="9"/>
  <c r="AG537" i="9"/>
  <c r="AB536" i="9"/>
  <c r="AE535" i="9"/>
  <c r="AC533" i="9"/>
  <c r="AF532" i="9"/>
  <c r="AA531" i="9"/>
  <c r="AD530" i="9"/>
  <c r="AG529" i="9"/>
  <c r="AB528" i="9"/>
  <c r="AE527" i="9"/>
  <c r="AC525" i="9"/>
  <c r="AF524" i="9"/>
  <c r="AA523" i="9"/>
  <c r="AD522" i="9"/>
  <c r="AG521" i="9"/>
  <c r="AB520" i="9"/>
  <c r="AE519" i="9"/>
  <c r="AC580" i="9"/>
  <c r="AE574" i="9"/>
  <c r="AG568" i="9"/>
  <c r="AB567" i="9"/>
  <c r="AD561" i="9"/>
  <c r="AE556" i="9"/>
  <c r="AF553" i="9"/>
  <c r="AA552" i="9"/>
  <c r="AG550" i="9"/>
  <c r="AB549" i="9"/>
  <c r="AC546" i="9"/>
  <c r="AD543" i="9"/>
  <c r="AE540" i="9"/>
  <c r="AF537" i="9"/>
  <c r="AA536" i="9"/>
  <c r="AG534" i="9"/>
  <c r="AB533" i="9"/>
  <c r="AC530" i="9"/>
  <c r="AD527" i="9"/>
  <c r="AE524" i="9"/>
  <c r="AF521" i="9"/>
  <c r="AA520" i="9"/>
  <c r="AD518" i="9"/>
  <c r="AE516" i="9"/>
  <c r="AE514" i="9"/>
  <c r="AF512" i="9"/>
  <c r="AA511" i="9"/>
  <c r="AC510" i="9"/>
  <c r="AF509" i="9"/>
  <c r="AA508" i="9"/>
  <c r="AD507" i="9"/>
  <c r="AG506" i="9"/>
  <c r="AB505" i="9"/>
  <c r="AE504" i="9"/>
  <c r="AC502" i="9"/>
  <c r="AF501" i="9"/>
  <c r="AA500" i="9"/>
  <c r="AD499" i="9"/>
  <c r="AG498" i="9"/>
  <c r="AB497" i="9"/>
  <c r="AE496" i="9"/>
  <c r="AC494" i="9"/>
  <c r="AF493" i="9"/>
  <c r="AA492" i="9"/>
  <c r="AD491" i="9"/>
  <c r="AG490" i="9"/>
  <c r="AB489" i="9"/>
  <c r="AE488" i="9"/>
  <c r="AC486" i="9"/>
  <c r="AG581" i="9"/>
  <c r="AB580" i="9"/>
  <c r="AD574" i="9"/>
  <c r="AF568" i="9"/>
  <c r="AA567" i="9"/>
  <c r="AC561" i="9"/>
  <c r="AC556" i="9"/>
  <c r="AD553" i="9"/>
  <c r="AE550" i="9"/>
  <c r="AF547" i="9"/>
  <c r="AA546" i="9"/>
  <c r="AG544" i="9"/>
  <c r="AB543" i="9"/>
  <c r="AC540" i="9"/>
  <c r="AD537" i="9"/>
  <c r="AE534" i="9"/>
  <c r="AF531" i="9"/>
  <c r="AA530" i="9"/>
  <c r="AG528" i="9"/>
  <c r="AB527" i="9"/>
  <c r="AC524" i="9"/>
  <c r="AD521" i="9"/>
  <c r="AC518" i="9"/>
  <c r="AC516" i="9"/>
  <c r="AD514" i="9"/>
  <c r="AE512" i="9"/>
  <c r="AB510" i="9"/>
  <c r="AE509" i="9"/>
  <c r="AC507" i="9"/>
  <c r="AF506" i="9"/>
  <c r="AA505" i="9"/>
  <c r="AD504" i="9"/>
  <c r="AG503" i="9"/>
  <c r="AB502" i="9"/>
  <c r="AE501" i="9"/>
  <c r="AC499" i="9"/>
  <c r="AF498" i="9"/>
  <c r="AA497" i="9"/>
  <c r="AD496" i="9"/>
  <c r="AG495" i="9"/>
  <c r="AB494" i="9"/>
  <c r="AE493" i="9"/>
  <c r="AC491" i="9"/>
  <c r="AF490" i="9"/>
  <c r="AA489" i="9"/>
  <c r="AD488" i="9"/>
  <c r="AG487" i="9"/>
  <c r="AB486" i="9"/>
  <c r="AE485" i="9"/>
  <c r="AC483" i="9"/>
  <c r="AF482" i="9"/>
  <c r="AA481" i="9"/>
  <c r="AD480" i="9"/>
  <c r="AG479" i="9"/>
  <c r="AB478" i="9"/>
  <c r="AE477" i="9"/>
  <c r="AC475" i="9"/>
  <c r="AF474" i="9"/>
  <c r="AA473" i="9"/>
  <c r="AD472" i="9"/>
  <c r="AG471" i="9"/>
  <c r="AB470" i="9"/>
  <c r="AE469" i="9"/>
  <c r="AC467" i="9"/>
  <c r="AF466" i="9"/>
  <c r="AA465" i="9"/>
  <c r="AD464" i="9"/>
  <c r="AG463" i="9"/>
  <c r="AB462" i="9"/>
  <c r="AE461" i="9"/>
  <c r="AC459" i="9"/>
  <c r="AF458" i="9"/>
  <c r="AA457" i="9"/>
  <c r="AD456" i="9"/>
  <c r="AG455" i="9"/>
  <c r="AB454" i="9"/>
  <c r="AE453" i="9"/>
  <c r="AC451" i="9"/>
  <c r="AF450" i="9"/>
  <c r="AA449" i="9"/>
  <c r="AD448" i="9"/>
  <c r="AG447" i="9"/>
  <c r="AB446" i="9"/>
  <c r="AE445" i="9"/>
  <c r="AC443" i="9"/>
  <c r="AF442" i="9"/>
  <c r="AA584" i="9"/>
  <c r="AG576" i="9"/>
  <c r="AB575" i="9"/>
  <c r="AD569" i="9"/>
  <c r="AF563" i="9"/>
  <c r="AA562" i="9"/>
  <c r="AG557" i="9"/>
  <c r="AB556" i="9"/>
  <c r="AC553" i="9"/>
  <c r="AD550" i="9"/>
  <c r="AE547" i="9"/>
  <c r="AF544" i="9"/>
  <c r="AA543" i="9"/>
  <c r="AG541" i="9"/>
  <c r="AB540" i="9"/>
  <c r="AC537" i="9"/>
  <c r="AD534" i="9"/>
  <c r="AE531" i="9"/>
  <c r="AF528" i="9"/>
  <c r="AA527" i="9"/>
  <c r="AG525" i="9"/>
  <c r="AB524" i="9"/>
  <c r="AC521" i="9"/>
  <c r="AA518" i="9"/>
  <c r="AG517" i="9"/>
  <c r="AB516" i="9"/>
  <c r="AC514" i="9"/>
  <c r="AC512" i="9"/>
  <c r="AA510" i="9"/>
  <c r="AF576" i="9"/>
  <c r="AA575" i="9"/>
  <c r="AC569" i="9"/>
  <c r="AE563" i="9"/>
  <c r="AF557" i="9"/>
  <c r="AA556" i="9"/>
  <c r="AG554" i="9"/>
  <c r="AB553" i="9"/>
  <c r="AC550" i="9"/>
  <c r="AD547" i="9"/>
  <c r="AE544" i="9"/>
  <c r="AF541" i="9"/>
  <c r="AA540" i="9"/>
  <c r="AG538" i="9"/>
  <c r="AB537" i="9"/>
  <c r="AC534" i="9"/>
  <c r="AD531" i="9"/>
  <c r="AE528" i="9"/>
  <c r="AF525" i="9"/>
  <c r="AA524" i="9"/>
  <c r="AG522" i="9"/>
  <c r="AB521" i="9"/>
  <c r="AF517" i="9"/>
  <c r="AA516" i="9"/>
  <c r="AF515" i="9"/>
  <c r="AA514" i="9"/>
  <c r="AG513" i="9"/>
  <c r="AB512" i="9"/>
  <c r="AF585" i="9"/>
  <c r="AB582" i="9"/>
  <c r="AD577" i="9"/>
  <c r="AF571" i="9"/>
  <c r="AA570" i="9"/>
  <c r="AC564" i="9"/>
  <c r="AB557" i="9"/>
  <c r="AC554" i="9"/>
  <c r="AD551" i="9"/>
  <c r="AE548" i="9"/>
  <c r="AF545" i="9"/>
  <c r="AA544" i="9"/>
  <c r="AG542" i="9"/>
  <c r="AB541" i="9"/>
  <c r="AC538" i="9"/>
  <c r="AD535" i="9"/>
  <c r="AE532" i="9"/>
  <c r="AF529" i="9"/>
  <c r="AA528" i="9"/>
  <c r="AG526" i="9"/>
  <c r="AB525" i="9"/>
  <c r="AC522" i="9"/>
  <c r="AD519" i="9"/>
  <c r="AD517" i="9"/>
  <c r="AE515" i="9"/>
  <c r="AF513" i="9"/>
  <c r="AA512" i="9"/>
  <c r="AF511" i="9"/>
  <c r="AG510" i="9"/>
  <c r="AB509" i="9"/>
  <c r="AE508" i="9"/>
  <c r="AC506" i="9"/>
  <c r="AF505" i="9"/>
  <c r="AA504" i="9"/>
  <c r="AD503" i="9"/>
  <c r="AG502" i="9"/>
  <c r="AB501" i="9"/>
  <c r="AE500" i="9"/>
  <c r="AC498" i="9"/>
  <c r="AF497" i="9"/>
  <c r="AA496" i="9"/>
  <c r="AD495" i="9"/>
  <c r="AG494" i="9"/>
  <c r="AB493" i="9"/>
  <c r="AE492" i="9"/>
  <c r="AC490" i="9"/>
  <c r="AF489" i="9"/>
  <c r="AA488" i="9"/>
  <c r="AD487" i="9"/>
  <c r="AE585" i="9"/>
  <c r="AC577" i="9"/>
  <c r="AE571" i="9"/>
  <c r="AG565" i="9"/>
  <c r="AB564" i="9"/>
  <c r="AE558" i="9"/>
  <c r="AF555" i="9"/>
  <c r="AA554" i="9"/>
  <c r="AG552" i="9"/>
  <c r="AB551" i="9"/>
  <c r="AC548" i="9"/>
  <c r="AD545" i="9"/>
  <c r="AE542" i="9"/>
  <c r="AF539" i="9"/>
  <c r="AA538" i="9"/>
  <c r="AG536" i="9"/>
  <c r="AB535" i="9"/>
  <c r="AC532" i="9"/>
  <c r="AD529" i="9"/>
  <c r="AE526" i="9"/>
  <c r="AF523" i="9"/>
  <c r="AA522" i="9"/>
  <c r="AG520" i="9"/>
  <c r="AB519" i="9"/>
  <c r="AC517" i="9"/>
  <c r="AD515" i="9"/>
  <c r="AD513" i="9"/>
  <c r="AE511" i="9"/>
  <c r="AF510" i="9"/>
  <c r="AA509" i="9"/>
  <c r="AD508" i="9"/>
  <c r="AG507" i="9"/>
  <c r="AB506" i="9"/>
  <c r="AE505" i="9"/>
  <c r="AC503" i="9"/>
  <c r="AF502" i="9"/>
  <c r="AA501" i="9"/>
  <c r="AD500" i="9"/>
  <c r="AG499" i="9"/>
  <c r="AB498" i="9"/>
  <c r="AE497" i="9"/>
  <c r="AC495" i="9"/>
  <c r="AF494" i="9"/>
  <c r="AA493" i="9"/>
  <c r="AD492" i="9"/>
  <c r="AG491" i="9"/>
  <c r="AB490" i="9"/>
  <c r="AE489" i="9"/>
  <c r="AC487" i="9"/>
  <c r="AF486" i="9"/>
  <c r="AA485" i="9"/>
  <c r="AD484" i="9"/>
  <c r="AG483" i="9"/>
  <c r="AB482" i="9"/>
  <c r="AE481" i="9"/>
  <c r="AC479" i="9"/>
  <c r="AF478" i="9"/>
  <c r="AA477" i="9"/>
  <c r="AD476" i="9"/>
  <c r="AG475" i="9"/>
  <c r="AB474" i="9"/>
  <c r="AE473" i="9"/>
  <c r="AC471" i="9"/>
  <c r="AF470" i="9"/>
  <c r="AA469" i="9"/>
  <c r="AD468" i="9"/>
  <c r="AG467" i="9"/>
  <c r="AB466" i="9"/>
  <c r="AE465" i="9"/>
  <c r="AC463" i="9"/>
  <c r="AF462" i="9"/>
  <c r="AA461" i="9"/>
  <c r="AD460" i="9"/>
  <c r="AG459" i="9"/>
  <c r="AB458" i="9"/>
  <c r="AE457" i="9"/>
  <c r="AC455" i="9"/>
  <c r="AF454" i="9"/>
  <c r="AA453" i="9"/>
  <c r="AD452" i="9"/>
  <c r="AG451" i="9"/>
  <c r="AB450" i="9"/>
  <c r="AE449" i="9"/>
  <c r="AC447" i="9"/>
  <c r="AF446" i="9"/>
  <c r="AA445" i="9"/>
  <c r="AD444" i="9"/>
  <c r="AG443" i="9"/>
  <c r="AB442" i="9"/>
  <c r="AG583" i="9"/>
  <c r="AF579" i="9"/>
  <c r="AA578" i="9"/>
  <c r="AC572" i="9"/>
  <c r="AE566" i="9"/>
  <c r="AG560" i="9"/>
  <c r="AB559" i="9"/>
  <c r="AD558" i="9"/>
  <c r="AE555" i="9"/>
  <c r="AF552" i="9"/>
  <c r="AA551" i="9"/>
  <c r="AG549" i="9"/>
  <c r="AB548" i="9"/>
  <c r="AC545" i="9"/>
  <c r="AD542" i="9"/>
  <c r="AE539" i="9"/>
  <c r="AF536" i="9"/>
  <c r="AA535" i="9"/>
  <c r="AG533" i="9"/>
  <c r="AB532" i="9"/>
  <c r="AC529" i="9"/>
  <c r="AD526" i="9"/>
  <c r="AE523" i="9"/>
  <c r="AF520" i="9"/>
  <c r="AA519" i="9"/>
  <c r="AG518" i="9"/>
  <c r="AB517" i="9"/>
  <c r="AG516" i="9"/>
  <c r="AB515" i="9"/>
  <c r="AC513" i="9"/>
  <c r="AD511" i="9"/>
  <c r="AE510" i="9"/>
  <c r="AC508" i="9"/>
  <c r="AF507" i="9"/>
  <c r="AA506" i="9"/>
  <c r="AD505" i="9"/>
  <c r="AG504" i="9"/>
  <c r="AB503" i="9"/>
  <c r="AE502" i="9"/>
  <c r="AC500" i="9"/>
  <c r="AF499" i="9"/>
  <c r="AA498" i="9"/>
  <c r="AD497" i="9"/>
  <c r="AG496" i="9"/>
  <c r="AB495" i="9"/>
  <c r="AE494" i="9"/>
  <c r="AC492" i="9"/>
  <c r="AF491" i="9"/>
  <c r="AA490" i="9"/>
  <c r="AD489" i="9"/>
  <c r="AG488" i="9"/>
  <c r="AB487" i="9"/>
  <c r="AE486" i="9"/>
  <c r="AC484" i="9"/>
  <c r="AF483" i="9"/>
  <c r="AA482" i="9"/>
  <c r="AD481" i="9"/>
  <c r="AG480" i="9"/>
  <c r="AB479" i="9"/>
  <c r="AE478" i="9"/>
  <c r="AC476" i="9"/>
  <c r="AF475" i="9"/>
  <c r="AA474" i="9"/>
  <c r="AD473" i="9"/>
  <c r="AG472" i="9"/>
  <c r="AB471" i="9"/>
  <c r="AE470" i="9"/>
  <c r="AC468" i="9"/>
  <c r="AF467" i="9"/>
  <c r="AA466" i="9"/>
  <c r="AD465" i="9"/>
  <c r="AG464" i="9"/>
  <c r="AB463" i="9"/>
  <c r="AE462" i="9"/>
  <c r="AC460" i="9"/>
  <c r="AF459" i="9"/>
  <c r="AA458" i="9"/>
  <c r="AD457" i="9"/>
  <c r="AG456" i="9"/>
  <c r="AB455" i="9"/>
  <c r="AE454" i="9"/>
  <c r="AC452" i="9"/>
  <c r="AF451" i="9"/>
  <c r="AA450" i="9"/>
  <c r="AD449" i="9"/>
  <c r="AG448" i="9"/>
  <c r="AB447" i="9"/>
  <c r="AE446" i="9"/>
  <c r="AC444" i="9"/>
  <c r="AF443" i="9"/>
  <c r="AE583" i="9"/>
  <c r="AE579" i="9"/>
  <c r="AG573" i="9"/>
  <c r="AB572" i="9"/>
  <c r="AD566" i="9"/>
  <c r="AF560" i="9"/>
  <c r="AA559" i="9"/>
  <c r="AC558" i="9"/>
  <c r="AD555" i="9"/>
  <c r="AE552" i="9"/>
  <c r="AF549" i="9"/>
  <c r="AA548" i="9"/>
  <c r="AG546" i="9"/>
  <c r="AB545" i="9"/>
  <c r="AC542" i="9"/>
  <c r="AD539" i="9"/>
  <c r="AE536" i="9"/>
  <c r="AF533" i="9"/>
  <c r="AA532" i="9"/>
  <c r="AG530" i="9"/>
  <c r="AB529" i="9"/>
  <c r="AC526" i="9"/>
  <c r="AD523" i="9"/>
  <c r="AE520" i="9"/>
  <c r="AE518" i="9"/>
  <c r="AF516" i="9"/>
  <c r="AA515" i="9"/>
  <c r="AG514" i="9"/>
  <c r="AB513" i="9"/>
  <c r="AG512" i="9"/>
  <c r="AB511" i="9"/>
  <c r="AD510" i="9"/>
  <c r="AG509" i="9"/>
  <c r="AB508" i="9"/>
  <c r="AE507" i="9"/>
  <c r="AC505" i="9"/>
  <c r="AF504" i="9"/>
  <c r="AA503" i="9"/>
  <c r="AD502" i="9"/>
  <c r="AG501" i="9"/>
  <c r="AB500" i="9"/>
  <c r="AE499" i="9"/>
  <c r="AC497" i="9"/>
  <c r="AF496" i="9"/>
  <c r="AA495" i="9"/>
  <c r="AD494" i="9"/>
  <c r="AG493" i="9"/>
  <c r="AB492" i="9"/>
  <c r="AE491" i="9"/>
  <c r="AC489" i="9"/>
  <c r="AF488" i="9"/>
  <c r="AA487" i="9"/>
  <c r="AD486" i="9"/>
  <c r="AG485" i="9"/>
  <c r="AB484" i="9"/>
  <c r="AE483" i="9"/>
  <c r="AC481" i="9"/>
  <c r="AF480" i="9"/>
  <c r="AA479" i="9"/>
  <c r="AD478" i="9"/>
  <c r="AG477" i="9"/>
  <c r="AB476" i="9"/>
  <c r="AE475" i="9"/>
  <c r="AC473" i="9"/>
  <c r="AF472" i="9"/>
  <c r="AA471" i="9"/>
  <c r="AD470" i="9"/>
  <c r="AG469" i="9"/>
  <c r="AB468" i="9"/>
  <c r="AE467" i="9"/>
  <c r="AC465" i="9"/>
  <c r="AF464" i="9"/>
  <c r="AA463" i="9"/>
  <c r="AD462" i="9"/>
  <c r="AG461" i="9"/>
  <c r="AB460" i="9"/>
  <c r="AE459" i="9"/>
  <c r="AC457" i="9"/>
  <c r="AF456" i="9"/>
  <c r="AA455" i="9"/>
  <c r="AD454" i="9"/>
  <c r="AG453" i="9"/>
  <c r="AB452" i="9"/>
  <c r="AE451" i="9"/>
  <c r="AC449" i="9"/>
  <c r="AF448" i="9"/>
  <c r="AA447" i="9"/>
  <c r="AD446" i="9"/>
  <c r="AG445" i="9"/>
  <c r="AD506" i="9"/>
  <c r="AF500" i="9"/>
  <c r="AA499" i="9"/>
  <c r="AC493" i="9"/>
  <c r="AE487" i="9"/>
  <c r="AA486" i="9"/>
  <c r="AF484" i="9"/>
  <c r="AA483" i="9"/>
  <c r="AG481" i="9"/>
  <c r="AB480" i="9"/>
  <c r="AC477" i="9"/>
  <c r="AD474" i="9"/>
  <c r="AE471" i="9"/>
  <c r="AF468" i="9"/>
  <c r="AA467" i="9"/>
  <c r="AG465" i="9"/>
  <c r="AB464" i="9"/>
  <c r="AC461" i="9"/>
  <c r="AD458" i="9"/>
  <c r="AE455" i="9"/>
  <c r="AF452" i="9"/>
  <c r="AA451" i="9"/>
  <c r="AG449" i="9"/>
  <c r="AB448" i="9"/>
  <c r="AC445" i="9"/>
  <c r="AA443" i="9"/>
  <c r="AC442" i="9"/>
  <c r="AD441" i="9"/>
  <c r="AG440" i="9"/>
  <c r="AB439" i="9"/>
  <c r="AE438" i="9"/>
  <c r="AC436" i="9"/>
  <c r="AF435" i="9"/>
  <c r="AA434" i="9"/>
  <c r="AD433" i="9"/>
  <c r="AG432" i="9"/>
  <c r="AB431" i="9"/>
  <c r="AE430" i="9"/>
  <c r="AC428" i="9"/>
  <c r="AF427" i="9"/>
  <c r="AA426" i="9"/>
  <c r="AD425" i="9"/>
  <c r="AG424" i="9"/>
  <c r="AB423" i="9"/>
  <c r="AE422" i="9"/>
  <c r="AC420" i="9"/>
  <c r="AF419" i="9"/>
  <c r="AA418" i="9"/>
  <c r="AD417" i="9"/>
  <c r="AG416" i="9"/>
  <c r="AB415" i="9"/>
  <c r="AE414" i="9"/>
  <c r="AC412" i="9"/>
  <c r="AF411" i="9"/>
  <c r="AA410" i="9"/>
  <c r="AD409" i="9"/>
  <c r="AG508" i="9"/>
  <c r="AB507" i="9"/>
  <c r="AD501" i="9"/>
  <c r="AF495" i="9"/>
  <c r="AA494" i="9"/>
  <c r="AC488" i="9"/>
  <c r="AE484" i="9"/>
  <c r="AF481" i="9"/>
  <c r="AA480" i="9"/>
  <c r="AG478" i="9"/>
  <c r="AB477" i="9"/>
  <c r="AC474" i="9"/>
  <c r="AD471" i="9"/>
  <c r="AE468" i="9"/>
  <c r="AF465" i="9"/>
  <c r="AA464" i="9"/>
  <c r="AG462" i="9"/>
  <c r="AB461" i="9"/>
  <c r="AC458" i="9"/>
  <c r="AD455" i="9"/>
  <c r="AE452" i="9"/>
  <c r="AF449" i="9"/>
  <c r="AA448" i="9"/>
  <c r="AG446" i="9"/>
  <c r="AB445" i="9"/>
  <c r="AA442" i="9"/>
  <c r="AC441" i="9"/>
  <c r="AF440" i="9"/>
  <c r="AA439" i="9"/>
  <c r="AD438" i="9"/>
  <c r="AG437" i="9"/>
  <c r="AB436" i="9"/>
  <c r="AE435" i="9"/>
  <c r="AC433" i="9"/>
  <c r="AF432" i="9"/>
  <c r="AA431" i="9"/>
  <c r="AD430" i="9"/>
  <c r="AG429" i="9"/>
  <c r="AB428" i="9"/>
  <c r="AE427" i="9"/>
  <c r="AC425" i="9"/>
  <c r="AF424" i="9"/>
  <c r="AA423" i="9"/>
  <c r="AD422" i="9"/>
  <c r="AG421" i="9"/>
  <c r="AB420" i="9"/>
  <c r="AE419" i="9"/>
  <c r="AC417" i="9"/>
  <c r="AF416" i="9"/>
  <c r="AA415" i="9"/>
  <c r="AD414" i="9"/>
  <c r="AG413" i="9"/>
  <c r="AB412" i="9"/>
  <c r="AE411" i="9"/>
  <c r="AC409" i="9"/>
  <c r="AF408" i="9"/>
  <c r="AA407" i="9"/>
  <c r="AD406" i="9"/>
  <c r="AG405" i="9"/>
  <c r="AB404" i="9"/>
  <c r="AE403" i="9"/>
  <c r="AC401" i="9"/>
  <c r="AF400" i="9"/>
  <c r="AA399" i="9"/>
  <c r="AD398" i="9"/>
  <c r="AG397" i="9"/>
  <c r="AB396" i="9"/>
  <c r="AE395" i="9"/>
  <c r="AC393" i="9"/>
  <c r="AF392" i="9"/>
  <c r="AA391" i="9"/>
  <c r="AD390" i="9"/>
  <c r="AG389" i="9"/>
  <c r="AB388" i="9"/>
  <c r="AE387" i="9"/>
  <c r="AC385" i="9"/>
  <c r="AF384" i="9"/>
  <c r="AA383" i="9"/>
  <c r="AD382" i="9"/>
  <c r="AG381" i="9"/>
  <c r="AB380" i="9"/>
  <c r="AE379" i="9"/>
  <c r="AC377" i="9"/>
  <c r="AF376" i="9"/>
  <c r="AA375" i="9"/>
  <c r="AD374" i="9"/>
  <c r="AG373" i="9"/>
  <c r="AB372" i="9"/>
  <c r="AE371" i="9"/>
  <c r="AC369" i="9"/>
  <c r="AF508" i="9"/>
  <c r="AA507" i="9"/>
  <c r="AC501" i="9"/>
  <c r="AE495" i="9"/>
  <c r="AG489" i="9"/>
  <c r="AB488" i="9"/>
  <c r="AF485" i="9"/>
  <c r="AA484" i="9"/>
  <c r="AG482" i="9"/>
  <c r="AB481" i="9"/>
  <c r="AC478" i="9"/>
  <c r="AD475" i="9"/>
  <c r="AE472" i="9"/>
  <c r="AF469" i="9"/>
  <c r="AA468" i="9"/>
  <c r="AG466" i="9"/>
  <c r="AB465" i="9"/>
  <c r="AC462" i="9"/>
  <c r="AD459" i="9"/>
  <c r="AE456" i="9"/>
  <c r="AF453" i="9"/>
  <c r="AA452" i="9"/>
  <c r="AG450" i="9"/>
  <c r="AB449" i="9"/>
  <c r="AC446" i="9"/>
  <c r="AB441" i="9"/>
  <c r="AE440" i="9"/>
  <c r="AC438" i="9"/>
  <c r="AF437" i="9"/>
  <c r="AA436" i="9"/>
  <c r="AD435" i="9"/>
  <c r="AD509" i="9"/>
  <c r="AF503" i="9"/>
  <c r="AA502" i="9"/>
  <c r="AC496" i="9"/>
  <c r="AE490" i="9"/>
  <c r="AD485" i="9"/>
  <c r="AE482" i="9"/>
  <c r="AF479" i="9"/>
  <c r="AA478" i="9"/>
  <c r="AG476" i="9"/>
  <c r="AB475" i="9"/>
  <c r="AC472" i="9"/>
  <c r="AD469" i="9"/>
  <c r="AE466" i="9"/>
  <c r="AF463" i="9"/>
  <c r="AA462" i="9"/>
  <c r="AG460" i="9"/>
  <c r="AB459" i="9"/>
  <c r="AC456" i="9"/>
  <c r="AD453" i="9"/>
  <c r="AE450" i="9"/>
  <c r="AF447" i="9"/>
  <c r="AA446" i="9"/>
  <c r="AG444" i="9"/>
  <c r="AA441" i="9"/>
  <c r="AD440" i="9"/>
  <c r="AG439" i="9"/>
  <c r="AB438" i="9"/>
  <c r="AE437" i="9"/>
  <c r="AC435" i="9"/>
  <c r="AC509" i="9"/>
  <c r="AE503" i="9"/>
  <c r="AG497" i="9"/>
  <c r="AB496" i="9"/>
  <c r="AD490" i="9"/>
  <c r="AC485" i="9"/>
  <c r="AD482" i="9"/>
  <c r="AE479" i="9"/>
  <c r="AF476" i="9"/>
  <c r="AA475" i="9"/>
  <c r="AG473" i="9"/>
  <c r="AB472" i="9"/>
  <c r="AC469" i="9"/>
  <c r="AD466" i="9"/>
  <c r="AE463" i="9"/>
  <c r="AF460" i="9"/>
  <c r="AA459" i="9"/>
  <c r="AG457" i="9"/>
  <c r="AB456" i="9"/>
  <c r="AC453" i="9"/>
  <c r="AD450" i="9"/>
  <c r="AE447" i="9"/>
  <c r="AF444" i="9"/>
  <c r="AC440" i="9"/>
  <c r="AF439" i="9"/>
  <c r="AA438" i="9"/>
  <c r="AD437" i="9"/>
  <c r="AG436" i="9"/>
  <c r="AB435" i="9"/>
  <c r="AE434" i="9"/>
  <c r="AC432" i="9"/>
  <c r="AF431" i="9"/>
  <c r="AA430" i="9"/>
  <c r="AD429" i="9"/>
  <c r="AG428" i="9"/>
  <c r="AB427" i="9"/>
  <c r="AE426" i="9"/>
  <c r="AC424" i="9"/>
  <c r="AF423" i="9"/>
  <c r="AA422" i="9"/>
  <c r="AD421" i="9"/>
  <c r="AG420" i="9"/>
  <c r="AB419" i="9"/>
  <c r="AE418" i="9"/>
  <c r="AC416" i="9"/>
  <c r="AF415" i="9"/>
  <c r="AA414" i="9"/>
  <c r="AD413" i="9"/>
  <c r="AG412" i="9"/>
  <c r="AB411" i="9"/>
  <c r="AC504" i="9"/>
  <c r="AE498" i="9"/>
  <c r="AG492" i="9"/>
  <c r="AB491" i="9"/>
  <c r="AB485" i="9"/>
  <c r="AC482" i="9"/>
  <c r="AD479" i="9"/>
  <c r="AE476" i="9"/>
  <c r="AF473" i="9"/>
  <c r="AA472" i="9"/>
  <c r="AG470" i="9"/>
  <c r="AB469" i="9"/>
  <c r="AC466" i="9"/>
  <c r="AD463" i="9"/>
  <c r="AE460" i="9"/>
  <c r="AF457" i="9"/>
  <c r="AA456" i="9"/>
  <c r="AG454" i="9"/>
  <c r="AB453" i="9"/>
  <c r="AC450" i="9"/>
  <c r="AD447" i="9"/>
  <c r="AE444" i="9"/>
  <c r="AE443" i="9"/>
  <c r="AG442" i="9"/>
  <c r="AG441" i="9"/>
  <c r="AB440" i="9"/>
  <c r="AE439" i="9"/>
  <c r="AC437" i="9"/>
  <c r="AF436" i="9"/>
  <c r="AA435" i="9"/>
  <c r="AD434" i="9"/>
  <c r="AG433" i="9"/>
  <c r="AB432" i="9"/>
  <c r="AE431" i="9"/>
  <c r="AC429" i="9"/>
  <c r="AF428" i="9"/>
  <c r="AA427" i="9"/>
  <c r="AD426" i="9"/>
  <c r="AG425" i="9"/>
  <c r="AB424" i="9"/>
  <c r="AE423" i="9"/>
  <c r="AC421" i="9"/>
  <c r="AF420" i="9"/>
  <c r="AA419" i="9"/>
  <c r="AD418" i="9"/>
  <c r="AG417" i="9"/>
  <c r="AB416" i="9"/>
  <c r="AE415" i="9"/>
  <c r="AC413" i="9"/>
  <c r="AF412" i="9"/>
  <c r="AA411" i="9"/>
  <c r="AD410" i="9"/>
  <c r="AG409" i="9"/>
  <c r="AB408" i="9"/>
  <c r="AE407" i="9"/>
  <c r="AC405" i="9"/>
  <c r="AF404" i="9"/>
  <c r="AA403" i="9"/>
  <c r="AD402" i="9"/>
  <c r="AG401" i="9"/>
  <c r="AB400" i="9"/>
  <c r="AE399" i="9"/>
  <c r="AC397" i="9"/>
  <c r="AF396" i="9"/>
  <c r="AA395" i="9"/>
  <c r="AD394" i="9"/>
  <c r="AG393" i="9"/>
  <c r="AB392" i="9"/>
  <c r="AE391" i="9"/>
  <c r="AC389" i="9"/>
  <c r="AF388" i="9"/>
  <c r="AA387" i="9"/>
  <c r="AD386" i="9"/>
  <c r="AG385" i="9"/>
  <c r="AB384" i="9"/>
  <c r="AE383" i="9"/>
  <c r="AC381" i="9"/>
  <c r="AF380" i="9"/>
  <c r="AA379" i="9"/>
  <c r="AD378" i="9"/>
  <c r="AG377" i="9"/>
  <c r="AB376" i="9"/>
  <c r="AE375" i="9"/>
  <c r="AC373" i="9"/>
  <c r="AF372" i="9"/>
  <c r="AA371" i="9"/>
  <c r="AD370" i="9"/>
  <c r="AG369" i="9"/>
  <c r="AG505" i="9"/>
  <c r="AB504" i="9"/>
  <c r="AD498" i="9"/>
  <c r="AF492" i="9"/>
  <c r="AA491" i="9"/>
  <c r="AD483" i="9"/>
  <c r="AE480" i="9"/>
  <c r="AF477" i="9"/>
  <c r="AA476" i="9"/>
  <c r="AG474" i="9"/>
  <c r="AB473" i="9"/>
  <c r="AC470" i="9"/>
  <c r="AD467" i="9"/>
  <c r="AE464" i="9"/>
  <c r="AF461" i="9"/>
  <c r="AA460" i="9"/>
  <c r="AG458" i="9"/>
  <c r="AB457" i="9"/>
  <c r="AC454" i="9"/>
  <c r="AD451" i="9"/>
  <c r="AE448" i="9"/>
  <c r="AF445" i="9"/>
  <c r="AB444" i="9"/>
  <c r="AD443" i="9"/>
  <c r="AE442" i="9"/>
  <c r="AF441" i="9"/>
  <c r="AA440" i="9"/>
  <c r="AD439" i="9"/>
  <c r="AG438" i="9"/>
  <c r="AB437" i="9"/>
  <c r="AE436" i="9"/>
  <c r="AC434" i="9"/>
  <c r="AF433" i="9"/>
  <c r="AA432" i="9"/>
  <c r="AD431" i="9"/>
  <c r="AG430" i="9"/>
  <c r="AB429" i="9"/>
  <c r="AE428" i="9"/>
  <c r="AC426" i="9"/>
  <c r="AF425" i="9"/>
  <c r="AA424" i="9"/>
  <c r="AD423" i="9"/>
  <c r="AG422" i="9"/>
  <c r="AB421" i="9"/>
  <c r="AE420" i="9"/>
  <c r="AC418" i="9"/>
  <c r="AF417" i="9"/>
  <c r="AA416" i="9"/>
  <c r="AD415" i="9"/>
  <c r="AG414" i="9"/>
  <c r="AB413" i="9"/>
  <c r="AE412" i="9"/>
  <c r="AC410" i="9"/>
  <c r="AF409" i="9"/>
  <c r="AA408" i="9"/>
  <c r="AD407" i="9"/>
  <c r="AG406" i="9"/>
  <c r="AB405" i="9"/>
  <c r="AE404" i="9"/>
  <c r="AC402" i="9"/>
  <c r="AF401" i="9"/>
  <c r="AA400" i="9"/>
  <c r="AD399" i="9"/>
  <c r="AG398" i="9"/>
  <c r="AB397" i="9"/>
  <c r="AE396" i="9"/>
  <c r="AC394" i="9"/>
  <c r="AF393" i="9"/>
  <c r="AA392" i="9"/>
  <c r="AD391" i="9"/>
  <c r="AG390" i="9"/>
  <c r="AB389" i="9"/>
  <c r="AE388" i="9"/>
  <c r="AC386" i="9"/>
  <c r="AF385" i="9"/>
  <c r="AA384" i="9"/>
  <c r="AD383" i="9"/>
  <c r="AG382" i="9"/>
  <c r="AB381" i="9"/>
  <c r="AE380" i="9"/>
  <c r="AC378" i="9"/>
  <c r="AF377" i="9"/>
  <c r="AA376" i="9"/>
  <c r="AD375" i="9"/>
  <c r="AG374" i="9"/>
  <c r="AE506" i="9"/>
  <c r="AG500" i="9"/>
  <c r="AB499" i="9"/>
  <c r="AD493" i="9"/>
  <c r="AF487" i="9"/>
  <c r="AG486" i="9"/>
  <c r="AG484" i="9"/>
  <c r="AB483" i="9"/>
  <c r="AC480" i="9"/>
  <c r="AD477" i="9"/>
  <c r="AE474" i="9"/>
  <c r="AF471" i="9"/>
  <c r="AA470" i="9"/>
  <c r="AG468" i="9"/>
  <c r="AB467" i="9"/>
  <c r="AC464" i="9"/>
  <c r="AD461" i="9"/>
  <c r="AE458" i="9"/>
  <c r="AF455" i="9"/>
  <c r="AA454" i="9"/>
  <c r="AG452" i="9"/>
  <c r="AB451" i="9"/>
  <c r="AC448" i="9"/>
  <c r="AD445" i="9"/>
  <c r="AA444" i="9"/>
  <c r="AB443" i="9"/>
  <c r="AD442" i="9"/>
  <c r="AE441" i="9"/>
  <c r="AC439" i="9"/>
  <c r="AF438" i="9"/>
  <c r="AA437" i="9"/>
  <c r="AD436" i="9"/>
  <c r="AG435" i="9"/>
  <c r="AB434" i="9"/>
  <c r="AE433" i="9"/>
  <c r="AC431" i="9"/>
  <c r="AF430" i="9"/>
  <c r="AA429" i="9"/>
  <c r="AD428" i="9"/>
  <c r="AG427" i="9"/>
  <c r="AB426" i="9"/>
  <c r="AE425" i="9"/>
  <c r="AC423" i="9"/>
  <c r="AF422" i="9"/>
  <c r="AA421" i="9"/>
  <c r="AD420" i="9"/>
  <c r="AG419" i="9"/>
  <c r="AB418" i="9"/>
  <c r="AE417" i="9"/>
  <c r="AC415" i="9"/>
  <c r="AF414" i="9"/>
  <c r="AA413" i="9"/>
  <c r="AD412" i="9"/>
  <c r="AG411" i="9"/>
  <c r="AB410" i="9"/>
  <c r="AE409" i="9"/>
  <c r="AC407" i="9"/>
  <c r="AF406" i="9"/>
  <c r="AA405" i="9"/>
  <c r="AD404" i="9"/>
  <c r="AG403" i="9"/>
  <c r="AB402" i="9"/>
  <c r="AE401" i="9"/>
  <c r="AC399" i="9"/>
  <c r="AF398" i="9"/>
  <c r="AA397" i="9"/>
  <c r="AD396" i="9"/>
  <c r="AG395" i="9"/>
  <c r="AB394" i="9"/>
  <c r="AE393" i="9"/>
  <c r="AC391" i="9"/>
  <c r="AF390" i="9"/>
  <c r="AA389" i="9"/>
  <c r="AD388" i="9"/>
  <c r="AG387" i="9"/>
  <c r="AB386" i="9"/>
  <c r="AE385" i="9"/>
  <c r="AC383" i="9"/>
  <c r="AF382" i="9"/>
  <c r="AA381" i="9"/>
  <c r="AD380" i="9"/>
  <c r="AG379" i="9"/>
  <c r="AB378" i="9"/>
  <c r="AE377" i="9"/>
  <c r="AC375" i="9"/>
  <c r="AF374" i="9"/>
  <c r="AA373" i="9"/>
  <c r="AD372" i="9"/>
  <c r="AG371" i="9"/>
  <c r="AB370" i="9"/>
  <c r="AE369" i="9"/>
  <c r="AG434" i="9"/>
  <c r="AB433" i="9"/>
  <c r="AD427" i="9"/>
  <c r="AF421" i="9"/>
  <c r="AA420" i="9"/>
  <c r="AC414" i="9"/>
  <c r="AB409" i="9"/>
  <c r="AC406" i="9"/>
  <c r="AD403" i="9"/>
  <c r="AE400" i="9"/>
  <c r="AF397" i="9"/>
  <c r="AA396" i="9"/>
  <c r="AG394" i="9"/>
  <c r="AB393" i="9"/>
  <c r="AC390" i="9"/>
  <c r="AD387" i="9"/>
  <c r="AE384" i="9"/>
  <c r="AF381" i="9"/>
  <c r="AA380" i="9"/>
  <c r="AG378" i="9"/>
  <c r="AB377" i="9"/>
  <c r="AC374" i="9"/>
  <c r="AB373" i="9"/>
  <c r="AC372" i="9"/>
  <c r="AD371" i="9"/>
  <c r="AF370" i="9"/>
  <c r="AC368" i="9"/>
  <c r="AF367" i="9"/>
  <c r="AA366" i="9"/>
  <c r="AD365" i="9"/>
  <c r="AG364" i="9"/>
  <c r="AB363" i="9"/>
  <c r="AE362" i="9"/>
  <c r="AC360" i="9"/>
  <c r="AF359" i="9"/>
  <c r="AA358" i="9"/>
  <c r="AD357" i="9"/>
  <c r="AG356" i="9"/>
  <c r="AB355" i="9"/>
  <c r="AE354" i="9"/>
  <c r="AC352" i="9"/>
  <c r="AF351" i="9"/>
  <c r="AA350" i="9"/>
  <c r="AD349" i="9"/>
  <c r="AG348" i="9"/>
  <c r="AB347" i="9"/>
  <c r="AE346" i="9"/>
  <c r="AC344" i="9"/>
  <c r="AF343" i="9"/>
  <c r="AA342" i="9"/>
  <c r="AD341" i="9"/>
  <c r="AG340" i="9"/>
  <c r="AB339" i="9"/>
  <c r="AE338" i="9"/>
  <c r="AC336" i="9"/>
  <c r="AF335" i="9"/>
  <c r="AA334" i="9"/>
  <c r="AD333" i="9"/>
  <c r="AG332" i="9"/>
  <c r="AB331" i="9"/>
  <c r="AE330" i="9"/>
  <c r="AC328" i="9"/>
  <c r="AF327" i="9"/>
  <c r="AA326" i="9"/>
  <c r="AD325" i="9"/>
  <c r="AG324" i="9"/>
  <c r="AB323" i="9"/>
  <c r="AE322" i="9"/>
  <c r="AC320" i="9"/>
  <c r="AF319" i="9"/>
  <c r="AA318" i="9"/>
  <c r="AD317" i="9"/>
  <c r="AG316" i="9"/>
  <c r="AB315" i="9"/>
  <c r="AF434" i="9"/>
  <c r="AA433" i="9"/>
  <c r="AC427" i="9"/>
  <c r="AE421" i="9"/>
  <c r="AG415" i="9"/>
  <c r="AB414" i="9"/>
  <c r="AA409" i="9"/>
  <c r="AG407" i="9"/>
  <c r="AB406" i="9"/>
  <c r="AC403" i="9"/>
  <c r="AD400" i="9"/>
  <c r="AE397" i="9"/>
  <c r="AF394" i="9"/>
  <c r="AA393" i="9"/>
  <c r="AG391" i="9"/>
  <c r="AB390" i="9"/>
  <c r="AC387" i="9"/>
  <c r="AD384" i="9"/>
  <c r="AE381" i="9"/>
  <c r="AF378" i="9"/>
  <c r="AA377" i="9"/>
  <c r="AG375" i="9"/>
  <c r="AB374" i="9"/>
  <c r="AA372" i="9"/>
  <c r="AC371" i="9"/>
  <c r="AE370" i="9"/>
  <c r="AF369" i="9"/>
  <c r="AB368" i="9"/>
  <c r="AE367" i="9"/>
  <c r="AC365" i="9"/>
  <c r="AF364" i="9"/>
  <c r="AA363" i="9"/>
  <c r="AD362" i="9"/>
  <c r="AG361" i="9"/>
  <c r="AB360" i="9"/>
  <c r="AE359" i="9"/>
  <c r="AC357" i="9"/>
  <c r="AF356" i="9"/>
  <c r="AA355" i="9"/>
  <c r="AD354" i="9"/>
  <c r="AG353" i="9"/>
  <c r="AB352" i="9"/>
  <c r="AE351" i="9"/>
  <c r="AC349" i="9"/>
  <c r="AF348" i="9"/>
  <c r="AA347" i="9"/>
  <c r="AD346" i="9"/>
  <c r="AG345" i="9"/>
  <c r="AB344" i="9"/>
  <c r="AE343" i="9"/>
  <c r="AC341" i="9"/>
  <c r="AF340" i="9"/>
  <c r="AA339" i="9"/>
  <c r="AD338" i="9"/>
  <c r="AG337" i="9"/>
  <c r="AB336" i="9"/>
  <c r="AE335" i="9"/>
  <c r="AC333" i="9"/>
  <c r="AF332" i="9"/>
  <c r="AA331" i="9"/>
  <c r="AD330" i="9"/>
  <c r="AG329" i="9"/>
  <c r="AB328" i="9"/>
  <c r="AE327" i="9"/>
  <c r="AC325" i="9"/>
  <c r="AF324" i="9"/>
  <c r="AA323" i="9"/>
  <c r="AD322" i="9"/>
  <c r="AG321" i="9"/>
  <c r="AB320" i="9"/>
  <c r="AE319" i="9"/>
  <c r="AC317" i="9"/>
  <c r="AF316" i="9"/>
  <c r="AA315" i="9"/>
  <c r="AD314" i="9"/>
  <c r="AG313" i="9"/>
  <c r="AB312" i="9"/>
  <c r="AE311" i="9"/>
  <c r="AC309" i="9"/>
  <c r="AF308" i="9"/>
  <c r="AA307" i="9"/>
  <c r="AD306" i="9"/>
  <c r="AG305" i="9"/>
  <c r="AB304" i="9"/>
  <c r="AE303" i="9"/>
  <c r="AC301" i="9"/>
  <c r="AF300" i="9"/>
  <c r="AA299" i="9"/>
  <c r="AD298" i="9"/>
  <c r="AG297" i="9"/>
  <c r="AB296" i="9"/>
  <c r="AE295" i="9"/>
  <c r="AF429" i="9"/>
  <c r="AA428" i="9"/>
  <c r="AC422" i="9"/>
  <c r="AE416" i="9"/>
  <c r="AF407" i="9"/>
  <c r="AA406" i="9"/>
  <c r="AG404" i="9"/>
  <c r="AB403" i="9"/>
  <c r="AC400" i="9"/>
  <c r="AD397" i="9"/>
  <c r="AE394" i="9"/>
  <c r="AF391" i="9"/>
  <c r="AA390" i="9"/>
  <c r="AG388" i="9"/>
  <c r="AB387" i="9"/>
  <c r="AC384" i="9"/>
  <c r="AD381" i="9"/>
  <c r="AE378" i="9"/>
  <c r="AF375" i="9"/>
  <c r="AA374" i="9"/>
  <c r="AB371" i="9"/>
  <c r="AC370" i="9"/>
  <c r="AD369" i="9"/>
  <c r="AA368" i="9"/>
  <c r="AD367" i="9"/>
  <c r="AG366" i="9"/>
  <c r="AB365" i="9"/>
  <c r="AE364" i="9"/>
  <c r="AC362" i="9"/>
  <c r="AF361" i="9"/>
  <c r="AA360" i="9"/>
  <c r="AD359" i="9"/>
  <c r="AG358" i="9"/>
  <c r="AB357" i="9"/>
  <c r="AE356" i="9"/>
  <c r="AC354" i="9"/>
  <c r="AF353" i="9"/>
  <c r="AA352" i="9"/>
  <c r="AD351" i="9"/>
  <c r="AG350" i="9"/>
  <c r="AB349" i="9"/>
  <c r="AE348" i="9"/>
  <c r="AC346" i="9"/>
  <c r="AF345" i="9"/>
  <c r="AA344" i="9"/>
  <c r="AD343" i="9"/>
  <c r="AG342" i="9"/>
  <c r="AB341" i="9"/>
  <c r="AE340" i="9"/>
  <c r="AC338" i="9"/>
  <c r="AF337" i="9"/>
  <c r="AA336" i="9"/>
  <c r="AD335" i="9"/>
  <c r="AG334" i="9"/>
  <c r="AB333" i="9"/>
  <c r="AE332" i="9"/>
  <c r="AC330" i="9"/>
  <c r="AF329" i="9"/>
  <c r="AA328" i="9"/>
  <c r="AD327" i="9"/>
  <c r="AG326" i="9"/>
  <c r="AB325" i="9"/>
  <c r="AE324" i="9"/>
  <c r="AC322" i="9"/>
  <c r="AF321" i="9"/>
  <c r="AA320" i="9"/>
  <c r="AD319" i="9"/>
  <c r="AG318" i="9"/>
  <c r="AB317" i="9"/>
  <c r="AE316" i="9"/>
  <c r="AC314" i="9"/>
  <c r="AF313" i="9"/>
  <c r="AA312" i="9"/>
  <c r="AD311" i="9"/>
  <c r="AG310" i="9"/>
  <c r="AB309" i="9"/>
  <c r="AE308" i="9"/>
  <c r="AC306" i="9"/>
  <c r="AF305" i="9"/>
  <c r="AA304" i="9"/>
  <c r="AE429" i="9"/>
  <c r="AG423" i="9"/>
  <c r="AB422" i="9"/>
  <c r="AD416" i="9"/>
  <c r="AG408" i="9"/>
  <c r="AB407" i="9"/>
  <c r="AC404" i="9"/>
  <c r="AD401" i="9"/>
  <c r="AE398" i="9"/>
  <c r="AF395" i="9"/>
  <c r="AA394" i="9"/>
  <c r="AG392" i="9"/>
  <c r="AB391" i="9"/>
  <c r="AC388" i="9"/>
  <c r="AD385" i="9"/>
  <c r="AE382" i="9"/>
  <c r="AF379" i="9"/>
  <c r="AA378" i="9"/>
  <c r="AG376" i="9"/>
  <c r="AB375" i="9"/>
  <c r="AA370" i="9"/>
  <c r="AB369" i="9"/>
  <c r="AC367" i="9"/>
  <c r="AF366" i="9"/>
  <c r="AA365" i="9"/>
  <c r="AD364" i="9"/>
  <c r="AG363" i="9"/>
  <c r="AB362" i="9"/>
  <c r="AE361" i="9"/>
  <c r="AC359" i="9"/>
  <c r="AF358" i="9"/>
  <c r="AA357" i="9"/>
  <c r="AD356" i="9"/>
  <c r="AG355" i="9"/>
  <c r="AB354" i="9"/>
  <c r="AE353" i="9"/>
  <c r="AC351" i="9"/>
  <c r="AF350" i="9"/>
  <c r="AA349" i="9"/>
  <c r="AD348" i="9"/>
  <c r="AG347" i="9"/>
  <c r="AB346" i="9"/>
  <c r="AE345" i="9"/>
  <c r="AC343" i="9"/>
  <c r="AF342" i="9"/>
  <c r="AA341" i="9"/>
  <c r="AD340" i="9"/>
  <c r="AG339" i="9"/>
  <c r="AB338" i="9"/>
  <c r="AE337" i="9"/>
  <c r="AC335" i="9"/>
  <c r="AF334" i="9"/>
  <c r="AA333" i="9"/>
  <c r="AD332" i="9"/>
  <c r="AG331" i="9"/>
  <c r="AB330" i="9"/>
  <c r="AE329" i="9"/>
  <c r="AC327" i="9"/>
  <c r="AF326" i="9"/>
  <c r="AA325" i="9"/>
  <c r="AD324" i="9"/>
  <c r="AG323" i="9"/>
  <c r="AB322" i="9"/>
  <c r="AE321" i="9"/>
  <c r="AC319" i="9"/>
  <c r="AF318" i="9"/>
  <c r="AA317" i="9"/>
  <c r="AD316" i="9"/>
  <c r="AG315" i="9"/>
  <c r="AB314" i="9"/>
  <c r="AE313" i="9"/>
  <c r="AC311" i="9"/>
  <c r="AF310" i="9"/>
  <c r="AA309" i="9"/>
  <c r="AD308" i="9"/>
  <c r="AG307" i="9"/>
  <c r="AB306" i="9"/>
  <c r="AE305" i="9"/>
  <c r="AC303" i="9"/>
  <c r="AF302" i="9"/>
  <c r="AA301" i="9"/>
  <c r="AD300" i="9"/>
  <c r="AG299" i="9"/>
  <c r="AB298" i="9"/>
  <c r="AE297" i="9"/>
  <c r="AC295" i="9"/>
  <c r="AC430" i="9"/>
  <c r="AE424" i="9"/>
  <c r="AG418" i="9"/>
  <c r="AB417" i="9"/>
  <c r="AD411" i="9"/>
  <c r="AG410" i="9"/>
  <c r="AE408" i="9"/>
  <c r="AF405" i="9"/>
  <c r="AA404" i="9"/>
  <c r="AG402" i="9"/>
  <c r="AB401" i="9"/>
  <c r="AC398" i="9"/>
  <c r="AD395" i="9"/>
  <c r="AE392" i="9"/>
  <c r="AF389" i="9"/>
  <c r="AA388" i="9"/>
  <c r="AG386" i="9"/>
  <c r="AB385" i="9"/>
  <c r="AC382" i="9"/>
  <c r="AD379" i="9"/>
  <c r="AE376" i="9"/>
  <c r="AA369" i="9"/>
  <c r="AG368" i="9"/>
  <c r="AB367" i="9"/>
  <c r="AE366" i="9"/>
  <c r="AC364" i="9"/>
  <c r="AF363" i="9"/>
  <c r="AA362" i="9"/>
  <c r="AD361" i="9"/>
  <c r="AG360" i="9"/>
  <c r="AB359" i="9"/>
  <c r="AE358" i="9"/>
  <c r="AC356" i="9"/>
  <c r="AF355" i="9"/>
  <c r="AA354" i="9"/>
  <c r="AD353" i="9"/>
  <c r="AG352" i="9"/>
  <c r="AB351" i="9"/>
  <c r="AE350" i="9"/>
  <c r="AC348" i="9"/>
  <c r="AF347" i="9"/>
  <c r="AA346" i="9"/>
  <c r="AD345" i="9"/>
  <c r="AG344" i="9"/>
  <c r="AB343" i="9"/>
  <c r="AE342" i="9"/>
  <c r="AC340" i="9"/>
  <c r="AF339" i="9"/>
  <c r="AA338" i="9"/>
  <c r="AD337" i="9"/>
  <c r="AG336" i="9"/>
  <c r="AB335" i="9"/>
  <c r="AE334" i="9"/>
  <c r="AC332" i="9"/>
  <c r="AF331" i="9"/>
  <c r="AA330" i="9"/>
  <c r="AD329" i="9"/>
  <c r="AG328" i="9"/>
  <c r="AB327" i="9"/>
  <c r="AE326" i="9"/>
  <c r="AC324" i="9"/>
  <c r="AF323" i="9"/>
  <c r="AA322" i="9"/>
  <c r="AD321" i="9"/>
  <c r="AG320" i="9"/>
  <c r="AB319" i="9"/>
  <c r="AE318" i="9"/>
  <c r="AC316" i="9"/>
  <c r="AF315" i="9"/>
  <c r="AG431" i="9"/>
  <c r="AB430" i="9"/>
  <c r="AD424" i="9"/>
  <c r="AF418" i="9"/>
  <c r="AA417" i="9"/>
  <c r="AC411" i="9"/>
  <c r="AF410" i="9"/>
  <c r="AD408" i="9"/>
  <c r="AE405" i="9"/>
  <c r="AF402" i="9"/>
  <c r="AA401" i="9"/>
  <c r="AG399" i="9"/>
  <c r="AB398" i="9"/>
  <c r="AC395" i="9"/>
  <c r="AD392" i="9"/>
  <c r="AE389" i="9"/>
  <c r="AF386" i="9"/>
  <c r="AA385" i="9"/>
  <c r="AG383" i="9"/>
  <c r="AB382" i="9"/>
  <c r="AC379" i="9"/>
  <c r="AD376" i="9"/>
  <c r="AF373" i="9"/>
  <c r="AF368" i="9"/>
  <c r="AA367" i="9"/>
  <c r="AD366" i="9"/>
  <c r="AG365" i="9"/>
  <c r="AB364" i="9"/>
  <c r="AE363" i="9"/>
  <c r="AC361" i="9"/>
  <c r="AF360" i="9"/>
  <c r="AA359" i="9"/>
  <c r="AD358" i="9"/>
  <c r="AG357" i="9"/>
  <c r="AB356" i="9"/>
  <c r="AE355" i="9"/>
  <c r="AC353" i="9"/>
  <c r="AF352" i="9"/>
  <c r="AA351" i="9"/>
  <c r="AD350" i="9"/>
  <c r="AG349" i="9"/>
  <c r="AB348" i="9"/>
  <c r="AE347" i="9"/>
  <c r="AC345" i="9"/>
  <c r="AF344" i="9"/>
  <c r="AA343" i="9"/>
  <c r="AD342" i="9"/>
  <c r="AG341" i="9"/>
  <c r="AB340" i="9"/>
  <c r="AE339" i="9"/>
  <c r="AC337" i="9"/>
  <c r="AF336" i="9"/>
  <c r="AA335" i="9"/>
  <c r="AD334" i="9"/>
  <c r="AG333" i="9"/>
  <c r="AB332" i="9"/>
  <c r="AE331" i="9"/>
  <c r="AC329" i="9"/>
  <c r="AF328" i="9"/>
  <c r="AA327" i="9"/>
  <c r="AD326" i="9"/>
  <c r="AG325" i="9"/>
  <c r="AB324" i="9"/>
  <c r="AE323" i="9"/>
  <c r="AC321" i="9"/>
  <c r="AF320" i="9"/>
  <c r="AA319" i="9"/>
  <c r="AD318" i="9"/>
  <c r="AG317" i="9"/>
  <c r="AB316" i="9"/>
  <c r="AE315" i="9"/>
  <c r="AC313" i="9"/>
  <c r="AF312" i="9"/>
  <c r="AA311" i="9"/>
  <c r="AD310" i="9"/>
  <c r="AG309" i="9"/>
  <c r="AB308" i="9"/>
  <c r="AE307" i="9"/>
  <c r="AC305" i="9"/>
  <c r="AF304" i="9"/>
  <c r="AA303" i="9"/>
  <c r="AD302" i="9"/>
  <c r="AG301" i="9"/>
  <c r="AB300" i="9"/>
  <c r="AE299" i="9"/>
  <c r="AC297" i="9"/>
  <c r="AF296" i="9"/>
  <c r="AA295" i="9"/>
  <c r="AD294" i="9"/>
  <c r="AE432" i="9"/>
  <c r="AG426" i="9"/>
  <c r="AB425" i="9"/>
  <c r="AD419" i="9"/>
  <c r="AF413" i="9"/>
  <c r="AA412" i="9"/>
  <c r="AE410" i="9"/>
  <c r="AC408" i="9"/>
  <c r="AD405" i="9"/>
  <c r="AE402" i="9"/>
  <c r="AF399" i="9"/>
  <c r="AA398" i="9"/>
  <c r="AG396" i="9"/>
  <c r="AB395" i="9"/>
  <c r="AC392" i="9"/>
  <c r="AD389" i="9"/>
  <c r="AE386" i="9"/>
  <c r="AF383" i="9"/>
  <c r="AA382" i="9"/>
  <c r="AG380" i="9"/>
  <c r="AB379" i="9"/>
  <c r="AC376" i="9"/>
  <c r="AE373" i="9"/>
  <c r="AG372" i="9"/>
  <c r="AE368" i="9"/>
  <c r="AC366" i="9"/>
  <c r="AF365" i="9"/>
  <c r="AA364" i="9"/>
  <c r="AD363" i="9"/>
  <c r="AG362" i="9"/>
  <c r="AB361" i="9"/>
  <c r="AE360" i="9"/>
  <c r="AC358" i="9"/>
  <c r="AF357" i="9"/>
  <c r="AA356" i="9"/>
  <c r="AD355" i="9"/>
  <c r="AG354" i="9"/>
  <c r="AB353" i="9"/>
  <c r="AE352" i="9"/>
  <c r="AC350" i="9"/>
  <c r="AF349" i="9"/>
  <c r="AA348" i="9"/>
  <c r="AD347" i="9"/>
  <c r="AG346" i="9"/>
  <c r="AB345" i="9"/>
  <c r="AE344" i="9"/>
  <c r="AC342" i="9"/>
  <c r="AF341" i="9"/>
  <c r="AA340" i="9"/>
  <c r="AD339" i="9"/>
  <c r="AG338" i="9"/>
  <c r="AB337" i="9"/>
  <c r="AE336" i="9"/>
  <c r="AC334" i="9"/>
  <c r="AF333" i="9"/>
  <c r="AA332" i="9"/>
  <c r="AD331" i="9"/>
  <c r="AG330" i="9"/>
  <c r="AB329" i="9"/>
  <c r="AE328" i="9"/>
  <c r="AC326" i="9"/>
  <c r="AF325" i="9"/>
  <c r="AA324" i="9"/>
  <c r="AD323" i="9"/>
  <c r="AG322" i="9"/>
  <c r="AB321" i="9"/>
  <c r="AE320" i="9"/>
  <c r="AC318" i="9"/>
  <c r="AF317" i="9"/>
  <c r="AA316" i="9"/>
  <c r="AD315" i="9"/>
  <c r="AG314" i="9"/>
  <c r="AB313" i="9"/>
  <c r="AE312" i="9"/>
  <c r="AC310" i="9"/>
  <c r="AF309" i="9"/>
  <c r="AA308" i="9"/>
  <c r="AD307" i="9"/>
  <c r="AG306" i="9"/>
  <c r="AB305" i="9"/>
  <c r="AE304" i="9"/>
  <c r="AC302" i="9"/>
  <c r="AF301" i="9"/>
  <c r="AA300" i="9"/>
  <c r="AD299" i="9"/>
  <c r="AG298" i="9"/>
  <c r="AB297" i="9"/>
  <c r="AD432" i="9"/>
  <c r="AF426" i="9"/>
  <c r="AA425" i="9"/>
  <c r="AC419" i="9"/>
  <c r="AE413" i="9"/>
  <c r="AE406" i="9"/>
  <c r="AF403" i="9"/>
  <c r="AA402" i="9"/>
  <c r="AG400" i="9"/>
  <c r="AB399" i="9"/>
  <c r="AC396" i="9"/>
  <c r="AD393" i="9"/>
  <c r="AE390" i="9"/>
  <c r="AF387" i="9"/>
  <c r="AA386" i="9"/>
  <c r="AG384" i="9"/>
  <c r="AB383" i="9"/>
  <c r="AC380" i="9"/>
  <c r="AD377" i="9"/>
  <c r="AE374" i="9"/>
  <c r="AD373" i="9"/>
  <c r="AE372" i="9"/>
  <c r="AF371" i="9"/>
  <c r="AG370" i="9"/>
  <c r="AD368" i="9"/>
  <c r="AG367" i="9"/>
  <c r="AB366" i="9"/>
  <c r="AE365" i="9"/>
  <c r="AC363" i="9"/>
  <c r="AF362" i="9"/>
  <c r="AA361" i="9"/>
  <c r="AD360" i="9"/>
  <c r="AG359" i="9"/>
  <c r="AB358" i="9"/>
  <c r="AE357" i="9"/>
  <c r="AC355" i="9"/>
  <c r="AF354" i="9"/>
  <c r="AA353" i="9"/>
  <c r="AD352" i="9"/>
  <c r="AG351" i="9"/>
  <c r="AB350" i="9"/>
  <c r="AE349" i="9"/>
  <c r="AC347" i="9"/>
  <c r="AF346" i="9"/>
  <c r="AA345" i="9"/>
  <c r="AD344" i="9"/>
  <c r="AG343" i="9"/>
  <c r="AB342" i="9"/>
  <c r="AE341" i="9"/>
  <c r="AC339" i="9"/>
  <c r="AF338" i="9"/>
  <c r="AA337" i="9"/>
  <c r="AD336" i="9"/>
  <c r="AG335" i="9"/>
  <c r="AB334" i="9"/>
  <c r="AE333" i="9"/>
  <c r="AC331" i="9"/>
  <c r="AF330" i="9"/>
  <c r="AA329" i="9"/>
  <c r="AD328" i="9"/>
  <c r="AG327" i="9"/>
  <c r="AB326" i="9"/>
  <c r="AE325" i="9"/>
  <c r="AC323" i="9"/>
  <c r="AF322" i="9"/>
  <c r="AA321" i="9"/>
  <c r="AD320" i="9"/>
  <c r="AG319" i="9"/>
  <c r="AB318" i="9"/>
  <c r="AE317" i="9"/>
  <c r="AC315" i="9"/>
  <c r="AF314" i="9"/>
  <c r="AA313" i="9"/>
  <c r="AD312" i="9"/>
  <c r="AG311" i="9"/>
  <c r="AB310" i="9"/>
  <c r="AE309" i="9"/>
  <c r="AC307" i="9"/>
  <c r="AF306" i="9"/>
  <c r="AA305" i="9"/>
  <c r="AD304" i="9"/>
  <c r="AC312" i="9"/>
  <c r="AE306" i="9"/>
  <c r="AD303" i="9"/>
  <c r="AE300" i="9"/>
  <c r="AF297" i="9"/>
  <c r="AD296" i="9"/>
  <c r="AF295" i="9"/>
  <c r="AG293" i="9"/>
  <c r="AB292" i="9"/>
  <c r="AE291" i="9"/>
  <c r="AC289" i="9"/>
  <c r="AF288" i="9"/>
  <c r="AA287" i="9"/>
  <c r="AD286" i="9"/>
  <c r="AG285" i="9"/>
  <c r="AB284" i="9"/>
  <c r="AE283" i="9"/>
  <c r="AC281" i="9"/>
  <c r="AF280" i="9"/>
  <c r="AA279" i="9"/>
  <c r="AD278" i="9"/>
  <c r="AG277" i="9"/>
  <c r="AB276" i="9"/>
  <c r="AE275" i="9"/>
  <c r="AC273" i="9"/>
  <c r="AF272" i="9"/>
  <c r="AA271" i="9"/>
  <c r="AD270" i="9"/>
  <c r="AG269" i="9"/>
  <c r="AB268" i="9"/>
  <c r="AE267" i="9"/>
  <c r="AC265" i="9"/>
  <c r="AF264" i="9"/>
  <c r="AA263" i="9"/>
  <c r="AD262" i="9"/>
  <c r="AG261" i="9"/>
  <c r="AB260" i="9"/>
  <c r="AE259" i="9"/>
  <c r="AC257" i="9"/>
  <c r="AF256" i="9"/>
  <c r="AA255" i="9"/>
  <c r="AD254" i="9"/>
  <c r="AG253" i="9"/>
  <c r="AB252" i="9"/>
  <c r="AE251" i="9"/>
  <c r="AC249" i="9"/>
  <c r="AF248" i="9"/>
  <c r="AA247" i="9"/>
  <c r="AD246" i="9"/>
  <c r="AG245" i="9"/>
  <c r="AB244" i="9"/>
  <c r="AE243" i="9"/>
  <c r="AC241" i="9"/>
  <c r="AF240" i="9"/>
  <c r="AA239" i="9"/>
  <c r="AD238" i="9"/>
  <c r="AG237" i="9"/>
  <c r="AB236" i="9"/>
  <c r="AE235" i="9"/>
  <c r="AC233" i="9"/>
  <c r="AF232" i="9"/>
  <c r="AA231" i="9"/>
  <c r="AD230" i="9"/>
  <c r="AG229" i="9"/>
  <c r="AB228" i="9"/>
  <c r="AE227" i="9"/>
  <c r="AC225" i="9"/>
  <c r="AF224" i="9"/>
  <c r="AA223" i="9"/>
  <c r="AD222" i="9"/>
  <c r="AD313" i="9"/>
  <c r="AF307" i="9"/>
  <c r="AA306" i="9"/>
  <c r="AB303" i="9"/>
  <c r="AC300" i="9"/>
  <c r="AD297" i="9"/>
  <c r="AC296" i="9"/>
  <c r="AD295" i="9"/>
  <c r="AF293" i="9"/>
  <c r="AA292" i="9"/>
  <c r="AD291" i="9"/>
  <c r="AG290" i="9"/>
  <c r="AB289" i="9"/>
  <c r="AE288" i="9"/>
  <c r="AC286" i="9"/>
  <c r="AF285" i="9"/>
  <c r="AA284" i="9"/>
  <c r="AD283" i="9"/>
  <c r="AG282" i="9"/>
  <c r="AB281" i="9"/>
  <c r="AE280" i="9"/>
  <c r="AC278" i="9"/>
  <c r="AF277" i="9"/>
  <c r="AA276" i="9"/>
  <c r="AD275" i="9"/>
  <c r="AG274" i="9"/>
  <c r="AB273" i="9"/>
  <c r="AE272" i="9"/>
  <c r="AC270" i="9"/>
  <c r="AF269" i="9"/>
  <c r="AA268" i="9"/>
  <c r="AD267" i="9"/>
  <c r="AG266" i="9"/>
  <c r="AB265" i="9"/>
  <c r="AE264" i="9"/>
  <c r="AC262" i="9"/>
  <c r="AF261" i="9"/>
  <c r="AA260" i="9"/>
  <c r="AD259" i="9"/>
  <c r="AG258" i="9"/>
  <c r="AB257" i="9"/>
  <c r="AE256" i="9"/>
  <c r="AC254" i="9"/>
  <c r="AF253" i="9"/>
  <c r="AA252" i="9"/>
  <c r="AD251" i="9"/>
  <c r="AG250" i="9"/>
  <c r="AB249" i="9"/>
  <c r="AE248" i="9"/>
  <c r="AC246" i="9"/>
  <c r="AF245" i="9"/>
  <c r="AA244" i="9"/>
  <c r="AD243" i="9"/>
  <c r="AG242" i="9"/>
  <c r="AB241" i="9"/>
  <c r="AE240" i="9"/>
  <c r="AC238" i="9"/>
  <c r="AF237" i="9"/>
  <c r="AA236" i="9"/>
  <c r="AD235" i="9"/>
  <c r="AG234" i="9"/>
  <c r="AB233" i="9"/>
  <c r="AE232" i="9"/>
  <c r="AC230" i="9"/>
  <c r="AF229" i="9"/>
  <c r="AA228" i="9"/>
  <c r="AD227" i="9"/>
  <c r="AG226" i="9"/>
  <c r="AB225" i="9"/>
  <c r="AE224" i="9"/>
  <c r="AC222" i="9"/>
  <c r="AF221" i="9"/>
  <c r="AA220" i="9"/>
  <c r="AD219" i="9"/>
  <c r="AG218" i="9"/>
  <c r="AB217" i="9"/>
  <c r="AE216" i="9"/>
  <c r="AC214" i="9"/>
  <c r="AF213" i="9"/>
  <c r="AA212" i="9"/>
  <c r="AD211" i="9"/>
  <c r="AG210" i="9"/>
  <c r="AB209" i="9"/>
  <c r="AE208" i="9"/>
  <c r="AC206" i="9"/>
  <c r="AF205" i="9"/>
  <c r="AA204" i="9"/>
  <c r="AD203" i="9"/>
  <c r="AG202" i="9"/>
  <c r="AB201" i="9"/>
  <c r="AE200" i="9"/>
  <c r="AC198" i="9"/>
  <c r="AF197" i="9"/>
  <c r="AA196" i="9"/>
  <c r="AD195" i="9"/>
  <c r="AG194" i="9"/>
  <c r="AB193" i="9"/>
  <c r="AE192" i="9"/>
  <c r="AE314" i="9"/>
  <c r="AG308" i="9"/>
  <c r="AB307" i="9"/>
  <c r="AE301" i="9"/>
  <c r="AF298" i="9"/>
  <c r="AA297" i="9"/>
  <c r="AA296" i="9"/>
  <c r="AB295" i="9"/>
  <c r="AG294" i="9"/>
  <c r="AE293" i="9"/>
  <c r="AC291" i="9"/>
  <c r="AF290" i="9"/>
  <c r="AA289" i="9"/>
  <c r="AD288" i="9"/>
  <c r="AG287" i="9"/>
  <c r="AB286" i="9"/>
  <c r="AE285" i="9"/>
  <c r="AC283" i="9"/>
  <c r="AF282" i="9"/>
  <c r="AA281" i="9"/>
  <c r="AD280" i="9"/>
  <c r="AG279" i="9"/>
  <c r="AB278" i="9"/>
  <c r="AE277" i="9"/>
  <c r="AC275" i="9"/>
  <c r="AF274" i="9"/>
  <c r="AA273" i="9"/>
  <c r="AD272" i="9"/>
  <c r="AG271" i="9"/>
  <c r="AB270" i="9"/>
  <c r="AE269" i="9"/>
  <c r="AC267" i="9"/>
  <c r="AF266" i="9"/>
  <c r="AA265" i="9"/>
  <c r="AD264" i="9"/>
  <c r="AG263" i="9"/>
  <c r="AB262" i="9"/>
  <c r="AE261" i="9"/>
  <c r="AC259" i="9"/>
  <c r="AF258" i="9"/>
  <c r="AA257" i="9"/>
  <c r="AD256" i="9"/>
  <c r="AG255" i="9"/>
  <c r="AB254" i="9"/>
  <c r="AE253" i="9"/>
  <c r="AC251" i="9"/>
  <c r="AF250" i="9"/>
  <c r="AA249" i="9"/>
  <c r="AD248" i="9"/>
  <c r="AG247" i="9"/>
  <c r="AB246" i="9"/>
  <c r="AE245" i="9"/>
  <c r="AC243" i="9"/>
  <c r="AF242" i="9"/>
  <c r="AA241" i="9"/>
  <c r="AD240" i="9"/>
  <c r="AG239" i="9"/>
  <c r="AB238" i="9"/>
  <c r="AE237" i="9"/>
  <c r="AC235" i="9"/>
  <c r="AF234" i="9"/>
  <c r="AA233" i="9"/>
  <c r="AD232" i="9"/>
  <c r="AG231" i="9"/>
  <c r="AB230" i="9"/>
  <c r="AE229" i="9"/>
  <c r="AC227" i="9"/>
  <c r="AF226" i="9"/>
  <c r="AA225" i="9"/>
  <c r="AD224" i="9"/>
  <c r="AG223" i="9"/>
  <c r="AB222" i="9"/>
  <c r="AE221" i="9"/>
  <c r="AC219" i="9"/>
  <c r="AF218" i="9"/>
  <c r="AA217" i="9"/>
  <c r="AD216" i="9"/>
  <c r="AG215" i="9"/>
  <c r="AB214" i="9"/>
  <c r="AE213" i="9"/>
  <c r="AC211" i="9"/>
  <c r="AF210" i="9"/>
  <c r="AA209" i="9"/>
  <c r="AD208" i="9"/>
  <c r="AG207" i="9"/>
  <c r="AB206" i="9"/>
  <c r="AE205" i="9"/>
  <c r="AC203" i="9"/>
  <c r="AF202" i="9"/>
  <c r="AA201" i="9"/>
  <c r="AA314" i="9"/>
  <c r="AC308" i="9"/>
  <c r="AD301" i="9"/>
  <c r="AE298" i="9"/>
  <c r="AF294" i="9"/>
  <c r="AD293" i="9"/>
  <c r="AG292" i="9"/>
  <c r="AB291" i="9"/>
  <c r="AE290" i="9"/>
  <c r="AC288" i="9"/>
  <c r="AF287" i="9"/>
  <c r="AA286" i="9"/>
  <c r="AD285" i="9"/>
  <c r="AG284" i="9"/>
  <c r="AB283" i="9"/>
  <c r="AE282" i="9"/>
  <c r="AC280" i="9"/>
  <c r="AF279" i="9"/>
  <c r="AA278" i="9"/>
  <c r="AD277" i="9"/>
  <c r="AG276" i="9"/>
  <c r="AB275" i="9"/>
  <c r="AE274" i="9"/>
  <c r="AC272" i="9"/>
  <c r="AF271" i="9"/>
  <c r="AA270" i="9"/>
  <c r="AD269" i="9"/>
  <c r="AG268" i="9"/>
  <c r="AB267" i="9"/>
  <c r="AE266" i="9"/>
  <c r="AC264" i="9"/>
  <c r="AF263" i="9"/>
  <c r="AA262" i="9"/>
  <c r="AD261" i="9"/>
  <c r="AG260" i="9"/>
  <c r="AB259" i="9"/>
  <c r="AE258" i="9"/>
  <c r="AC256" i="9"/>
  <c r="AF255" i="9"/>
  <c r="AA254" i="9"/>
  <c r="AD253" i="9"/>
  <c r="AG252" i="9"/>
  <c r="AB251" i="9"/>
  <c r="AE250" i="9"/>
  <c r="AC248" i="9"/>
  <c r="AF247" i="9"/>
  <c r="AA246" i="9"/>
  <c r="AD245" i="9"/>
  <c r="AG244" i="9"/>
  <c r="AB243" i="9"/>
  <c r="AE242" i="9"/>
  <c r="AC240" i="9"/>
  <c r="AF239" i="9"/>
  <c r="AA238" i="9"/>
  <c r="AD237" i="9"/>
  <c r="AG236" i="9"/>
  <c r="AB235" i="9"/>
  <c r="AE234" i="9"/>
  <c r="AC232" i="9"/>
  <c r="AF231" i="9"/>
  <c r="AA230" i="9"/>
  <c r="AD229" i="9"/>
  <c r="AG228" i="9"/>
  <c r="AB227" i="9"/>
  <c r="AE226" i="9"/>
  <c r="AC224" i="9"/>
  <c r="AF223" i="9"/>
  <c r="AA222" i="9"/>
  <c r="AD221" i="9"/>
  <c r="AG220" i="9"/>
  <c r="AB219" i="9"/>
  <c r="AE218" i="9"/>
  <c r="AC216" i="9"/>
  <c r="AF215" i="9"/>
  <c r="AA214" i="9"/>
  <c r="AD213" i="9"/>
  <c r="AG212" i="9"/>
  <c r="AB211" i="9"/>
  <c r="AE210" i="9"/>
  <c r="AC208" i="9"/>
  <c r="AF207" i="9"/>
  <c r="AA206" i="9"/>
  <c r="AD205" i="9"/>
  <c r="AG204" i="9"/>
  <c r="AB203" i="9"/>
  <c r="AE202" i="9"/>
  <c r="AC200" i="9"/>
  <c r="AF199" i="9"/>
  <c r="AD309" i="9"/>
  <c r="AG302" i="9"/>
  <c r="AB301" i="9"/>
  <c r="AC298" i="9"/>
  <c r="AE294" i="9"/>
  <c r="AC293" i="9"/>
  <c r="AF292" i="9"/>
  <c r="AA291" i="9"/>
  <c r="AD290" i="9"/>
  <c r="AG289" i="9"/>
  <c r="AB288" i="9"/>
  <c r="AE287" i="9"/>
  <c r="AC285" i="9"/>
  <c r="AF284" i="9"/>
  <c r="AA283" i="9"/>
  <c r="AD282" i="9"/>
  <c r="AG281" i="9"/>
  <c r="AB280" i="9"/>
  <c r="AE279" i="9"/>
  <c r="AC277" i="9"/>
  <c r="AF276" i="9"/>
  <c r="AA275" i="9"/>
  <c r="AD274" i="9"/>
  <c r="AG273" i="9"/>
  <c r="AB272" i="9"/>
  <c r="AE271" i="9"/>
  <c r="AC269" i="9"/>
  <c r="AF268" i="9"/>
  <c r="AA267" i="9"/>
  <c r="AD266" i="9"/>
  <c r="AG265" i="9"/>
  <c r="AB264" i="9"/>
  <c r="AE263" i="9"/>
  <c r="AC261" i="9"/>
  <c r="AF260" i="9"/>
  <c r="AA259" i="9"/>
  <c r="AD258" i="9"/>
  <c r="AG257" i="9"/>
  <c r="AB256" i="9"/>
  <c r="AE255" i="9"/>
  <c r="AC253" i="9"/>
  <c r="AF252" i="9"/>
  <c r="AA251" i="9"/>
  <c r="AD250" i="9"/>
  <c r="AG249" i="9"/>
  <c r="AB248" i="9"/>
  <c r="AE247" i="9"/>
  <c r="AC245" i="9"/>
  <c r="AF244" i="9"/>
  <c r="AA243" i="9"/>
  <c r="AD242" i="9"/>
  <c r="AG241" i="9"/>
  <c r="AB240" i="9"/>
  <c r="AE239" i="9"/>
  <c r="AC237" i="9"/>
  <c r="AF236" i="9"/>
  <c r="AA235" i="9"/>
  <c r="AD234" i="9"/>
  <c r="AG233" i="9"/>
  <c r="AB232" i="9"/>
  <c r="AE231" i="9"/>
  <c r="AC229" i="9"/>
  <c r="AF228" i="9"/>
  <c r="AA227" i="9"/>
  <c r="AD226" i="9"/>
  <c r="AG225" i="9"/>
  <c r="AB224" i="9"/>
  <c r="AE223" i="9"/>
  <c r="AE310" i="9"/>
  <c r="AG304" i="9"/>
  <c r="AE302" i="9"/>
  <c r="AF299" i="9"/>
  <c r="AA298" i="9"/>
  <c r="AC294" i="9"/>
  <c r="AB293" i="9"/>
  <c r="AE292" i="9"/>
  <c r="AC290" i="9"/>
  <c r="AF289" i="9"/>
  <c r="AA288" i="9"/>
  <c r="AD287" i="9"/>
  <c r="AG286" i="9"/>
  <c r="AB285" i="9"/>
  <c r="AE284" i="9"/>
  <c r="AC282" i="9"/>
  <c r="AF281" i="9"/>
  <c r="AA280" i="9"/>
  <c r="AD279" i="9"/>
  <c r="AG278" i="9"/>
  <c r="AB277" i="9"/>
  <c r="AE276" i="9"/>
  <c r="AC274" i="9"/>
  <c r="AF273" i="9"/>
  <c r="AA272" i="9"/>
  <c r="AD271" i="9"/>
  <c r="AG270" i="9"/>
  <c r="AB269" i="9"/>
  <c r="AE268" i="9"/>
  <c r="AC266" i="9"/>
  <c r="AF265" i="9"/>
  <c r="AA264" i="9"/>
  <c r="AD263" i="9"/>
  <c r="AG262" i="9"/>
  <c r="AB261" i="9"/>
  <c r="AE260" i="9"/>
  <c r="AC258" i="9"/>
  <c r="AF257" i="9"/>
  <c r="AA256" i="9"/>
  <c r="AD255" i="9"/>
  <c r="AG254" i="9"/>
  <c r="AB253" i="9"/>
  <c r="AE252" i="9"/>
  <c r="AC250" i="9"/>
  <c r="AF249" i="9"/>
  <c r="AA248" i="9"/>
  <c r="AD247" i="9"/>
  <c r="AG246" i="9"/>
  <c r="AB245" i="9"/>
  <c r="AE244" i="9"/>
  <c r="AC242" i="9"/>
  <c r="AF241" i="9"/>
  <c r="AA240" i="9"/>
  <c r="AD239" i="9"/>
  <c r="AG238" i="9"/>
  <c r="AB237" i="9"/>
  <c r="AE236" i="9"/>
  <c r="AC234" i="9"/>
  <c r="AF233" i="9"/>
  <c r="AA232" i="9"/>
  <c r="AD231" i="9"/>
  <c r="AG230" i="9"/>
  <c r="AB229" i="9"/>
  <c r="AE228" i="9"/>
  <c r="AC226" i="9"/>
  <c r="AF225" i="9"/>
  <c r="AA224" i="9"/>
  <c r="AD223" i="9"/>
  <c r="AG222" i="9"/>
  <c r="AB221" i="9"/>
  <c r="AE220" i="9"/>
  <c r="AC218" i="9"/>
  <c r="AF217" i="9"/>
  <c r="AA216" i="9"/>
  <c r="AD215" i="9"/>
  <c r="AG214" i="9"/>
  <c r="AB213" i="9"/>
  <c r="AE212" i="9"/>
  <c r="AC210" i="9"/>
  <c r="AF209" i="9"/>
  <c r="AA208" i="9"/>
  <c r="AD207" i="9"/>
  <c r="AG206" i="9"/>
  <c r="AB205" i="9"/>
  <c r="AE204" i="9"/>
  <c r="AC202" i="9"/>
  <c r="AF201" i="9"/>
  <c r="AA200" i="9"/>
  <c r="AD199" i="9"/>
  <c r="AG198" i="9"/>
  <c r="AB197" i="9"/>
  <c r="AE196" i="9"/>
  <c r="AC194" i="9"/>
  <c r="AF193" i="9"/>
  <c r="AA192" i="9"/>
  <c r="AF311" i="9"/>
  <c r="AA310" i="9"/>
  <c r="AC304" i="9"/>
  <c r="AG303" i="9"/>
  <c r="AB302" i="9"/>
  <c r="AC299" i="9"/>
  <c r="AG296" i="9"/>
  <c r="AB294" i="9"/>
  <c r="AA293" i="9"/>
  <c r="AD292" i="9"/>
  <c r="AG291" i="9"/>
  <c r="AB290" i="9"/>
  <c r="AE289" i="9"/>
  <c r="AC287" i="9"/>
  <c r="AF286" i="9"/>
  <c r="AA285" i="9"/>
  <c r="AD284" i="9"/>
  <c r="AG283" i="9"/>
  <c r="AB282" i="9"/>
  <c r="AE281" i="9"/>
  <c r="AC279" i="9"/>
  <c r="AF278" i="9"/>
  <c r="AA277" i="9"/>
  <c r="AD276" i="9"/>
  <c r="AG275" i="9"/>
  <c r="AB274" i="9"/>
  <c r="AE273" i="9"/>
  <c r="AC271" i="9"/>
  <c r="AF270" i="9"/>
  <c r="AA269" i="9"/>
  <c r="AD268" i="9"/>
  <c r="AG267" i="9"/>
  <c r="AB266" i="9"/>
  <c r="AE265" i="9"/>
  <c r="AC263" i="9"/>
  <c r="AF262" i="9"/>
  <c r="AA261" i="9"/>
  <c r="AD260" i="9"/>
  <c r="AG259" i="9"/>
  <c r="AB258" i="9"/>
  <c r="AE257" i="9"/>
  <c r="AC255" i="9"/>
  <c r="AF254" i="9"/>
  <c r="AA253" i="9"/>
  <c r="AD252" i="9"/>
  <c r="AG251" i="9"/>
  <c r="AB250" i="9"/>
  <c r="AE249" i="9"/>
  <c r="AC247" i="9"/>
  <c r="AF246" i="9"/>
  <c r="AA245" i="9"/>
  <c r="AD244" i="9"/>
  <c r="AG243" i="9"/>
  <c r="AB242" i="9"/>
  <c r="AE241" i="9"/>
  <c r="AC239" i="9"/>
  <c r="AF238" i="9"/>
  <c r="AA237" i="9"/>
  <c r="AD236" i="9"/>
  <c r="AG235" i="9"/>
  <c r="AB234" i="9"/>
  <c r="AE233" i="9"/>
  <c r="AC231" i="9"/>
  <c r="AF230" i="9"/>
  <c r="AA229" i="9"/>
  <c r="AD228" i="9"/>
  <c r="AG227" i="9"/>
  <c r="AB226" i="9"/>
  <c r="AE225" i="9"/>
  <c r="AC223" i="9"/>
  <c r="AF222" i="9"/>
  <c r="AA221" i="9"/>
  <c r="AD220" i="9"/>
  <c r="AG219" i="9"/>
  <c r="AB218" i="9"/>
  <c r="AE217" i="9"/>
  <c r="AC215" i="9"/>
  <c r="AF214" i="9"/>
  <c r="AA213" i="9"/>
  <c r="AD212" i="9"/>
  <c r="AG211" i="9"/>
  <c r="AB210" i="9"/>
  <c r="AE209" i="9"/>
  <c r="AC207" i="9"/>
  <c r="AF206" i="9"/>
  <c r="AA205" i="9"/>
  <c r="AD204" i="9"/>
  <c r="AG203" i="9"/>
  <c r="AB202" i="9"/>
  <c r="AE201" i="9"/>
  <c r="AG312" i="9"/>
  <c r="AB311" i="9"/>
  <c r="AD305" i="9"/>
  <c r="AF303" i="9"/>
  <c r="AA302" i="9"/>
  <c r="AG300" i="9"/>
  <c r="AB299" i="9"/>
  <c r="AE296" i="9"/>
  <c r="AG295" i="9"/>
  <c r="AA294" i="9"/>
  <c r="AC292" i="9"/>
  <c r="AF291" i="9"/>
  <c r="AA290" i="9"/>
  <c r="AD289" i="9"/>
  <c r="AG288" i="9"/>
  <c r="AB287" i="9"/>
  <c r="AE286" i="9"/>
  <c r="AC284" i="9"/>
  <c r="AF283" i="9"/>
  <c r="AA282" i="9"/>
  <c r="AD281" i="9"/>
  <c r="AG280" i="9"/>
  <c r="AB279" i="9"/>
  <c r="AE278" i="9"/>
  <c r="AC276" i="9"/>
  <c r="AF275" i="9"/>
  <c r="AA274" i="9"/>
  <c r="AD273" i="9"/>
  <c r="AG272" i="9"/>
  <c r="AB271" i="9"/>
  <c r="AE270" i="9"/>
  <c r="AC268" i="9"/>
  <c r="AF267" i="9"/>
  <c r="AA266" i="9"/>
  <c r="AD265" i="9"/>
  <c r="AG264" i="9"/>
  <c r="AB263" i="9"/>
  <c r="AE262" i="9"/>
  <c r="AC260" i="9"/>
  <c r="AF259" i="9"/>
  <c r="AA258" i="9"/>
  <c r="AD257" i="9"/>
  <c r="AG256" i="9"/>
  <c r="AB255" i="9"/>
  <c r="AE254" i="9"/>
  <c r="AC252" i="9"/>
  <c r="AF251" i="9"/>
  <c r="AA250" i="9"/>
  <c r="AD249" i="9"/>
  <c r="AG248" i="9"/>
  <c r="AB247" i="9"/>
  <c r="AE246" i="9"/>
  <c r="AC244" i="9"/>
  <c r="AF243" i="9"/>
  <c r="AA242" i="9"/>
  <c r="AD241" i="9"/>
  <c r="AG240" i="9"/>
  <c r="AB239" i="9"/>
  <c r="AE238" i="9"/>
  <c r="AC236" i="9"/>
  <c r="AF235" i="9"/>
  <c r="AA234" i="9"/>
  <c r="AD233" i="9"/>
  <c r="AG232" i="9"/>
  <c r="AB231" i="9"/>
  <c r="AE230" i="9"/>
  <c r="AC228" i="9"/>
  <c r="AF227" i="9"/>
  <c r="AA226" i="9"/>
  <c r="AD225" i="9"/>
  <c r="AG224" i="9"/>
  <c r="AB223" i="9"/>
  <c r="AE222" i="9"/>
  <c r="AC220" i="9"/>
  <c r="AF219" i="9"/>
  <c r="AA218" i="9"/>
  <c r="AD217" i="9"/>
  <c r="AG216" i="9"/>
  <c r="AB215" i="9"/>
  <c r="AE214" i="9"/>
  <c r="AC212" i="9"/>
  <c r="AF211" i="9"/>
  <c r="AA210" i="9"/>
  <c r="AD209" i="9"/>
  <c r="AG208" i="9"/>
  <c r="AB207" i="9"/>
  <c r="AE206" i="9"/>
  <c r="AC204" i="9"/>
  <c r="AF203" i="9"/>
  <c r="AA202" i="9"/>
  <c r="AD201" i="9"/>
  <c r="AG200" i="9"/>
  <c r="AB199" i="9"/>
  <c r="AE219" i="9"/>
  <c r="AG213" i="9"/>
  <c r="AB212" i="9"/>
  <c r="AD206" i="9"/>
  <c r="AG199" i="9"/>
  <c r="AC197" i="9"/>
  <c r="AC195" i="9"/>
  <c r="AD193" i="9"/>
  <c r="AB191" i="9"/>
  <c r="AE190" i="9"/>
  <c r="AC188" i="9"/>
  <c r="AF187" i="9"/>
  <c r="AA186" i="9"/>
  <c r="AD185" i="9"/>
  <c r="AG184" i="9"/>
  <c r="AB183" i="9"/>
  <c r="AE182" i="9"/>
  <c r="AC180" i="9"/>
  <c r="AF179" i="9"/>
  <c r="AA178" i="9"/>
  <c r="AD177" i="9"/>
  <c r="AG176" i="9"/>
  <c r="AB175" i="9"/>
  <c r="AE174" i="9"/>
  <c r="AC172" i="9"/>
  <c r="AF171" i="9"/>
  <c r="AA170" i="9"/>
  <c r="AD169" i="9"/>
  <c r="AG168" i="9"/>
  <c r="AB167" i="9"/>
  <c r="AE166" i="9"/>
  <c r="AC164" i="9"/>
  <c r="AF163" i="9"/>
  <c r="AA162" i="9"/>
  <c r="AD161" i="9"/>
  <c r="AG160" i="9"/>
  <c r="AB159" i="9"/>
  <c r="AE158" i="9"/>
  <c r="AC156" i="9"/>
  <c r="AF155" i="9"/>
  <c r="AA154" i="9"/>
  <c r="AD153" i="9"/>
  <c r="AG152" i="9"/>
  <c r="AB151" i="9"/>
  <c r="AE150" i="9"/>
  <c r="AC148" i="9"/>
  <c r="AF147" i="9"/>
  <c r="AA146" i="9"/>
  <c r="AD145" i="9"/>
  <c r="AG144" i="9"/>
  <c r="AB143" i="9"/>
  <c r="AE142" i="9"/>
  <c r="AC140" i="9"/>
  <c r="AF139" i="9"/>
  <c r="AA138" i="9"/>
  <c r="AD137" i="9"/>
  <c r="AG136" i="9"/>
  <c r="AB135" i="9"/>
  <c r="AE134" i="9"/>
  <c r="AC132" i="9"/>
  <c r="AF131" i="9"/>
  <c r="AA130" i="9"/>
  <c r="AD129" i="9"/>
  <c r="AG128" i="9"/>
  <c r="AB127" i="9"/>
  <c r="AE126" i="9"/>
  <c r="AC124" i="9"/>
  <c r="AF123" i="9"/>
  <c r="AA122" i="9"/>
  <c r="AD121" i="9"/>
  <c r="AG120" i="9"/>
  <c r="AB119" i="9"/>
  <c r="AE118" i="9"/>
  <c r="AC116" i="9"/>
  <c r="AF115" i="9"/>
  <c r="AA114" i="9"/>
  <c r="AD113" i="9"/>
  <c r="AG112" i="9"/>
  <c r="AB111" i="9"/>
  <c r="AE110" i="9"/>
  <c r="AC108" i="9"/>
  <c r="AF107" i="9"/>
  <c r="AA106" i="9"/>
  <c r="AD105" i="9"/>
  <c r="AG104" i="9"/>
  <c r="AB103" i="9"/>
  <c r="AF220" i="9"/>
  <c r="AA219" i="9"/>
  <c r="AC213" i="9"/>
  <c r="AE207" i="9"/>
  <c r="AG201" i="9"/>
  <c r="AE199" i="9"/>
  <c r="AF198" i="9"/>
  <c r="AA197" i="9"/>
  <c r="AG196" i="9"/>
  <c r="AB195" i="9"/>
  <c r="AC193" i="9"/>
  <c r="AA191" i="9"/>
  <c r="AD190" i="9"/>
  <c r="AG189" i="9"/>
  <c r="AB188" i="9"/>
  <c r="AE187" i="9"/>
  <c r="AC185" i="9"/>
  <c r="AF184" i="9"/>
  <c r="AA183" i="9"/>
  <c r="AD182" i="9"/>
  <c r="AG181" i="9"/>
  <c r="AB180" i="9"/>
  <c r="AE179" i="9"/>
  <c r="AC177" i="9"/>
  <c r="AF176" i="9"/>
  <c r="AA175" i="9"/>
  <c r="AD174" i="9"/>
  <c r="AG173" i="9"/>
  <c r="AB172" i="9"/>
  <c r="AE171" i="9"/>
  <c r="AC169" i="9"/>
  <c r="AF168" i="9"/>
  <c r="AA167" i="9"/>
  <c r="AD166" i="9"/>
  <c r="AG165" i="9"/>
  <c r="AB164" i="9"/>
  <c r="AE163" i="9"/>
  <c r="AC161" i="9"/>
  <c r="AF160" i="9"/>
  <c r="AA159" i="9"/>
  <c r="AD158" i="9"/>
  <c r="AG157" i="9"/>
  <c r="AB156" i="9"/>
  <c r="AE155" i="9"/>
  <c r="AC153" i="9"/>
  <c r="AF152" i="9"/>
  <c r="AA151" i="9"/>
  <c r="AD150" i="9"/>
  <c r="AG149" i="9"/>
  <c r="AB148" i="9"/>
  <c r="AE147" i="9"/>
  <c r="AC145" i="9"/>
  <c r="AF144" i="9"/>
  <c r="AA143" i="9"/>
  <c r="AD142" i="9"/>
  <c r="AG141" i="9"/>
  <c r="AB140" i="9"/>
  <c r="AE139" i="9"/>
  <c r="AC137" i="9"/>
  <c r="AF136" i="9"/>
  <c r="AA135" i="9"/>
  <c r="AD134" i="9"/>
  <c r="AG133" i="9"/>
  <c r="AB132" i="9"/>
  <c r="AE131" i="9"/>
  <c r="AC129" i="9"/>
  <c r="AF128" i="9"/>
  <c r="AA127" i="9"/>
  <c r="AD126" i="9"/>
  <c r="AG125" i="9"/>
  <c r="AB124" i="9"/>
  <c r="AE123" i="9"/>
  <c r="AC121" i="9"/>
  <c r="AF120" i="9"/>
  <c r="AA119" i="9"/>
  <c r="AD118" i="9"/>
  <c r="AG117" i="9"/>
  <c r="AB116" i="9"/>
  <c r="AE115" i="9"/>
  <c r="AC113" i="9"/>
  <c r="AF112" i="9"/>
  <c r="AA111" i="9"/>
  <c r="AD110" i="9"/>
  <c r="AG109" i="9"/>
  <c r="AB108" i="9"/>
  <c r="AE107" i="9"/>
  <c r="AC105" i="9"/>
  <c r="AF104" i="9"/>
  <c r="AA103" i="9"/>
  <c r="AD102" i="9"/>
  <c r="AG221" i="9"/>
  <c r="AB220" i="9"/>
  <c r="AD214" i="9"/>
  <c r="AF208" i="9"/>
  <c r="AA207" i="9"/>
  <c r="AC201" i="9"/>
  <c r="AC199" i="9"/>
  <c r="AE198" i="9"/>
  <c r="AF196" i="9"/>
  <c r="AA195" i="9"/>
  <c r="AF194" i="9"/>
  <c r="AA193" i="9"/>
  <c r="AG192" i="9"/>
  <c r="AC190" i="9"/>
  <c r="AF189" i="9"/>
  <c r="AA188" i="9"/>
  <c r="AD187" i="9"/>
  <c r="AG186" i="9"/>
  <c r="AB185" i="9"/>
  <c r="AE184" i="9"/>
  <c r="AC182" i="9"/>
  <c r="AF181" i="9"/>
  <c r="AA180" i="9"/>
  <c r="AD179" i="9"/>
  <c r="AG178" i="9"/>
  <c r="AB177" i="9"/>
  <c r="AE176" i="9"/>
  <c r="AC174" i="9"/>
  <c r="AF173" i="9"/>
  <c r="AA172" i="9"/>
  <c r="AD171" i="9"/>
  <c r="AG170" i="9"/>
  <c r="AB169" i="9"/>
  <c r="AE168" i="9"/>
  <c r="AC166" i="9"/>
  <c r="AF165" i="9"/>
  <c r="AA164" i="9"/>
  <c r="AD163" i="9"/>
  <c r="AG162" i="9"/>
  <c r="AB161" i="9"/>
  <c r="AE160" i="9"/>
  <c r="AC158" i="9"/>
  <c r="AF157" i="9"/>
  <c r="AA156" i="9"/>
  <c r="AD155" i="9"/>
  <c r="AG154" i="9"/>
  <c r="AB153" i="9"/>
  <c r="AE152" i="9"/>
  <c r="AC150" i="9"/>
  <c r="AF149" i="9"/>
  <c r="AA148" i="9"/>
  <c r="AD147" i="9"/>
  <c r="AG146" i="9"/>
  <c r="AB145" i="9"/>
  <c r="AE144" i="9"/>
  <c r="AC142" i="9"/>
  <c r="AF141" i="9"/>
  <c r="AA140" i="9"/>
  <c r="AD139" i="9"/>
  <c r="AG138" i="9"/>
  <c r="AB137" i="9"/>
  <c r="AE136" i="9"/>
  <c r="AC134" i="9"/>
  <c r="AF133" i="9"/>
  <c r="AA132" i="9"/>
  <c r="AD131" i="9"/>
  <c r="AG130" i="9"/>
  <c r="AB129" i="9"/>
  <c r="AE128" i="9"/>
  <c r="AC126" i="9"/>
  <c r="AF125" i="9"/>
  <c r="AA124" i="9"/>
  <c r="AD123" i="9"/>
  <c r="AG122" i="9"/>
  <c r="AB121" i="9"/>
  <c r="AE120" i="9"/>
  <c r="AC118" i="9"/>
  <c r="AF117" i="9"/>
  <c r="AA116" i="9"/>
  <c r="AD115" i="9"/>
  <c r="AG114" i="9"/>
  <c r="AB113" i="9"/>
  <c r="AE112" i="9"/>
  <c r="AC110" i="9"/>
  <c r="AF109" i="9"/>
  <c r="AA108" i="9"/>
  <c r="AD107" i="9"/>
  <c r="AC221" i="9"/>
  <c r="AE215" i="9"/>
  <c r="AG209" i="9"/>
  <c r="AB208" i="9"/>
  <c r="AD202" i="9"/>
  <c r="AF200" i="9"/>
  <c r="AA199" i="9"/>
  <c r="AD198" i="9"/>
  <c r="AD196" i="9"/>
  <c r="AE194" i="9"/>
  <c r="AF192" i="9"/>
  <c r="AG191" i="9"/>
  <c r="AB190" i="9"/>
  <c r="AE189" i="9"/>
  <c r="AC187" i="9"/>
  <c r="AF186" i="9"/>
  <c r="AA185" i="9"/>
  <c r="AD184" i="9"/>
  <c r="AG183" i="9"/>
  <c r="AB182" i="9"/>
  <c r="AE181" i="9"/>
  <c r="AC179" i="9"/>
  <c r="AF178" i="9"/>
  <c r="AA177" i="9"/>
  <c r="AD176" i="9"/>
  <c r="AG175" i="9"/>
  <c r="AB174" i="9"/>
  <c r="AE173" i="9"/>
  <c r="AC171" i="9"/>
  <c r="AF170" i="9"/>
  <c r="AA169" i="9"/>
  <c r="AD168" i="9"/>
  <c r="AG167" i="9"/>
  <c r="AB166" i="9"/>
  <c r="AE165" i="9"/>
  <c r="AC163" i="9"/>
  <c r="AF162" i="9"/>
  <c r="AA161" i="9"/>
  <c r="AD160" i="9"/>
  <c r="AG159" i="9"/>
  <c r="AB158" i="9"/>
  <c r="AE157" i="9"/>
  <c r="AC155" i="9"/>
  <c r="AF154" i="9"/>
  <c r="AA153" i="9"/>
  <c r="AD152" i="9"/>
  <c r="AG151" i="9"/>
  <c r="AB150" i="9"/>
  <c r="AE149" i="9"/>
  <c r="AC147" i="9"/>
  <c r="AF146" i="9"/>
  <c r="AA145" i="9"/>
  <c r="AD144" i="9"/>
  <c r="AG143" i="9"/>
  <c r="AB142" i="9"/>
  <c r="AE141" i="9"/>
  <c r="AC139" i="9"/>
  <c r="AF138" i="9"/>
  <c r="AA137" i="9"/>
  <c r="AD136" i="9"/>
  <c r="AG135" i="9"/>
  <c r="AB134" i="9"/>
  <c r="AE133" i="9"/>
  <c r="AC131" i="9"/>
  <c r="AF130" i="9"/>
  <c r="AA129" i="9"/>
  <c r="AD128" i="9"/>
  <c r="AG127" i="9"/>
  <c r="AB126" i="9"/>
  <c r="AE125" i="9"/>
  <c r="AC123" i="9"/>
  <c r="AF122" i="9"/>
  <c r="AA121" i="9"/>
  <c r="AD120" i="9"/>
  <c r="AG119" i="9"/>
  <c r="AB118" i="9"/>
  <c r="AE117" i="9"/>
  <c r="AC115" i="9"/>
  <c r="AF114" i="9"/>
  <c r="AA113" i="9"/>
  <c r="AD112" i="9"/>
  <c r="AG111" i="9"/>
  <c r="AB110" i="9"/>
  <c r="AE109" i="9"/>
  <c r="AC107" i="9"/>
  <c r="AF216" i="9"/>
  <c r="AA215" i="9"/>
  <c r="AC209" i="9"/>
  <c r="AE203" i="9"/>
  <c r="AD200" i="9"/>
  <c r="AB198" i="9"/>
  <c r="AC196" i="9"/>
  <c r="AD194" i="9"/>
  <c r="AD192" i="9"/>
  <c r="AF191" i="9"/>
  <c r="AA190" i="9"/>
  <c r="AD189" i="9"/>
  <c r="AG188" i="9"/>
  <c r="AB187" i="9"/>
  <c r="AE186" i="9"/>
  <c r="AC184" i="9"/>
  <c r="AF183" i="9"/>
  <c r="AA182" i="9"/>
  <c r="AD181" i="9"/>
  <c r="AG180" i="9"/>
  <c r="AB179" i="9"/>
  <c r="AE178" i="9"/>
  <c r="AC176" i="9"/>
  <c r="AF175" i="9"/>
  <c r="AA174" i="9"/>
  <c r="AD173" i="9"/>
  <c r="AG172" i="9"/>
  <c r="AB171" i="9"/>
  <c r="AE170" i="9"/>
  <c r="AC168" i="9"/>
  <c r="AF167" i="9"/>
  <c r="AA166" i="9"/>
  <c r="AD165" i="9"/>
  <c r="AG164" i="9"/>
  <c r="AB163" i="9"/>
  <c r="AE162" i="9"/>
  <c r="AC160" i="9"/>
  <c r="AF159" i="9"/>
  <c r="AA158" i="9"/>
  <c r="AD157" i="9"/>
  <c r="AG156" i="9"/>
  <c r="AB155" i="9"/>
  <c r="AE154" i="9"/>
  <c r="AC152" i="9"/>
  <c r="AF151" i="9"/>
  <c r="AA150" i="9"/>
  <c r="AD149" i="9"/>
  <c r="AG148" i="9"/>
  <c r="AB147" i="9"/>
  <c r="AE146" i="9"/>
  <c r="AC144" i="9"/>
  <c r="AF143" i="9"/>
  <c r="AA142" i="9"/>
  <c r="AD141" i="9"/>
  <c r="AG140" i="9"/>
  <c r="AB139" i="9"/>
  <c r="AE138" i="9"/>
  <c r="AC136" i="9"/>
  <c r="AF135" i="9"/>
  <c r="AA134" i="9"/>
  <c r="AD133" i="9"/>
  <c r="AG132" i="9"/>
  <c r="AB131" i="9"/>
  <c r="AE130" i="9"/>
  <c r="AC128" i="9"/>
  <c r="AF127" i="9"/>
  <c r="AA126" i="9"/>
  <c r="AD125" i="9"/>
  <c r="AG124" i="9"/>
  <c r="AB123" i="9"/>
  <c r="AE122" i="9"/>
  <c r="AC120" i="9"/>
  <c r="AF119" i="9"/>
  <c r="AA118" i="9"/>
  <c r="AD117" i="9"/>
  <c r="AG116" i="9"/>
  <c r="AB115" i="9"/>
  <c r="AE114" i="9"/>
  <c r="AC112" i="9"/>
  <c r="AF111" i="9"/>
  <c r="AA110" i="9"/>
  <c r="AD109" i="9"/>
  <c r="AG108" i="9"/>
  <c r="AB107" i="9"/>
  <c r="AG217" i="9"/>
  <c r="AB216" i="9"/>
  <c r="AD210" i="9"/>
  <c r="AF204" i="9"/>
  <c r="AA203" i="9"/>
  <c r="AB200" i="9"/>
  <c r="AA198" i="9"/>
  <c r="AG197" i="9"/>
  <c r="AB196" i="9"/>
  <c r="AG195" i="9"/>
  <c r="AB194" i="9"/>
  <c r="AC192" i="9"/>
  <c r="AE191" i="9"/>
  <c r="AC189" i="9"/>
  <c r="AF188" i="9"/>
  <c r="AA187" i="9"/>
  <c r="AD186" i="9"/>
  <c r="AG185" i="9"/>
  <c r="AB184" i="9"/>
  <c r="AE183" i="9"/>
  <c r="AC181" i="9"/>
  <c r="AF180" i="9"/>
  <c r="AA179" i="9"/>
  <c r="AD178" i="9"/>
  <c r="AG177" i="9"/>
  <c r="AB176" i="9"/>
  <c r="AE175" i="9"/>
  <c r="AC173" i="9"/>
  <c r="AF172" i="9"/>
  <c r="AA171" i="9"/>
  <c r="AD170" i="9"/>
  <c r="AG169" i="9"/>
  <c r="AB168" i="9"/>
  <c r="AE167" i="9"/>
  <c r="AC165" i="9"/>
  <c r="AF164" i="9"/>
  <c r="AA163" i="9"/>
  <c r="AD162" i="9"/>
  <c r="AG161" i="9"/>
  <c r="AB160" i="9"/>
  <c r="AE159" i="9"/>
  <c r="AC157" i="9"/>
  <c r="AF156" i="9"/>
  <c r="AA155" i="9"/>
  <c r="AD154" i="9"/>
  <c r="AG153" i="9"/>
  <c r="AB152" i="9"/>
  <c r="AE151" i="9"/>
  <c r="AC149" i="9"/>
  <c r="AF148" i="9"/>
  <c r="AA147" i="9"/>
  <c r="AD146" i="9"/>
  <c r="AG145" i="9"/>
  <c r="AB144" i="9"/>
  <c r="AE143" i="9"/>
  <c r="AC141" i="9"/>
  <c r="AF140" i="9"/>
  <c r="AA139" i="9"/>
  <c r="AD138" i="9"/>
  <c r="AG137" i="9"/>
  <c r="AB136" i="9"/>
  <c r="AE135" i="9"/>
  <c r="AC133" i="9"/>
  <c r="AF132" i="9"/>
  <c r="AA131" i="9"/>
  <c r="AD130" i="9"/>
  <c r="AG129" i="9"/>
  <c r="AB128" i="9"/>
  <c r="AE127" i="9"/>
  <c r="AC125" i="9"/>
  <c r="AF124" i="9"/>
  <c r="AA123" i="9"/>
  <c r="AD122" i="9"/>
  <c r="AG121" i="9"/>
  <c r="AB120" i="9"/>
  <c r="AE119" i="9"/>
  <c r="AC117" i="9"/>
  <c r="AF116" i="9"/>
  <c r="AA115" i="9"/>
  <c r="AD114" i="9"/>
  <c r="AG113" i="9"/>
  <c r="AB112" i="9"/>
  <c r="AE111" i="9"/>
  <c r="AC109" i="9"/>
  <c r="AF108" i="9"/>
  <c r="AA107" i="9"/>
  <c r="AD106" i="9"/>
  <c r="AG105" i="9"/>
  <c r="AB104" i="9"/>
  <c r="AE103" i="9"/>
  <c r="AC217" i="9"/>
  <c r="AE211" i="9"/>
  <c r="AG205" i="9"/>
  <c r="AB204" i="9"/>
  <c r="AE197" i="9"/>
  <c r="AF195" i="9"/>
  <c r="AA194" i="9"/>
  <c r="AG193" i="9"/>
  <c r="AB192" i="9"/>
  <c r="AD191" i="9"/>
  <c r="AG190" i="9"/>
  <c r="AB189" i="9"/>
  <c r="AE188" i="9"/>
  <c r="AC186" i="9"/>
  <c r="AF185" i="9"/>
  <c r="AA184" i="9"/>
  <c r="AD183" i="9"/>
  <c r="AG182" i="9"/>
  <c r="AB181" i="9"/>
  <c r="AE180" i="9"/>
  <c r="AC178" i="9"/>
  <c r="AF177" i="9"/>
  <c r="AA176" i="9"/>
  <c r="AD175" i="9"/>
  <c r="AG174" i="9"/>
  <c r="AB173" i="9"/>
  <c r="AE172" i="9"/>
  <c r="AC170" i="9"/>
  <c r="AF169" i="9"/>
  <c r="AA168" i="9"/>
  <c r="AD167" i="9"/>
  <c r="AG166" i="9"/>
  <c r="AB165" i="9"/>
  <c r="AE164" i="9"/>
  <c r="AC162" i="9"/>
  <c r="AF161" i="9"/>
  <c r="AA160" i="9"/>
  <c r="AD159" i="9"/>
  <c r="AG158" i="9"/>
  <c r="AB157" i="9"/>
  <c r="AE156" i="9"/>
  <c r="AC154" i="9"/>
  <c r="AF153" i="9"/>
  <c r="AA152" i="9"/>
  <c r="AD151" i="9"/>
  <c r="AG150" i="9"/>
  <c r="AB149" i="9"/>
  <c r="AE148" i="9"/>
  <c r="AC146" i="9"/>
  <c r="AF145" i="9"/>
  <c r="AA144" i="9"/>
  <c r="AD143" i="9"/>
  <c r="AG142" i="9"/>
  <c r="AB141" i="9"/>
  <c r="AE140" i="9"/>
  <c r="AC138" i="9"/>
  <c r="AF137" i="9"/>
  <c r="AA136" i="9"/>
  <c r="AD135" i="9"/>
  <c r="AG134" i="9"/>
  <c r="AB133" i="9"/>
  <c r="AE132" i="9"/>
  <c r="AC130" i="9"/>
  <c r="AF129" i="9"/>
  <c r="AA128" i="9"/>
  <c r="AD127" i="9"/>
  <c r="AG126" i="9"/>
  <c r="AB125" i="9"/>
  <c r="AE124" i="9"/>
  <c r="AC122" i="9"/>
  <c r="AF121" i="9"/>
  <c r="AA120" i="9"/>
  <c r="AD119" i="9"/>
  <c r="AG118" i="9"/>
  <c r="AB117" i="9"/>
  <c r="AE116" i="9"/>
  <c r="AC114" i="9"/>
  <c r="AF113" i="9"/>
  <c r="AD218" i="9"/>
  <c r="AF212" i="9"/>
  <c r="AA211" i="9"/>
  <c r="AC205" i="9"/>
  <c r="AD197" i="9"/>
  <c r="AE195" i="9"/>
  <c r="AE193" i="9"/>
  <c r="AC191" i="9"/>
  <c r="AF190" i="9"/>
  <c r="AA189" i="9"/>
  <c r="AD188" i="9"/>
  <c r="AG187" i="9"/>
  <c r="AB186" i="9"/>
  <c r="AE185" i="9"/>
  <c r="AC183" i="9"/>
  <c r="AF182" i="9"/>
  <c r="AA181" i="9"/>
  <c r="AD180" i="9"/>
  <c r="AG179" i="9"/>
  <c r="AB178" i="9"/>
  <c r="AE177" i="9"/>
  <c r="AC175" i="9"/>
  <c r="AF174" i="9"/>
  <c r="AA173" i="9"/>
  <c r="AD172" i="9"/>
  <c r="AG171" i="9"/>
  <c r="AB170" i="9"/>
  <c r="AE169" i="9"/>
  <c r="AC167" i="9"/>
  <c r="AF166" i="9"/>
  <c r="AA165" i="9"/>
  <c r="AD164" i="9"/>
  <c r="AG163" i="9"/>
  <c r="AB162" i="9"/>
  <c r="AE161" i="9"/>
  <c r="AC159" i="9"/>
  <c r="AF158" i="9"/>
  <c r="AA157" i="9"/>
  <c r="AD156" i="9"/>
  <c r="AG155" i="9"/>
  <c r="AB154" i="9"/>
  <c r="AE153" i="9"/>
  <c r="AC151" i="9"/>
  <c r="AF150" i="9"/>
  <c r="AA149" i="9"/>
  <c r="AD148" i="9"/>
  <c r="AG147" i="9"/>
  <c r="AB146" i="9"/>
  <c r="AE145" i="9"/>
  <c r="AC143" i="9"/>
  <c r="AF142" i="9"/>
  <c r="AA141" i="9"/>
  <c r="AD140" i="9"/>
  <c r="AG139" i="9"/>
  <c r="AB138" i="9"/>
  <c r="AE137" i="9"/>
  <c r="AC135" i="9"/>
  <c r="AF134" i="9"/>
  <c r="AA133" i="9"/>
  <c r="AD132" i="9"/>
  <c r="AG131" i="9"/>
  <c r="AB130" i="9"/>
  <c r="AE129" i="9"/>
  <c r="AC127" i="9"/>
  <c r="AF126" i="9"/>
  <c r="AA125" i="9"/>
  <c r="AD124" i="9"/>
  <c r="AG123" i="9"/>
  <c r="AB122" i="9"/>
  <c r="AE121" i="9"/>
  <c r="AC119" i="9"/>
  <c r="AF118" i="9"/>
  <c r="AA117" i="9"/>
  <c r="AD116" i="9"/>
  <c r="AG115" i="9"/>
  <c r="AB114" i="9"/>
  <c r="AE113" i="9"/>
  <c r="AC111" i="9"/>
  <c r="AF110" i="9"/>
  <c r="AA109" i="9"/>
  <c r="AD108" i="9"/>
  <c r="AG107" i="9"/>
  <c r="AD11" i="9"/>
  <c r="V12" i="9"/>
  <c r="AD12" i="9"/>
  <c r="AL12" i="9"/>
  <c r="AA13" i="9"/>
  <c r="AI13" i="9"/>
  <c r="AQ13" i="9"/>
  <c r="X14" i="9"/>
  <c r="AF14" i="9"/>
  <c r="AN14" i="9"/>
  <c r="U15" i="9"/>
  <c r="AC15" i="9"/>
  <c r="AK15" i="9"/>
  <c r="AS15" i="9"/>
  <c r="AP16" i="9"/>
  <c r="W17" i="9"/>
  <c r="AE17" i="9"/>
  <c r="AM17" i="9"/>
  <c r="T18" i="9"/>
  <c r="AB18" i="9"/>
  <c r="AJ18" i="9"/>
  <c r="AR18" i="9"/>
  <c r="Y19" i="9"/>
  <c r="AG19" i="9"/>
  <c r="AO19" i="9"/>
  <c r="V20" i="9"/>
  <c r="AD20" i="9"/>
  <c r="AL20" i="9"/>
  <c r="AA21" i="9"/>
  <c r="AI21" i="9"/>
  <c r="AQ21" i="9"/>
  <c r="X22" i="9"/>
  <c r="AF22" i="9"/>
  <c r="AN22" i="9"/>
  <c r="U23" i="9"/>
  <c r="AC23" i="9"/>
  <c r="AK23" i="9"/>
  <c r="AS23" i="9"/>
  <c r="AP24" i="9"/>
  <c r="W25" i="9"/>
  <c r="AE25" i="9"/>
  <c r="AM25" i="9"/>
  <c r="T26" i="9"/>
  <c r="AB26" i="9"/>
  <c r="AJ26" i="9"/>
  <c r="AR26" i="9"/>
  <c r="Y27" i="9"/>
  <c r="AG27" i="9"/>
  <c r="AO27" i="9"/>
  <c r="V28" i="9"/>
  <c r="AD28" i="9"/>
  <c r="AL28" i="9"/>
  <c r="AA29" i="9"/>
  <c r="AI29" i="9"/>
  <c r="AQ29" i="9"/>
  <c r="X30" i="9"/>
  <c r="AF30" i="9"/>
  <c r="AN30" i="9"/>
  <c r="U31" i="9"/>
  <c r="AC31" i="9"/>
  <c r="AK31" i="9"/>
  <c r="AS31" i="9"/>
  <c r="AP32" i="9"/>
  <c r="W33" i="9"/>
  <c r="AE33" i="9"/>
  <c r="AM33" i="9"/>
  <c r="T34" i="9"/>
  <c r="AB34" i="9"/>
  <c r="AJ34" i="9"/>
  <c r="AR34" i="9"/>
  <c r="Y35" i="9"/>
  <c r="AG35" i="9"/>
  <c r="AO35" i="9"/>
  <c r="V36" i="9"/>
  <c r="AD36" i="9"/>
  <c r="AL36" i="9"/>
  <c r="AA37" i="9"/>
  <c r="AI37" i="9"/>
  <c r="AQ37" i="9"/>
  <c r="X38" i="9"/>
  <c r="AF38" i="9"/>
  <c r="AN38" i="9"/>
  <c r="U39" i="9"/>
  <c r="AC39" i="9"/>
  <c r="AK39" i="9"/>
  <c r="AS39" i="9"/>
  <c r="AP40" i="9"/>
  <c r="W41" i="9"/>
  <c r="AE41" i="9"/>
  <c r="AM41" i="9"/>
  <c r="T42" i="9"/>
  <c r="AB42" i="9"/>
  <c r="AJ42" i="9"/>
  <c r="AR42" i="9"/>
  <c r="Y43" i="9"/>
  <c r="AG43" i="9"/>
  <c r="AO43" i="9"/>
  <c r="V44" i="9"/>
  <c r="AD44" i="9"/>
  <c r="AL44" i="9"/>
  <c r="AA45" i="9"/>
  <c r="AI45" i="9"/>
  <c r="AQ45" i="9"/>
  <c r="X46" i="9"/>
  <c r="AF46" i="9"/>
  <c r="AN46" i="9"/>
  <c r="U47" i="9"/>
  <c r="AC47" i="9"/>
  <c r="AK47" i="9"/>
  <c r="AS47" i="9"/>
  <c r="AP48" i="9"/>
  <c r="W49" i="9"/>
  <c r="AE49" i="9"/>
  <c r="AM49" i="9"/>
  <c r="T50" i="9"/>
  <c r="AB50" i="9"/>
  <c r="AJ50" i="9"/>
  <c r="AR50" i="9"/>
  <c r="Y51" i="9"/>
  <c r="AG51" i="9"/>
  <c r="AO51" i="9"/>
  <c r="V52" i="9"/>
  <c r="AD52" i="9"/>
  <c r="AL52" i="9"/>
  <c r="AA53" i="9"/>
  <c r="AI53" i="9"/>
  <c r="AQ53" i="9"/>
  <c r="X54" i="9"/>
  <c r="AF54" i="9"/>
  <c r="AN54" i="9"/>
  <c r="U55" i="9"/>
  <c r="AC55" i="9"/>
  <c r="AK55" i="9"/>
  <c r="AS55" i="9"/>
  <c r="AP56" i="9"/>
  <c r="W57" i="9"/>
  <c r="AE57" i="9"/>
  <c r="AM57" i="9"/>
  <c r="T58" i="9"/>
  <c r="AB58" i="9"/>
  <c r="AJ58" i="9"/>
  <c r="AR58" i="9"/>
  <c r="Y59" i="9"/>
  <c r="AG59" i="9"/>
  <c r="AO59" i="9"/>
  <c r="V60" i="9"/>
  <c r="AD60" i="9"/>
  <c r="AL60" i="9"/>
  <c r="AA61" i="9"/>
  <c r="AI61" i="9"/>
  <c r="AQ61" i="9"/>
  <c r="X62" i="9"/>
  <c r="AF62" i="9"/>
  <c r="AN62" i="9"/>
  <c r="U63" i="9"/>
  <c r="AC63" i="9"/>
  <c r="AK63" i="9"/>
  <c r="AS63" i="9"/>
  <c r="AP64" i="9"/>
  <c r="W65" i="9"/>
  <c r="AE65" i="9"/>
  <c r="AM65" i="9"/>
  <c r="T66" i="9"/>
  <c r="AB66" i="9"/>
  <c r="AJ66" i="9"/>
  <c r="AR66" i="9"/>
  <c r="Y67" i="9"/>
  <c r="AG67" i="9"/>
  <c r="AO67" i="9"/>
  <c r="V68" i="9"/>
  <c r="AD68" i="9"/>
  <c r="AL68" i="9"/>
  <c r="AA69" i="9"/>
  <c r="AI69" i="9"/>
  <c r="AQ69" i="9"/>
  <c r="X70" i="9"/>
  <c r="AF70" i="9"/>
  <c r="AN70" i="9"/>
  <c r="U71" i="9"/>
  <c r="AC71" i="9"/>
  <c r="AK71" i="9"/>
  <c r="AS71" i="9"/>
  <c r="AP72" i="9"/>
  <c r="W73" i="9"/>
  <c r="AE73" i="9"/>
  <c r="AM73" i="9"/>
  <c r="T74" i="9"/>
  <c r="AB74" i="9"/>
  <c r="AJ74" i="9"/>
  <c r="AR74" i="9"/>
  <c r="Y75" i="9"/>
  <c r="AG75" i="9"/>
  <c r="AO75" i="9"/>
  <c r="V76" i="9"/>
  <c r="AD76" i="9"/>
  <c r="AL76" i="9"/>
  <c r="AA77" i="9"/>
  <c r="AI77" i="9"/>
  <c r="AQ77" i="9"/>
  <c r="X78" i="9"/>
  <c r="AF78" i="9"/>
  <c r="AN78" i="9"/>
  <c r="U79" i="9"/>
  <c r="AC79" i="9"/>
  <c r="AK79" i="9"/>
  <c r="AS79" i="9"/>
  <c r="AP80" i="9"/>
  <c r="W81" i="9"/>
  <c r="AE81" i="9"/>
  <c r="AM81" i="9"/>
  <c r="T82" i="9"/>
  <c r="AB82" i="9"/>
  <c r="AJ82" i="9"/>
  <c r="AR82" i="9"/>
  <c r="Y83" i="9"/>
  <c r="AG83" i="9"/>
  <c r="AO83" i="9"/>
  <c r="V84" i="9"/>
  <c r="AD84" i="9"/>
  <c r="AL84" i="9"/>
  <c r="AA85" i="9"/>
  <c r="AI85" i="9"/>
  <c r="AQ85" i="9"/>
  <c r="X86" i="9"/>
  <c r="AF86" i="9"/>
  <c r="AN86" i="9"/>
  <c r="U87" i="9"/>
  <c r="AC87" i="9"/>
  <c r="AK87" i="9"/>
  <c r="AS87" i="9"/>
  <c r="AP88" i="9"/>
  <c r="W89" i="9"/>
  <c r="AE89" i="9"/>
  <c r="AM89" i="9"/>
  <c r="T90" i="9"/>
  <c r="AB90" i="9"/>
  <c r="AJ90" i="9"/>
  <c r="AR90" i="9"/>
  <c r="Y91" i="9"/>
  <c r="AG91" i="9"/>
  <c r="AO91" i="9"/>
  <c r="V92" i="9"/>
  <c r="AD92" i="9"/>
  <c r="AL92" i="9"/>
  <c r="AA93" i="9"/>
  <c r="AI93" i="9"/>
  <c r="AQ93" i="9"/>
  <c r="X94" i="9"/>
  <c r="AF94" i="9"/>
  <c r="AN94" i="9"/>
  <c r="U95" i="9"/>
  <c r="AC95" i="9"/>
  <c r="AK95" i="9"/>
  <c r="AS95" i="9"/>
  <c r="AP96" i="9"/>
  <c r="W97" i="9"/>
  <c r="AE97" i="9"/>
  <c r="AM97" i="9"/>
  <c r="T98" i="9"/>
  <c r="AB98" i="9"/>
  <c r="AJ98" i="9"/>
  <c r="AR98" i="9"/>
  <c r="Y99" i="9"/>
  <c r="AG99" i="9"/>
  <c r="AO99" i="9"/>
  <c r="V100" i="9"/>
  <c r="AD100" i="9"/>
  <c r="AL100" i="9"/>
  <c r="AA101" i="9"/>
  <c r="AI101" i="9"/>
  <c r="AQ101" i="9"/>
  <c r="X102" i="9"/>
  <c r="AG102" i="9"/>
  <c r="AS102" i="9"/>
  <c r="AF103" i="9"/>
  <c r="AS103" i="9"/>
  <c r="AD104" i="9"/>
  <c r="AQ104" i="9"/>
  <c r="AB105" i="9"/>
  <c r="AP105" i="9"/>
  <c r="AB106" i="9"/>
  <c r="AR106" i="9"/>
  <c r="AE108" i="9"/>
  <c r="AO110" i="9"/>
  <c r="X113" i="9"/>
  <c r="AN10" i="9"/>
  <c r="W11" i="9"/>
  <c r="AE11" i="9"/>
  <c r="AM11" i="9"/>
  <c r="AF11" i="9"/>
  <c r="AR10" i="9"/>
  <c r="Y11" i="9"/>
  <c r="AG11" i="9"/>
  <c r="AO11" i="9"/>
  <c r="AD10" i="9"/>
  <c r="AS10" i="9"/>
  <c r="Z11" i="9"/>
  <c r="AH11" i="9"/>
  <c r="AP11" i="9"/>
  <c r="AI10" i="9"/>
  <c r="AA11" i="9"/>
  <c r="AI11" i="9"/>
  <c r="AQ11" i="9"/>
  <c r="AJ10" i="9"/>
  <c r="T11" i="9"/>
  <c r="AB11" i="9"/>
  <c r="AJ11" i="9"/>
  <c r="AR11" i="9"/>
  <c r="AC11" i="9"/>
  <c r="AE10" i="9"/>
  <c r="AM10" i="9"/>
  <c r="AF10" i="9"/>
  <c r="AG10" i="9"/>
  <c r="AO10" i="9"/>
  <c r="AP10" i="9"/>
  <c r="AA10" i="9"/>
  <c r="AB10" i="9"/>
  <c r="AC10" i="9"/>
  <c r="T10" i="9"/>
  <c r="S9" i="9"/>
  <c r="U10" i="9"/>
  <c r="V10" i="9"/>
  <c r="W10" i="9"/>
  <c r="X10" i="9"/>
  <c r="F18" i="9" l="1"/>
  <c r="Z10" i="9"/>
  <c r="Z1074" i="9"/>
  <c r="Z1066" i="9"/>
  <c r="Z1058" i="9"/>
  <c r="Z1079" i="9"/>
  <c r="Z1071" i="9"/>
  <c r="Z1063" i="9"/>
  <c r="Z1076" i="9"/>
  <c r="Z1068" i="9"/>
  <c r="Z1060" i="9"/>
  <c r="Z1081" i="9"/>
  <c r="Z1073" i="9"/>
  <c r="Z1065" i="9"/>
  <c r="Z1057" i="9"/>
  <c r="Z1078" i="9"/>
  <c r="Z1070" i="9"/>
  <c r="Z1062" i="9"/>
  <c r="Z1075" i="9"/>
  <c r="Z1067" i="9"/>
  <c r="Z1059" i="9"/>
  <c r="Z1080" i="9"/>
  <c r="Z1072" i="9"/>
  <c r="Z1064" i="9"/>
  <c r="Z1054" i="9"/>
  <c r="Z1046" i="9"/>
  <c r="Z1038" i="9"/>
  <c r="Z1053" i="9"/>
  <c r="Z1045" i="9"/>
  <c r="Z1037" i="9"/>
  <c r="Z1050" i="9"/>
  <c r="Z1042" i="9"/>
  <c r="Z1061" i="9"/>
  <c r="Z1055" i="9"/>
  <c r="Z1047" i="9"/>
  <c r="Z1039" i="9"/>
  <c r="Z1052" i="9"/>
  <c r="Z1044" i="9"/>
  <c r="Z1069" i="9"/>
  <c r="Z1056" i="9"/>
  <c r="Z1026" i="9"/>
  <c r="Z1018" i="9"/>
  <c r="Z1043" i="9"/>
  <c r="Z1025" i="9"/>
  <c r="Z1017" i="9"/>
  <c r="Z1030" i="9"/>
  <c r="Z1022" i="9"/>
  <c r="Z1077" i="9"/>
  <c r="Z1034" i="9"/>
  <c r="Z1033" i="9"/>
  <c r="Z1027" i="9"/>
  <c r="Z1049" i="9"/>
  <c r="Z1035" i="9"/>
  <c r="Z1032" i="9"/>
  <c r="Z1024" i="9"/>
  <c r="Z1013" i="9"/>
  <c r="Z1005" i="9"/>
  <c r="Z1021" i="9"/>
  <c r="Z1012" i="9"/>
  <c r="Z1004" i="9"/>
  <c r="Z1040" i="9"/>
  <c r="Z1028" i="9"/>
  <c r="Z1015" i="9"/>
  <c r="Z1009" i="9"/>
  <c r="Z1048" i="9"/>
  <c r="Z1031" i="9"/>
  <c r="Z1019" i="9"/>
  <c r="Z1016" i="9"/>
  <c r="Z1014" i="9"/>
  <c r="Z1006" i="9"/>
  <c r="Z1023" i="9"/>
  <c r="Z1011" i="9"/>
  <c r="Z997" i="9"/>
  <c r="Z989" i="9"/>
  <c r="Z981" i="9"/>
  <c r="Z1002" i="9"/>
  <c r="Z996" i="9"/>
  <c r="Z988" i="9"/>
  <c r="Z1036" i="9"/>
  <c r="Z1029" i="9"/>
  <c r="Z993" i="9"/>
  <c r="Z985" i="9"/>
  <c r="Z1051" i="9"/>
  <c r="Z999" i="9"/>
  <c r="Z998" i="9"/>
  <c r="Z990" i="9"/>
  <c r="Z1008" i="9"/>
  <c r="Z1000" i="9"/>
  <c r="Z995" i="9"/>
  <c r="Z987" i="9"/>
  <c r="Z992" i="9"/>
  <c r="Z980" i="9"/>
  <c r="Z972" i="9"/>
  <c r="Z964" i="9"/>
  <c r="Z956" i="9"/>
  <c r="Z948" i="9"/>
  <c r="Z1007" i="9"/>
  <c r="Z1001" i="9"/>
  <c r="Z983" i="9"/>
  <c r="Z1041" i="9"/>
  <c r="Z1003" i="9"/>
  <c r="Z991" i="9"/>
  <c r="Z979" i="9"/>
  <c r="Z971" i="9"/>
  <c r="Z963" i="9"/>
  <c r="Z955" i="9"/>
  <c r="Z947" i="9"/>
  <c r="Z1020" i="9"/>
  <c r="Z994" i="9"/>
  <c r="Z976" i="9"/>
  <c r="Z968" i="9"/>
  <c r="Z960" i="9"/>
  <c r="Z952" i="9"/>
  <c r="Z973" i="9"/>
  <c r="Z965" i="9"/>
  <c r="Z957" i="9"/>
  <c r="Z949" i="9"/>
  <c r="Z1010" i="9"/>
  <c r="Z984" i="9"/>
  <c r="Z978" i="9"/>
  <c r="Z970" i="9"/>
  <c r="Z962" i="9"/>
  <c r="Z954" i="9"/>
  <c r="Z946" i="9"/>
  <c r="Z986" i="9"/>
  <c r="Z961" i="9"/>
  <c r="Z950" i="9"/>
  <c r="Z975" i="9"/>
  <c r="Z959" i="9"/>
  <c r="Z945" i="9"/>
  <c r="Z942" i="9"/>
  <c r="Z934" i="9"/>
  <c r="Z926" i="9"/>
  <c r="Z918" i="9"/>
  <c r="Z910" i="9"/>
  <c r="Z974" i="9"/>
  <c r="Z951" i="9"/>
  <c r="Z939" i="9"/>
  <c r="Z931" i="9"/>
  <c r="Z923" i="9"/>
  <c r="Z915" i="9"/>
  <c r="Z977" i="9"/>
  <c r="Z966" i="9"/>
  <c r="Z944" i="9"/>
  <c r="Z936" i="9"/>
  <c r="Z928" i="9"/>
  <c r="Z920" i="9"/>
  <c r="Z912" i="9"/>
  <c r="Z929" i="9"/>
  <c r="Z919" i="9"/>
  <c r="Z902" i="9"/>
  <c r="Z894" i="9"/>
  <c r="Z886" i="9"/>
  <c r="Z969" i="9"/>
  <c r="Z967" i="9"/>
  <c r="Z958" i="9"/>
  <c r="Z933" i="9"/>
  <c r="Z916" i="9"/>
  <c r="Z909" i="9"/>
  <c r="Z901" i="9"/>
  <c r="Z893" i="9"/>
  <c r="Z941" i="9"/>
  <c r="Z924" i="9"/>
  <c r="Z914" i="9"/>
  <c r="Z906" i="9"/>
  <c r="Z898" i="9"/>
  <c r="Z890" i="9"/>
  <c r="Z982" i="9"/>
  <c r="Z932" i="9"/>
  <c r="Z922" i="9"/>
  <c r="Z903" i="9"/>
  <c r="Z895" i="9"/>
  <c r="Z953" i="9"/>
  <c r="Z943" i="9"/>
  <c r="Z940" i="9"/>
  <c r="Z930" i="9"/>
  <c r="Z913" i="9"/>
  <c r="Z908" i="9"/>
  <c r="Z900" i="9"/>
  <c r="Z892" i="9"/>
  <c r="Z927" i="9"/>
  <c r="Z899" i="9"/>
  <c r="Z885" i="9"/>
  <c r="Z879" i="9"/>
  <c r="Z871" i="9"/>
  <c r="Z863" i="9"/>
  <c r="Z855" i="9"/>
  <c r="Z937" i="9"/>
  <c r="Z889" i="9"/>
  <c r="Z884" i="9"/>
  <c r="Z876" i="9"/>
  <c r="Z868" i="9"/>
  <c r="Z860" i="9"/>
  <c r="Z938" i="9"/>
  <c r="Z891" i="9"/>
  <c r="Z888" i="9"/>
  <c r="Z881" i="9"/>
  <c r="Z873" i="9"/>
  <c r="Z865" i="9"/>
  <c r="Z857" i="9"/>
  <c r="Z875" i="9"/>
  <c r="Z858" i="9"/>
  <c r="Z851" i="9"/>
  <c r="Z843" i="9"/>
  <c r="Z835" i="9"/>
  <c r="Z827" i="9"/>
  <c r="Z819" i="9"/>
  <c r="Z911" i="9"/>
  <c r="Z883" i="9"/>
  <c r="Z866" i="9"/>
  <c r="Z925" i="9"/>
  <c r="Z921" i="9"/>
  <c r="Z917" i="9"/>
  <c r="Z905" i="9"/>
  <c r="Z904" i="9"/>
  <c r="Z874" i="9"/>
  <c r="Z864" i="9"/>
  <c r="Z935" i="9"/>
  <c r="Z882" i="9"/>
  <c r="Z872" i="9"/>
  <c r="Z862" i="9"/>
  <c r="Z850" i="9"/>
  <c r="Z842" i="9"/>
  <c r="Z834" i="9"/>
  <c r="Z826" i="9"/>
  <c r="Z880" i="9"/>
  <c r="Z870" i="9"/>
  <c r="Z847" i="9"/>
  <c r="Z839" i="9"/>
  <c r="Z831" i="9"/>
  <c r="Z823" i="9"/>
  <c r="Z897" i="9"/>
  <c r="Z896" i="9"/>
  <c r="Z887" i="9"/>
  <c r="Z878" i="9"/>
  <c r="Z861" i="9"/>
  <c r="Z852" i="9"/>
  <c r="Z844" i="9"/>
  <c r="Z836" i="9"/>
  <c r="Z828" i="9"/>
  <c r="Z820" i="9"/>
  <c r="Z869" i="9"/>
  <c r="Z859" i="9"/>
  <c r="Z849" i="9"/>
  <c r="Z841" i="9"/>
  <c r="Z833" i="9"/>
  <c r="Z846" i="9"/>
  <c r="Z821" i="9"/>
  <c r="Z816" i="9"/>
  <c r="Z808" i="9"/>
  <c r="Z800" i="9"/>
  <c r="Z792" i="9"/>
  <c r="Z854" i="9"/>
  <c r="Z838" i="9"/>
  <c r="Z813" i="9"/>
  <c r="Z805" i="9"/>
  <c r="Z797" i="9"/>
  <c r="Z789" i="9"/>
  <c r="Z867" i="9"/>
  <c r="Z853" i="9"/>
  <c r="Z830" i="9"/>
  <c r="Z810" i="9"/>
  <c r="Z802" i="9"/>
  <c r="Z794" i="9"/>
  <c r="Z845" i="9"/>
  <c r="Z824" i="9"/>
  <c r="Z815" i="9"/>
  <c r="Z807" i="9"/>
  <c r="Z799" i="9"/>
  <c r="Z791" i="9"/>
  <c r="Z856" i="9"/>
  <c r="Z848" i="9"/>
  <c r="Z837" i="9"/>
  <c r="Z812" i="9"/>
  <c r="Z804" i="9"/>
  <c r="Z796" i="9"/>
  <c r="Z877" i="9"/>
  <c r="Z840" i="9"/>
  <c r="Z829" i="9"/>
  <c r="Z825" i="9"/>
  <c r="Z818" i="9"/>
  <c r="Z817" i="9"/>
  <c r="Z809" i="9"/>
  <c r="Z801" i="9"/>
  <c r="Z793" i="9"/>
  <c r="Z832" i="9"/>
  <c r="Z822" i="9"/>
  <c r="Z814" i="9"/>
  <c r="Z806" i="9"/>
  <c r="Z798" i="9"/>
  <c r="Z907" i="9"/>
  <c r="Z784" i="9"/>
  <c r="Z776" i="9"/>
  <c r="Z768" i="9"/>
  <c r="Z781" i="9"/>
  <c r="Z773" i="9"/>
  <c r="Z765" i="9"/>
  <c r="Z811" i="9"/>
  <c r="Z778" i="9"/>
  <c r="Z770" i="9"/>
  <c r="Z788" i="9"/>
  <c r="Z787" i="9"/>
  <c r="Z780" i="9"/>
  <c r="Z772" i="9"/>
  <c r="Z764" i="9"/>
  <c r="Z803" i="9"/>
  <c r="Z795" i="9"/>
  <c r="Z785" i="9"/>
  <c r="Z777" i="9"/>
  <c r="Z782" i="9"/>
  <c r="Z774" i="9"/>
  <c r="Z758" i="9"/>
  <c r="Z775" i="9"/>
  <c r="Z763" i="9"/>
  <c r="Z755" i="9"/>
  <c r="Z747" i="9"/>
  <c r="Z739" i="9"/>
  <c r="Z731" i="9"/>
  <c r="Z723" i="9"/>
  <c r="Z760" i="9"/>
  <c r="Z752" i="9"/>
  <c r="Z744" i="9"/>
  <c r="Z736" i="9"/>
  <c r="Z728" i="9"/>
  <c r="Z783" i="9"/>
  <c r="Z766" i="9"/>
  <c r="Z757" i="9"/>
  <c r="Z749" i="9"/>
  <c r="Z741" i="9"/>
  <c r="Z733" i="9"/>
  <c r="Z725" i="9"/>
  <c r="Z771" i="9"/>
  <c r="Z767" i="9"/>
  <c r="Z762" i="9"/>
  <c r="Z754" i="9"/>
  <c r="Z790" i="9"/>
  <c r="Z759" i="9"/>
  <c r="Z751" i="9"/>
  <c r="Z743" i="9"/>
  <c r="Z735" i="9"/>
  <c r="Z727" i="9"/>
  <c r="Z719" i="9"/>
  <c r="Z779" i="9"/>
  <c r="Z769" i="9"/>
  <c r="Z756" i="9"/>
  <c r="Z748" i="9"/>
  <c r="Z740" i="9"/>
  <c r="Z732" i="9"/>
  <c r="Z786" i="9"/>
  <c r="Z761" i="9"/>
  <c r="Z753" i="9"/>
  <c r="Z745" i="9"/>
  <c r="Z737" i="9"/>
  <c r="Z729" i="9"/>
  <c r="Z734" i="9"/>
  <c r="Z726" i="9"/>
  <c r="Z721" i="9"/>
  <c r="Z716" i="9"/>
  <c r="Z708" i="9"/>
  <c r="Z713" i="9"/>
  <c r="Z705" i="9"/>
  <c r="Z697" i="9"/>
  <c r="Z689" i="9"/>
  <c r="Z681" i="9"/>
  <c r="Z673" i="9"/>
  <c r="Z742" i="9"/>
  <c r="Z718" i="9"/>
  <c r="Z710" i="9"/>
  <c r="Z702" i="9"/>
  <c r="Z694" i="9"/>
  <c r="Z686" i="9"/>
  <c r="Z678" i="9"/>
  <c r="Z730" i="9"/>
  <c r="Z715" i="9"/>
  <c r="Z707" i="9"/>
  <c r="Z699" i="9"/>
  <c r="Z691" i="9"/>
  <c r="Z683" i="9"/>
  <c r="Z675" i="9"/>
  <c r="Z750" i="9"/>
  <c r="Z722" i="9"/>
  <c r="Z720" i="9"/>
  <c r="Z712" i="9"/>
  <c r="Z738" i="9"/>
  <c r="Z717" i="9"/>
  <c r="Z709" i="9"/>
  <c r="Z701" i="9"/>
  <c r="Z693" i="9"/>
  <c r="Z685" i="9"/>
  <c r="Z677" i="9"/>
  <c r="Z714" i="9"/>
  <c r="Z706" i="9"/>
  <c r="Z698" i="9"/>
  <c r="Z690" i="9"/>
  <c r="Z682" i="9"/>
  <c r="Z746" i="9"/>
  <c r="Z724" i="9"/>
  <c r="Z711" i="9"/>
  <c r="Z703" i="9"/>
  <c r="Z695" i="9"/>
  <c r="Z687" i="9"/>
  <c r="Z704" i="9"/>
  <c r="Z664" i="9"/>
  <c r="Z656" i="9"/>
  <c r="Z648" i="9"/>
  <c r="Z640" i="9"/>
  <c r="Z632" i="9"/>
  <c r="Z692" i="9"/>
  <c r="Z669" i="9"/>
  <c r="Z661" i="9"/>
  <c r="Z653" i="9"/>
  <c r="Z645" i="9"/>
  <c r="Z637" i="9"/>
  <c r="Z629" i="9"/>
  <c r="Z621" i="9"/>
  <c r="Z613" i="9"/>
  <c r="Z605" i="9"/>
  <c r="Z597" i="9"/>
  <c r="Z589" i="9"/>
  <c r="Z680" i="9"/>
  <c r="Z674" i="9"/>
  <c r="Z666" i="9"/>
  <c r="Z658" i="9"/>
  <c r="Z700" i="9"/>
  <c r="Z679" i="9"/>
  <c r="Z672" i="9"/>
  <c r="Z671" i="9"/>
  <c r="Z663" i="9"/>
  <c r="Z655" i="9"/>
  <c r="Z688" i="9"/>
  <c r="Z676" i="9"/>
  <c r="Z668" i="9"/>
  <c r="Z660" i="9"/>
  <c r="Z652" i="9"/>
  <c r="Z644" i="9"/>
  <c r="Z636" i="9"/>
  <c r="Z665" i="9"/>
  <c r="Z657" i="9"/>
  <c r="Z649" i="9"/>
  <c r="Z641" i="9"/>
  <c r="Z633" i="9"/>
  <c r="Z625" i="9"/>
  <c r="Z617" i="9"/>
  <c r="Z609" i="9"/>
  <c r="Z601" i="9"/>
  <c r="Z593" i="9"/>
  <c r="Z585" i="9"/>
  <c r="Z696" i="9"/>
  <c r="Z670" i="9"/>
  <c r="Z662" i="9"/>
  <c r="Z654" i="9"/>
  <c r="Z646" i="9"/>
  <c r="Z638" i="9"/>
  <c r="Z630" i="9"/>
  <c r="Z622" i="9"/>
  <c r="Z614" i="9"/>
  <c r="Z606" i="9"/>
  <c r="Z598" i="9"/>
  <c r="Z590" i="9"/>
  <c r="Z684" i="9"/>
  <c r="Z667" i="9"/>
  <c r="Z659" i="9"/>
  <c r="Z651" i="9"/>
  <c r="Z643" i="9"/>
  <c r="Z635" i="9"/>
  <c r="Z627" i="9"/>
  <c r="Z619" i="9"/>
  <c r="Z611" i="9"/>
  <c r="Z603" i="9"/>
  <c r="Z595" i="9"/>
  <c r="Z628" i="9"/>
  <c r="Z624" i="9"/>
  <c r="Z608" i="9"/>
  <c r="Z592" i="9"/>
  <c r="Z579" i="9"/>
  <c r="Z571" i="9"/>
  <c r="Z563" i="9"/>
  <c r="Z650" i="9"/>
  <c r="Z618" i="9"/>
  <c r="Z602" i="9"/>
  <c r="Z576" i="9"/>
  <c r="Z568" i="9"/>
  <c r="Z560" i="9"/>
  <c r="Z552" i="9"/>
  <c r="Z544" i="9"/>
  <c r="Z536" i="9"/>
  <c r="Z528" i="9"/>
  <c r="Z520" i="9"/>
  <c r="Z512" i="9"/>
  <c r="Z631" i="9"/>
  <c r="Z615" i="9"/>
  <c r="Z599" i="9"/>
  <c r="Z612" i="9"/>
  <c r="Z596" i="9"/>
  <c r="Z639" i="9"/>
  <c r="Z616" i="9"/>
  <c r="Z600" i="9"/>
  <c r="Z575" i="9"/>
  <c r="Z567" i="9"/>
  <c r="Z559" i="9"/>
  <c r="Z634" i="9"/>
  <c r="Z626" i="9"/>
  <c r="Z610" i="9"/>
  <c r="Z594" i="9"/>
  <c r="Z580" i="9"/>
  <c r="Z572" i="9"/>
  <c r="Z564" i="9"/>
  <c r="Z556" i="9"/>
  <c r="Z548" i="9"/>
  <c r="Z540" i="9"/>
  <c r="Z532" i="9"/>
  <c r="Z524" i="9"/>
  <c r="Z516" i="9"/>
  <c r="Z647" i="9"/>
  <c r="Z623" i="9"/>
  <c r="Z607" i="9"/>
  <c r="Z591" i="9"/>
  <c r="Z587" i="9"/>
  <c r="Z577" i="9"/>
  <c r="Z569" i="9"/>
  <c r="Z561" i="9"/>
  <c r="Z553" i="9"/>
  <c r="Z545" i="9"/>
  <c r="Z537" i="9"/>
  <c r="Z529" i="9"/>
  <c r="Z521" i="9"/>
  <c r="Z642" i="9"/>
  <c r="Z620" i="9"/>
  <c r="Z604" i="9"/>
  <c r="Z588" i="9"/>
  <c r="Z583" i="9"/>
  <c r="Z574" i="9"/>
  <c r="Z566" i="9"/>
  <c r="Z558" i="9"/>
  <c r="Z550" i="9"/>
  <c r="Z542" i="9"/>
  <c r="Z534" i="9"/>
  <c r="Z526" i="9"/>
  <c r="Z586" i="9"/>
  <c r="Z573" i="9"/>
  <c r="Z555" i="9"/>
  <c r="Z539" i="9"/>
  <c r="Z523" i="9"/>
  <c r="Z515" i="9"/>
  <c r="Z513" i="9"/>
  <c r="Z503" i="9"/>
  <c r="Z495" i="9"/>
  <c r="Z487" i="9"/>
  <c r="Z549" i="9"/>
  <c r="Z533" i="9"/>
  <c r="Z511" i="9"/>
  <c r="Z508" i="9"/>
  <c r="Z500" i="9"/>
  <c r="Z492" i="9"/>
  <c r="Z484" i="9"/>
  <c r="Z476" i="9"/>
  <c r="Z468" i="9"/>
  <c r="Z460" i="9"/>
  <c r="Z452" i="9"/>
  <c r="Z444" i="9"/>
  <c r="Z581" i="9"/>
  <c r="Z546" i="9"/>
  <c r="Z530" i="9"/>
  <c r="Z584" i="9"/>
  <c r="Z562" i="9"/>
  <c r="Z543" i="9"/>
  <c r="Z527" i="9"/>
  <c r="Z518" i="9"/>
  <c r="Z510" i="9"/>
  <c r="Z547" i="9"/>
  <c r="Z531" i="9"/>
  <c r="Z514" i="9"/>
  <c r="Z507" i="9"/>
  <c r="Z499" i="9"/>
  <c r="Z491" i="9"/>
  <c r="Z582" i="9"/>
  <c r="Z570" i="9"/>
  <c r="Z557" i="9"/>
  <c r="Z541" i="9"/>
  <c r="Z525" i="9"/>
  <c r="Z504" i="9"/>
  <c r="Z496" i="9"/>
  <c r="Z488" i="9"/>
  <c r="Z480" i="9"/>
  <c r="Z472" i="9"/>
  <c r="Z464" i="9"/>
  <c r="Z456" i="9"/>
  <c r="Z448" i="9"/>
  <c r="Z565" i="9"/>
  <c r="Z554" i="9"/>
  <c r="Z538" i="9"/>
  <c r="Z522" i="9"/>
  <c r="Z509" i="9"/>
  <c r="Z501" i="9"/>
  <c r="Z493" i="9"/>
  <c r="Z485" i="9"/>
  <c r="Z477" i="9"/>
  <c r="Z469" i="9"/>
  <c r="Z461" i="9"/>
  <c r="Z453" i="9"/>
  <c r="Z445" i="9"/>
  <c r="Z578" i="9"/>
  <c r="Z551" i="9"/>
  <c r="Z535" i="9"/>
  <c r="Z519" i="9"/>
  <c r="Z517" i="9"/>
  <c r="Z506" i="9"/>
  <c r="Z498" i="9"/>
  <c r="Z490" i="9"/>
  <c r="Z482" i="9"/>
  <c r="Z474" i="9"/>
  <c r="Z466" i="9"/>
  <c r="Z458" i="9"/>
  <c r="Z450" i="9"/>
  <c r="Z470" i="9"/>
  <c r="Z454" i="9"/>
  <c r="Z437" i="9"/>
  <c r="Z429" i="9"/>
  <c r="Z421" i="9"/>
  <c r="Z413" i="9"/>
  <c r="Z486" i="9"/>
  <c r="Z483" i="9"/>
  <c r="Z467" i="9"/>
  <c r="Z451" i="9"/>
  <c r="Z443" i="9"/>
  <c r="Z434" i="9"/>
  <c r="Z426" i="9"/>
  <c r="Z418" i="9"/>
  <c r="Z410" i="9"/>
  <c r="Z402" i="9"/>
  <c r="Z394" i="9"/>
  <c r="Z386" i="9"/>
  <c r="Z378" i="9"/>
  <c r="Z370" i="9"/>
  <c r="Z494" i="9"/>
  <c r="Z471" i="9"/>
  <c r="Z455" i="9"/>
  <c r="Z442" i="9"/>
  <c r="Z439" i="9"/>
  <c r="Z489" i="9"/>
  <c r="Z481" i="9"/>
  <c r="Z465" i="9"/>
  <c r="Z449" i="9"/>
  <c r="Z436" i="9"/>
  <c r="Z502" i="9"/>
  <c r="Z478" i="9"/>
  <c r="Z462" i="9"/>
  <c r="Z446" i="9"/>
  <c r="Z441" i="9"/>
  <c r="Z433" i="9"/>
  <c r="Z425" i="9"/>
  <c r="Z417" i="9"/>
  <c r="Z497" i="9"/>
  <c r="Z475" i="9"/>
  <c r="Z459" i="9"/>
  <c r="Z438" i="9"/>
  <c r="Z430" i="9"/>
  <c r="Z422" i="9"/>
  <c r="Z414" i="9"/>
  <c r="Z406" i="9"/>
  <c r="Z398" i="9"/>
  <c r="Z390" i="9"/>
  <c r="Z382" i="9"/>
  <c r="Z374" i="9"/>
  <c r="Z479" i="9"/>
  <c r="Z463" i="9"/>
  <c r="Z447" i="9"/>
  <c r="Z435" i="9"/>
  <c r="Z427" i="9"/>
  <c r="Z419" i="9"/>
  <c r="Z411" i="9"/>
  <c r="Z403" i="9"/>
  <c r="Z395" i="9"/>
  <c r="Z387" i="9"/>
  <c r="Z379" i="9"/>
  <c r="Z505" i="9"/>
  <c r="Z473" i="9"/>
  <c r="Z457" i="9"/>
  <c r="Z440" i="9"/>
  <c r="Z432" i="9"/>
  <c r="Z424" i="9"/>
  <c r="Z416" i="9"/>
  <c r="Z408" i="9"/>
  <c r="Z400" i="9"/>
  <c r="Z392" i="9"/>
  <c r="Z384" i="9"/>
  <c r="Z376" i="9"/>
  <c r="Z399" i="9"/>
  <c r="Z383" i="9"/>
  <c r="Z361" i="9"/>
  <c r="Z353" i="9"/>
  <c r="Z345" i="9"/>
  <c r="Z337" i="9"/>
  <c r="Z329" i="9"/>
  <c r="Z321" i="9"/>
  <c r="Z420" i="9"/>
  <c r="Z396" i="9"/>
  <c r="Z380" i="9"/>
  <c r="Z373" i="9"/>
  <c r="Z366" i="9"/>
  <c r="Z358" i="9"/>
  <c r="Z350" i="9"/>
  <c r="Z342" i="9"/>
  <c r="Z334" i="9"/>
  <c r="Z326" i="9"/>
  <c r="Z318" i="9"/>
  <c r="Z310" i="9"/>
  <c r="Z302" i="9"/>
  <c r="Z294" i="9"/>
  <c r="Z415" i="9"/>
  <c r="Z409" i="9"/>
  <c r="Z393" i="9"/>
  <c r="Z377" i="9"/>
  <c r="Z372" i="9"/>
  <c r="Z363" i="9"/>
  <c r="Z355" i="9"/>
  <c r="Z347" i="9"/>
  <c r="Z339" i="9"/>
  <c r="Z331" i="9"/>
  <c r="Z323" i="9"/>
  <c r="Z315" i="9"/>
  <c r="Z307" i="9"/>
  <c r="Z428" i="9"/>
  <c r="Z397" i="9"/>
  <c r="Z381" i="9"/>
  <c r="Z371" i="9"/>
  <c r="Z368" i="9"/>
  <c r="Z360" i="9"/>
  <c r="Z352" i="9"/>
  <c r="Z344" i="9"/>
  <c r="Z336" i="9"/>
  <c r="Z328" i="9"/>
  <c r="Z320" i="9"/>
  <c r="Z312" i="9"/>
  <c r="Z304" i="9"/>
  <c r="Z296" i="9"/>
  <c r="Z423" i="9"/>
  <c r="Z407" i="9"/>
  <c r="Z391" i="9"/>
  <c r="Z375" i="9"/>
  <c r="Z365" i="9"/>
  <c r="Z357" i="9"/>
  <c r="Z349" i="9"/>
  <c r="Z341" i="9"/>
  <c r="Z333" i="9"/>
  <c r="Z325" i="9"/>
  <c r="Z317" i="9"/>
  <c r="Z404" i="9"/>
  <c r="Z388" i="9"/>
  <c r="Z369" i="9"/>
  <c r="Z362" i="9"/>
  <c r="Z354" i="9"/>
  <c r="Z346" i="9"/>
  <c r="Z338" i="9"/>
  <c r="Z330" i="9"/>
  <c r="Z322" i="9"/>
  <c r="Z314" i="9"/>
  <c r="Z306" i="9"/>
  <c r="Z298" i="9"/>
  <c r="Z431" i="9"/>
  <c r="Z401" i="9"/>
  <c r="Z385" i="9"/>
  <c r="Z367" i="9"/>
  <c r="Z359" i="9"/>
  <c r="Z351" i="9"/>
  <c r="Z343" i="9"/>
  <c r="Z335" i="9"/>
  <c r="Z327" i="9"/>
  <c r="Z319" i="9"/>
  <c r="Z311" i="9"/>
  <c r="Z303" i="9"/>
  <c r="Z412" i="9"/>
  <c r="Z405" i="9"/>
  <c r="Z389" i="9"/>
  <c r="Z364" i="9"/>
  <c r="Z356" i="9"/>
  <c r="Z348" i="9"/>
  <c r="Z340" i="9"/>
  <c r="Z332" i="9"/>
  <c r="Z324" i="9"/>
  <c r="Z316" i="9"/>
  <c r="Z308" i="9"/>
  <c r="Z305" i="9"/>
  <c r="Z299" i="9"/>
  <c r="Z290" i="9"/>
  <c r="Z282" i="9"/>
  <c r="Z274" i="9"/>
  <c r="Z266" i="9"/>
  <c r="Z258" i="9"/>
  <c r="Z250" i="9"/>
  <c r="Z242" i="9"/>
  <c r="Z234" i="9"/>
  <c r="Z226" i="9"/>
  <c r="Z287" i="9"/>
  <c r="Z279" i="9"/>
  <c r="Z271" i="9"/>
  <c r="Z263" i="9"/>
  <c r="Z255" i="9"/>
  <c r="Z247" i="9"/>
  <c r="Z239" i="9"/>
  <c r="Z231" i="9"/>
  <c r="Z223" i="9"/>
  <c r="Z215" i="9"/>
  <c r="Z207" i="9"/>
  <c r="Z199" i="9"/>
  <c r="Z313" i="9"/>
  <c r="Z300" i="9"/>
  <c r="Z292" i="9"/>
  <c r="Z284" i="9"/>
  <c r="Z276" i="9"/>
  <c r="Z268" i="9"/>
  <c r="Z260" i="9"/>
  <c r="Z252" i="9"/>
  <c r="Z244" i="9"/>
  <c r="Z236" i="9"/>
  <c r="Z228" i="9"/>
  <c r="Z220" i="9"/>
  <c r="Z212" i="9"/>
  <c r="Z204" i="9"/>
  <c r="Z297" i="9"/>
  <c r="Z295" i="9"/>
  <c r="Z289" i="9"/>
  <c r="Z281" i="9"/>
  <c r="Z273" i="9"/>
  <c r="Z265" i="9"/>
  <c r="Z257" i="9"/>
  <c r="Z249" i="9"/>
  <c r="Z241" i="9"/>
  <c r="Z233" i="9"/>
  <c r="Z225" i="9"/>
  <c r="Z217" i="9"/>
  <c r="Z209" i="9"/>
  <c r="Z201" i="9"/>
  <c r="Z286" i="9"/>
  <c r="Z278" i="9"/>
  <c r="Z270" i="9"/>
  <c r="Z262" i="9"/>
  <c r="Z254" i="9"/>
  <c r="Z246" i="9"/>
  <c r="Z238" i="9"/>
  <c r="Z230" i="9"/>
  <c r="Z222" i="9"/>
  <c r="Z309" i="9"/>
  <c r="Z301" i="9"/>
  <c r="Z291" i="9"/>
  <c r="Z283" i="9"/>
  <c r="Z275" i="9"/>
  <c r="Z267" i="9"/>
  <c r="Z259" i="9"/>
  <c r="Z251" i="9"/>
  <c r="Z243" i="9"/>
  <c r="Z235" i="9"/>
  <c r="Z227" i="9"/>
  <c r="Z219" i="9"/>
  <c r="Z211" i="9"/>
  <c r="Z203" i="9"/>
  <c r="Z195" i="9"/>
  <c r="Z288" i="9"/>
  <c r="Z280" i="9"/>
  <c r="Z272" i="9"/>
  <c r="Z264" i="9"/>
  <c r="Z256" i="9"/>
  <c r="Z248" i="9"/>
  <c r="Z240" i="9"/>
  <c r="Z232" i="9"/>
  <c r="Z224" i="9"/>
  <c r="Z216" i="9"/>
  <c r="Z208" i="9"/>
  <c r="Z293" i="9"/>
  <c r="Z285" i="9"/>
  <c r="Z277" i="9"/>
  <c r="Z269" i="9"/>
  <c r="Z261" i="9"/>
  <c r="Z253" i="9"/>
  <c r="Z245" i="9"/>
  <c r="Z237" i="9"/>
  <c r="Z229" i="9"/>
  <c r="Z221" i="9"/>
  <c r="Z213" i="9"/>
  <c r="Z205" i="9"/>
  <c r="Z218" i="9"/>
  <c r="Z189" i="9"/>
  <c r="Z181" i="9"/>
  <c r="Z173" i="9"/>
  <c r="Z165" i="9"/>
  <c r="Z157" i="9"/>
  <c r="Z149" i="9"/>
  <c r="Z141" i="9"/>
  <c r="Z133" i="9"/>
  <c r="Z125" i="9"/>
  <c r="Z117" i="9"/>
  <c r="Z109" i="9"/>
  <c r="Z206" i="9"/>
  <c r="Z186" i="9"/>
  <c r="Z178" i="9"/>
  <c r="Z170" i="9"/>
  <c r="Z162" i="9"/>
  <c r="Z154" i="9"/>
  <c r="Z146" i="9"/>
  <c r="Z138" i="9"/>
  <c r="Z130" i="9"/>
  <c r="Z122" i="9"/>
  <c r="Z114" i="9"/>
  <c r="Z106" i="9"/>
  <c r="Z197" i="9"/>
  <c r="Z191" i="9"/>
  <c r="Z183" i="9"/>
  <c r="Z175" i="9"/>
  <c r="Z167" i="9"/>
  <c r="Z159" i="9"/>
  <c r="Z151" i="9"/>
  <c r="Z143" i="9"/>
  <c r="Z135" i="9"/>
  <c r="Z127" i="9"/>
  <c r="Z119" i="9"/>
  <c r="Z111" i="9"/>
  <c r="Z214" i="9"/>
  <c r="Z193" i="9"/>
  <c r="Z188" i="9"/>
  <c r="Z180" i="9"/>
  <c r="Z172" i="9"/>
  <c r="Z164" i="9"/>
  <c r="Z156" i="9"/>
  <c r="Z148" i="9"/>
  <c r="Z140" i="9"/>
  <c r="Z132" i="9"/>
  <c r="Z124" i="9"/>
  <c r="Z116" i="9"/>
  <c r="Z108" i="9"/>
  <c r="Z202" i="9"/>
  <c r="Z185" i="9"/>
  <c r="Z177" i="9"/>
  <c r="Z169" i="9"/>
  <c r="Z161" i="9"/>
  <c r="Z153" i="9"/>
  <c r="Z145" i="9"/>
  <c r="Z137" i="9"/>
  <c r="Z129" i="9"/>
  <c r="Z121" i="9"/>
  <c r="Z113" i="9"/>
  <c r="Z190" i="9"/>
  <c r="Z182" i="9"/>
  <c r="Z174" i="9"/>
  <c r="Z166" i="9"/>
  <c r="Z158" i="9"/>
  <c r="Z150" i="9"/>
  <c r="Z142" i="9"/>
  <c r="Z134" i="9"/>
  <c r="Z126" i="9"/>
  <c r="Z118" i="9"/>
  <c r="Z110" i="9"/>
  <c r="Z210" i="9"/>
  <c r="Z200" i="9"/>
  <c r="Z198" i="9"/>
  <c r="Z196" i="9"/>
  <c r="Z187" i="9"/>
  <c r="Z179" i="9"/>
  <c r="Z171" i="9"/>
  <c r="Z163" i="9"/>
  <c r="Z155" i="9"/>
  <c r="Z147" i="9"/>
  <c r="Z139" i="9"/>
  <c r="Z131" i="9"/>
  <c r="Z123" i="9"/>
  <c r="Z115" i="9"/>
  <c r="Z194" i="9"/>
  <c r="Z192" i="9"/>
  <c r="Z184" i="9"/>
  <c r="Z176" i="9"/>
  <c r="Z168" i="9"/>
  <c r="Z160" i="9"/>
  <c r="Z152" i="9"/>
  <c r="Z144" i="9"/>
  <c r="Z136" i="9"/>
  <c r="Z128" i="9"/>
  <c r="Z120" i="9"/>
  <c r="Z112" i="9"/>
  <c r="Z96" i="9"/>
  <c r="Z88" i="9"/>
  <c r="Z80" i="9"/>
  <c r="Z72" i="9"/>
  <c r="Z64" i="9"/>
  <c r="Z56" i="9"/>
  <c r="Z48" i="9"/>
  <c r="Z40" i="9"/>
  <c r="Z32" i="9"/>
  <c r="Z24" i="9"/>
  <c r="Z16" i="9"/>
  <c r="Z101" i="9"/>
  <c r="Z93" i="9"/>
  <c r="Z85" i="9"/>
  <c r="Z77" i="9"/>
  <c r="Z69" i="9"/>
  <c r="Z61" i="9"/>
  <c r="Z53" i="9"/>
  <c r="Z45" i="9"/>
  <c r="Z37" i="9"/>
  <c r="Z29" i="9"/>
  <c r="Z21" i="9"/>
  <c r="Z13" i="9"/>
  <c r="Z105" i="9"/>
  <c r="Z98" i="9"/>
  <c r="Z90" i="9"/>
  <c r="Z82" i="9"/>
  <c r="Z74" i="9"/>
  <c r="Z66" i="9"/>
  <c r="Z58" i="9"/>
  <c r="Z50" i="9"/>
  <c r="Z42" i="9"/>
  <c r="Z34" i="9"/>
  <c r="Z26" i="9"/>
  <c r="Z18" i="9"/>
  <c r="Z104" i="9"/>
  <c r="Z103" i="9"/>
  <c r="Z95" i="9"/>
  <c r="Z87" i="9"/>
  <c r="Z79" i="9"/>
  <c r="Z71" i="9"/>
  <c r="Z63" i="9"/>
  <c r="Z55" i="9"/>
  <c r="Z47" i="9"/>
  <c r="Z39" i="9"/>
  <c r="Z31" i="9"/>
  <c r="Z23" i="9"/>
  <c r="Z15" i="9"/>
  <c r="Z107" i="9"/>
  <c r="Z100" i="9"/>
  <c r="Z92" i="9"/>
  <c r="Z84" i="9"/>
  <c r="Z76" i="9"/>
  <c r="Z68" i="9"/>
  <c r="Z60" i="9"/>
  <c r="Z52" i="9"/>
  <c r="Z44" i="9"/>
  <c r="Z36" i="9"/>
  <c r="Z28" i="9"/>
  <c r="Z20" i="9"/>
  <c r="Z12" i="9"/>
  <c r="Z97" i="9"/>
  <c r="Z89" i="9"/>
  <c r="Z81" i="9"/>
  <c r="Z73" i="9"/>
  <c r="Z65" i="9"/>
  <c r="Z57" i="9"/>
  <c r="Z49" i="9"/>
  <c r="Z41" i="9"/>
  <c r="Z33" i="9"/>
  <c r="Z25" i="9"/>
  <c r="Z17" i="9"/>
  <c r="Z102" i="9"/>
  <c r="Z94" i="9"/>
  <c r="Z86" i="9"/>
  <c r="Z78" i="9"/>
  <c r="Z70" i="9"/>
  <c r="Z62" i="9"/>
  <c r="Z54" i="9"/>
  <c r="Z46" i="9"/>
  <c r="Z38" i="9"/>
  <c r="Z30" i="9"/>
  <c r="Z22" i="9"/>
  <c r="Z14" i="9"/>
  <c r="Z99" i="9"/>
  <c r="Z91" i="9"/>
  <c r="Z83" i="9"/>
  <c r="Z75" i="9"/>
  <c r="Z67" i="9"/>
  <c r="Z59" i="9"/>
  <c r="Z51" i="9"/>
  <c r="Z43" i="9"/>
  <c r="Z35" i="9"/>
  <c r="Z27" i="9"/>
  <c r="Z19" i="9"/>
  <c r="S1079" i="9"/>
  <c r="S1071" i="9"/>
  <c r="S1063" i="9"/>
  <c r="S1076" i="9"/>
  <c r="S1068" i="9"/>
  <c r="S1060" i="9"/>
  <c r="S1081" i="9"/>
  <c r="S1073" i="9"/>
  <c r="S1065" i="9"/>
  <c r="S1078" i="9"/>
  <c r="S1070" i="9"/>
  <c r="S1062" i="9"/>
  <c r="S1075" i="9"/>
  <c r="S1067" i="9"/>
  <c r="S1059" i="9"/>
  <c r="S1080" i="9"/>
  <c r="S1072" i="9"/>
  <c r="S1064" i="9"/>
  <c r="S1077" i="9"/>
  <c r="S1069" i="9"/>
  <c r="S1061" i="9"/>
  <c r="S1058" i="9"/>
  <c r="S1051" i="9"/>
  <c r="S1043" i="9"/>
  <c r="S1035" i="9"/>
  <c r="S1050" i="9"/>
  <c r="S1042" i="9"/>
  <c r="S1055" i="9"/>
  <c r="S1047" i="9"/>
  <c r="S1039" i="9"/>
  <c r="S1066" i="9"/>
  <c r="S1052" i="9"/>
  <c r="S1044" i="9"/>
  <c r="S1049" i="9"/>
  <c r="S1041" i="9"/>
  <c r="S1031" i="9"/>
  <c r="S1023" i="9"/>
  <c r="S1015" i="9"/>
  <c r="S1048" i="9"/>
  <c r="S1037" i="9"/>
  <c r="S1034" i="9"/>
  <c r="S1033" i="9"/>
  <c r="S1030" i="9"/>
  <c r="S1022" i="9"/>
  <c r="S1040" i="9"/>
  <c r="S1027" i="9"/>
  <c r="S1032" i="9"/>
  <c r="S1024" i="9"/>
  <c r="S1054" i="9"/>
  <c r="S1029" i="9"/>
  <c r="S1056" i="9"/>
  <c r="S1010" i="9"/>
  <c r="S1002" i="9"/>
  <c r="S1053" i="9"/>
  <c r="S1017" i="9"/>
  <c r="S1016" i="9"/>
  <c r="S1009" i="9"/>
  <c r="S1001" i="9"/>
  <c r="S1074" i="9"/>
  <c r="S1057" i="9"/>
  <c r="S1014" i="9"/>
  <c r="S1006" i="9"/>
  <c r="S1046" i="9"/>
  <c r="S1038" i="9"/>
  <c r="S1025" i="9"/>
  <c r="S1011" i="9"/>
  <c r="S1028" i="9"/>
  <c r="S1021" i="9"/>
  <c r="S1020" i="9"/>
  <c r="S1008" i="9"/>
  <c r="S994" i="9"/>
  <c r="S986" i="9"/>
  <c r="S1007" i="9"/>
  <c r="S1004" i="9"/>
  <c r="S999" i="9"/>
  <c r="S993" i="9"/>
  <c r="S985" i="9"/>
  <c r="S1003" i="9"/>
  <c r="S1000" i="9"/>
  <c r="S998" i="9"/>
  <c r="S990" i="9"/>
  <c r="S1036" i="9"/>
  <c r="S995" i="9"/>
  <c r="S987" i="9"/>
  <c r="S1045" i="9"/>
  <c r="S1013" i="9"/>
  <c r="S992" i="9"/>
  <c r="S1019" i="9"/>
  <c r="S997" i="9"/>
  <c r="S977" i="9"/>
  <c r="S969" i="9"/>
  <c r="S961" i="9"/>
  <c r="S953" i="9"/>
  <c r="S945" i="9"/>
  <c r="S1005" i="9"/>
  <c r="S989" i="9"/>
  <c r="S1018" i="9"/>
  <c r="S984" i="9"/>
  <c r="S1026" i="9"/>
  <c r="S996" i="9"/>
  <c r="S976" i="9"/>
  <c r="S968" i="9"/>
  <c r="S960" i="9"/>
  <c r="S952" i="9"/>
  <c r="S988" i="9"/>
  <c r="S973" i="9"/>
  <c r="S965" i="9"/>
  <c r="S957" i="9"/>
  <c r="S949" i="9"/>
  <c r="S991" i="9"/>
  <c r="S982" i="9"/>
  <c r="S981" i="9"/>
  <c r="S978" i="9"/>
  <c r="S970" i="9"/>
  <c r="S962" i="9"/>
  <c r="S954" i="9"/>
  <c r="S946" i="9"/>
  <c r="S983" i="9"/>
  <c r="S975" i="9"/>
  <c r="S967" i="9"/>
  <c r="S959" i="9"/>
  <c r="S951" i="9"/>
  <c r="S966" i="9"/>
  <c r="S955" i="9"/>
  <c r="S943" i="9"/>
  <c r="S980" i="9"/>
  <c r="S950" i="9"/>
  <c r="S964" i="9"/>
  <c r="S939" i="9"/>
  <c r="S931" i="9"/>
  <c r="S923" i="9"/>
  <c r="S915" i="9"/>
  <c r="S979" i="9"/>
  <c r="S956" i="9"/>
  <c r="S944" i="9"/>
  <c r="S936" i="9"/>
  <c r="S928" i="9"/>
  <c r="S920" i="9"/>
  <c r="S912" i="9"/>
  <c r="S971" i="9"/>
  <c r="S948" i="9"/>
  <c r="S941" i="9"/>
  <c r="S933" i="9"/>
  <c r="S925" i="9"/>
  <c r="S917" i="9"/>
  <c r="S1012" i="9"/>
  <c r="S934" i="9"/>
  <c r="S924" i="9"/>
  <c r="S914" i="9"/>
  <c r="S907" i="9"/>
  <c r="S899" i="9"/>
  <c r="S891" i="9"/>
  <c r="S963" i="9"/>
  <c r="S942" i="9"/>
  <c r="S938" i="9"/>
  <c r="S921" i="9"/>
  <c r="S911" i="9"/>
  <c r="S906" i="9"/>
  <c r="S898" i="9"/>
  <c r="S890" i="9"/>
  <c r="S958" i="9"/>
  <c r="S929" i="9"/>
  <c r="S919" i="9"/>
  <c r="S903" i="9"/>
  <c r="S895" i="9"/>
  <c r="S937" i="9"/>
  <c r="S927" i="9"/>
  <c r="S910" i="9"/>
  <c r="S908" i="9"/>
  <c r="S900" i="9"/>
  <c r="S892" i="9"/>
  <c r="S947" i="9"/>
  <c r="S935" i="9"/>
  <c r="S918" i="9"/>
  <c r="S905" i="9"/>
  <c r="S897" i="9"/>
  <c r="S974" i="9"/>
  <c r="S940" i="9"/>
  <c r="S926" i="9"/>
  <c r="S904" i="9"/>
  <c r="S893" i="9"/>
  <c r="S884" i="9"/>
  <c r="S876" i="9"/>
  <c r="S868" i="9"/>
  <c r="S860" i="9"/>
  <c r="S972" i="9"/>
  <c r="S922" i="9"/>
  <c r="S896" i="9"/>
  <c r="S887" i="9"/>
  <c r="S881" i="9"/>
  <c r="S873" i="9"/>
  <c r="S865" i="9"/>
  <c r="S857" i="9"/>
  <c r="S932" i="9"/>
  <c r="S878" i="9"/>
  <c r="S870" i="9"/>
  <c r="S862" i="9"/>
  <c r="S854" i="9"/>
  <c r="S930" i="9"/>
  <c r="S880" i="9"/>
  <c r="S863" i="9"/>
  <c r="S848" i="9"/>
  <c r="S840" i="9"/>
  <c r="S832" i="9"/>
  <c r="S824" i="9"/>
  <c r="S871" i="9"/>
  <c r="S913" i="9"/>
  <c r="S894" i="9"/>
  <c r="S889" i="9"/>
  <c r="S879" i="9"/>
  <c r="S869" i="9"/>
  <c r="S877" i="9"/>
  <c r="S867" i="9"/>
  <c r="S847" i="9"/>
  <c r="S839" i="9"/>
  <c r="S831" i="9"/>
  <c r="S823" i="9"/>
  <c r="S909" i="9"/>
  <c r="S875" i="9"/>
  <c r="S858" i="9"/>
  <c r="S852" i="9"/>
  <c r="S844" i="9"/>
  <c r="S836" i="9"/>
  <c r="S828" i="9"/>
  <c r="S888" i="9"/>
  <c r="S885" i="9"/>
  <c r="S883" i="9"/>
  <c r="S866" i="9"/>
  <c r="S856" i="9"/>
  <c r="S849" i="9"/>
  <c r="S841" i="9"/>
  <c r="S833" i="9"/>
  <c r="S825" i="9"/>
  <c r="S874" i="9"/>
  <c r="S864" i="9"/>
  <c r="S846" i="9"/>
  <c r="S838" i="9"/>
  <c r="S830" i="9"/>
  <c r="S872" i="9"/>
  <c r="S851" i="9"/>
  <c r="S813" i="9"/>
  <c r="S805" i="9"/>
  <c r="S797" i="9"/>
  <c r="S789" i="9"/>
  <c r="S843" i="9"/>
  <c r="S810" i="9"/>
  <c r="S802" i="9"/>
  <c r="S794" i="9"/>
  <c r="S916" i="9"/>
  <c r="S835" i="9"/>
  <c r="S822" i="9"/>
  <c r="S820" i="9"/>
  <c r="S818" i="9"/>
  <c r="S815" i="9"/>
  <c r="S807" i="9"/>
  <c r="S799" i="9"/>
  <c r="S791" i="9"/>
  <c r="S902" i="9"/>
  <c r="S886" i="9"/>
  <c r="S882" i="9"/>
  <c r="S859" i="9"/>
  <c r="S850" i="9"/>
  <c r="S827" i="9"/>
  <c r="S812" i="9"/>
  <c r="S804" i="9"/>
  <c r="S796" i="9"/>
  <c r="S901" i="9"/>
  <c r="S855" i="9"/>
  <c r="S853" i="9"/>
  <c r="S842" i="9"/>
  <c r="S817" i="9"/>
  <c r="S809" i="9"/>
  <c r="S801" i="9"/>
  <c r="S793" i="9"/>
  <c r="S845" i="9"/>
  <c r="S834" i="9"/>
  <c r="S821" i="9"/>
  <c r="S814" i="9"/>
  <c r="S806" i="9"/>
  <c r="S798" i="9"/>
  <c r="S790" i="9"/>
  <c r="S861" i="9"/>
  <c r="S837" i="9"/>
  <c r="S826" i="9"/>
  <c r="S819" i="9"/>
  <c r="S811" i="9"/>
  <c r="S803" i="9"/>
  <c r="S829" i="9"/>
  <c r="S800" i="9"/>
  <c r="S781" i="9"/>
  <c r="S773" i="9"/>
  <c r="S765" i="9"/>
  <c r="S786" i="9"/>
  <c r="S778" i="9"/>
  <c r="S770" i="9"/>
  <c r="S816" i="9"/>
  <c r="S788" i="9"/>
  <c r="S787" i="9"/>
  <c r="S783" i="9"/>
  <c r="S775" i="9"/>
  <c r="S767" i="9"/>
  <c r="S785" i="9"/>
  <c r="S777" i="9"/>
  <c r="S769" i="9"/>
  <c r="S808" i="9"/>
  <c r="S782" i="9"/>
  <c r="S774" i="9"/>
  <c r="S795" i="9"/>
  <c r="S779" i="9"/>
  <c r="S771" i="9"/>
  <c r="S763" i="9"/>
  <c r="S755" i="9"/>
  <c r="S792" i="9"/>
  <c r="S780" i="9"/>
  <c r="S760" i="9"/>
  <c r="S752" i="9"/>
  <c r="S744" i="9"/>
  <c r="S736" i="9"/>
  <c r="S728" i="9"/>
  <c r="S720" i="9"/>
  <c r="S757" i="9"/>
  <c r="S749" i="9"/>
  <c r="S741" i="9"/>
  <c r="S733" i="9"/>
  <c r="S725" i="9"/>
  <c r="S768" i="9"/>
  <c r="S762" i="9"/>
  <c r="S754" i="9"/>
  <c r="S746" i="9"/>
  <c r="S738" i="9"/>
  <c r="S730" i="9"/>
  <c r="S776" i="9"/>
  <c r="S759" i="9"/>
  <c r="S764" i="9"/>
  <c r="S756" i="9"/>
  <c r="S748" i="9"/>
  <c r="S740" i="9"/>
  <c r="S732" i="9"/>
  <c r="S724" i="9"/>
  <c r="S784" i="9"/>
  <c r="S761" i="9"/>
  <c r="S753" i="9"/>
  <c r="S745" i="9"/>
  <c r="S737" i="9"/>
  <c r="S729" i="9"/>
  <c r="S772" i="9"/>
  <c r="S766" i="9"/>
  <c r="S758" i="9"/>
  <c r="S750" i="9"/>
  <c r="S742" i="9"/>
  <c r="S734" i="9"/>
  <c r="S726" i="9"/>
  <c r="S739" i="9"/>
  <c r="S713" i="9"/>
  <c r="S705" i="9"/>
  <c r="S727" i="9"/>
  <c r="S723" i="9"/>
  <c r="S722" i="9"/>
  <c r="S718" i="9"/>
  <c r="S710" i="9"/>
  <c r="S702" i="9"/>
  <c r="S694" i="9"/>
  <c r="S686" i="9"/>
  <c r="S678" i="9"/>
  <c r="S747" i="9"/>
  <c r="S715" i="9"/>
  <c r="S707" i="9"/>
  <c r="S699" i="9"/>
  <c r="S691" i="9"/>
  <c r="S683" i="9"/>
  <c r="S735" i="9"/>
  <c r="S712" i="9"/>
  <c r="S704" i="9"/>
  <c r="S696" i="9"/>
  <c r="S688" i="9"/>
  <c r="S680" i="9"/>
  <c r="S717" i="9"/>
  <c r="S709" i="9"/>
  <c r="S743" i="9"/>
  <c r="S721" i="9"/>
  <c r="S714" i="9"/>
  <c r="S706" i="9"/>
  <c r="S698" i="9"/>
  <c r="S690" i="9"/>
  <c r="S682" i="9"/>
  <c r="S674" i="9"/>
  <c r="S731" i="9"/>
  <c r="S711" i="9"/>
  <c r="S703" i="9"/>
  <c r="S695" i="9"/>
  <c r="S687" i="9"/>
  <c r="S751" i="9"/>
  <c r="S719" i="9"/>
  <c r="S716" i="9"/>
  <c r="S708" i="9"/>
  <c r="S700" i="9"/>
  <c r="S692" i="9"/>
  <c r="S684" i="9"/>
  <c r="S672" i="9"/>
  <c r="S669" i="9"/>
  <c r="S661" i="9"/>
  <c r="S653" i="9"/>
  <c r="S645" i="9"/>
  <c r="S637" i="9"/>
  <c r="S629" i="9"/>
  <c r="S697" i="9"/>
  <c r="S677" i="9"/>
  <c r="S666" i="9"/>
  <c r="S658" i="9"/>
  <c r="S650" i="9"/>
  <c r="S642" i="9"/>
  <c r="S634" i="9"/>
  <c r="S626" i="9"/>
  <c r="S618" i="9"/>
  <c r="S610" i="9"/>
  <c r="S602" i="9"/>
  <c r="S594" i="9"/>
  <c r="S586" i="9"/>
  <c r="S685" i="9"/>
  <c r="S671" i="9"/>
  <c r="S663" i="9"/>
  <c r="S655" i="9"/>
  <c r="S668" i="9"/>
  <c r="S660" i="9"/>
  <c r="S652" i="9"/>
  <c r="S693" i="9"/>
  <c r="S673" i="9"/>
  <c r="S665" i="9"/>
  <c r="S657" i="9"/>
  <c r="S649" i="9"/>
  <c r="S641" i="9"/>
  <c r="S633" i="9"/>
  <c r="S681" i="9"/>
  <c r="S675" i="9"/>
  <c r="S670" i="9"/>
  <c r="S662" i="9"/>
  <c r="S654" i="9"/>
  <c r="S646" i="9"/>
  <c r="S638" i="9"/>
  <c r="S630" i="9"/>
  <c r="S622" i="9"/>
  <c r="S614" i="9"/>
  <c r="S606" i="9"/>
  <c r="S598" i="9"/>
  <c r="S590" i="9"/>
  <c r="S582" i="9"/>
  <c r="S701" i="9"/>
  <c r="S679" i="9"/>
  <c r="S667" i="9"/>
  <c r="S659" i="9"/>
  <c r="S651" i="9"/>
  <c r="S643" i="9"/>
  <c r="S635" i="9"/>
  <c r="S627" i="9"/>
  <c r="S619" i="9"/>
  <c r="S611" i="9"/>
  <c r="S603" i="9"/>
  <c r="S595" i="9"/>
  <c r="S689" i="9"/>
  <c r="S676" i="9"/>
  <c r="S664" i="9"/>
  <c r="S656" i="9"/>
  <c r="S648" i="9"/>
  <c r="S640" i="9"/>
  <c r="S632" i="9"/>
  <c r="S624" i="9"/>
  <c r="S616" i="9"/>
  <c r="S608" i="9"/>
  <c r="S600" i="9"/>
  <c r="S592" i="9"/>
  <c r="S613" i="9"/>
  <c r="S597" i="9"/>
  <c r="S584" i="9"/>
  <c r="S576" i="9"/>
  <c r="S568" i="9"/>
  <c r="S560" i="9"/>
  <c r="S623" i="9"/>
  <c r="S607" i="9"/>
  <c r="S591" i="9"/>
  <c r="S581" i="9"/>
  <c r="S573" i="9"/>
  <c r="S565" i="9"/>
  <c r="S557" i="9"/>
  <c r="S549" i="9"/>
  <c r="S541" i="9"/>
  <c r="S533" i="9"/>
  <c r="S525" i="9"/>
  <c r="S517" i="9"/>
  <c r="S636" i="9"/>
  <c r="S628" i="9"/>
  <c r="S620" i="9"/>
  <c r="S604" i="9"/>
  <c r="S588" i="9"/>
  <c r="S631" i="9"/>
  <c r="S617" i="9"/>
  <c r="S601" i="9"/>
  <c r="S587" i="9"/>
  <c r="S644" i="9"/>
  <c r="S621" i="9"/>
  <c r="S605" i="9"/>
  <c r="S589" i="9"/>
  <c r="S585" i="9"/>
  <c r="S583" i="9"/>
  <c r="S580" i="9"/>
  <c r="S572" i="9"/>
  <c r="S564" i="9"/>
  <c r="S639" i="9"/>
  <c r="S615" i="9"/>
  <c r="S599" i="9"/>
  <c r="S577" i="9"/>
  <c r="S569" i="9"/>
  <c r="S561" i="9"/>
  <c r="S553" i="9"/>
  <c r="S545" i="9"/>
  <c r="S537" i="9"/>
  <c r="S529" i="9"/>
  <c r="S521" i="9"/>
  <c r="S513" i="9"/>
  <c r="S612" i="9"/>
  <c r="S596" i="9"/>
  <c r="S574" i="9"/>
  <c r="S566" i="9"/>
  <c r="S558" i="9"/>
  <c r="S550" i="9"/>
  <c r="S542" i="9"/>
  <c r="S534" i="9"/>
  <c r="S526" i="9"/>
  <c r="S647" i="9"/>
  <c r="S625" i="9"/>
  <c r="S609" i="9"/>
  <c r="S593" i="9"/>
  <c r="S579" i="9"/>
  <c r="S571" i="9"/>
  <c r="S563" i="9"/>
  <c r="S555" i="9"/>
  <c r="S547" i="9"/>
  <c r="S539" i="9"/>
  <c r="S531" i="9"/>
  <c r="S523" i="9"/>
  <c r="S578" i="9"/>
  <c r="S544" i="9"/>
  <c r="S528" i="9"/>
  <c r="S518" i="9"/>
  <c r="S508" i="9"/>
  <c r="S500" i="9"/>
  <c r="S492" i="9"/>
  <c r="S559" i="9"/>
  <c r="S554" i="9"/>
  <c r="S538" i="9"/>
  <c r="S522" i="9"/>
  <c r="S516" i="9"/>
  <c r="S514" i="9"/>
  <c r="S505" i="9"/>
  <c r="S497" i="9"/>
  <c r="S489" i="9"/>
  <c r="S481" i="9"/>
  <c r="S473" i="9"/>
  <c r="S465" i="9"/>
  <c r="S457" i="9"/>
  <c r="S449" i="9"/>
  <c r="S551" i="9"/>
  <c r="S535" i="9"/>
  <c r="S512" i="9"/>
  <c r="S567" i="9"/>
  <c r="S548" i="9"/>
  <c r="S532" i="9"/>
  <c r="S562" i="9"/>
  <c r="S552" i="9"/>
  <c r="S536" i="9"/>
  <c r="S520" i="9"/>
  <c r="S519" i="9"/>
  <c r="S504" i="9"/>
  <c r="S496" i="9"/>
  <c r="S488" i="9"/>
  <c r="S575" i="9"/>
  <c r="S546" i="9"/>
  <c r="S530" i="9"/>
  <c r="S515" i="9"/>
  <c r="S509" i="9"/>
  <c r="S501" i="9"/>
  <c r="S493" i="9"/>
  <c r="S485" i="9"/>
  <c r="S477" i="9"/>
  <c r="S469" i="9"/>
  <c r="S461" i="9"/>
  <c r="S453" i="9"/>
  <c r="S445" i="9"/>
  <c r="S570" i="9"/>
  <c r="S543" i="9"/>
  <c r="S527" i="9"/>
  <c r="S506" i="9"/>
  <c r="S498" i="9"/>
  <c r="S490" i="9"/>
  <c r="S482" i="9"/>
  <c r="S474" i="9"/>
  <c r="S466" i="9"/>
  <c r="S458" i="9"/>
  <c r="S450" i="9"/>
  <c r="S556" i="9"/>
  <c r="S540" i="9"/>
  <c r="S524" i="9"/>
  <c r="S511" i="9"/>
  <c r="S503" i="9"/>
  <c r="S495" i="9"/>
  <c r="S487" i="9"/>
  <c r="S479" i="9"/>
  <c r="S471" i="9"/>
  <c r="S463" i="9"/>
  <c r="S455" i="9"/>
  <c r="S447" i="9"/>
  <c r="S510" i="9"/>
  <c r="S491" i="9"/>
  <c r="S475" i="9"/>
  <c r="S459" i="9"/>
  <c r="S442" i="9"/>
  <c r="S434" i="9"/>
  <c r="S426" i="9"/>
  <c r="S418" i="9"/>
  <c r="S410" i="9"/>
  <c r="S472" i="9"/>
  <c r="S456" i="9"/>
  <c r="S439" i="9"/>
  <c r="S431" i="9"/>
  <c r="S423" i="9"/>
  <c r="S415" i="9"/>
  <c r="S407" i="9"/>
  <c r="S399" i="9"/>
  <c r="S391" i="9"/>
  <c r="S383" i="9"/>
  <c r="S375" i="9"/>
  <c r="S499" i="9"/>
  <c r="S476" i="9"/>
  <c r="S460" i="9"/>
  <c r="S436" i="9"/>
  <c r="S494" i="9"/>
  <c r="S486" i="9"/>
  <c r="S470" i="9"/>
  <c r="S454" i="9"/>
  <c r="S441" i="9"/>
  <c r="S507" i="9"/>
  <c r="S483" i="9"/>
  <c r="S467" i="9"/>
  <c r="S451" i="9"/>
  <c r="S444" i="9"/>
  <c r="S438" i="9"/>
  <c r="S430" i="9"/>
  <c r="S422" i="9"/>
  <c r="S414" i="9"/>
  <c r="S502" i="9"/>
  <c r="S480" i="9"/>
  <c r="S464" i="9"/>
  <c r="S448" i="9"/>
  <c r="S443" i="9"/>
  <c r="S435" i="9"/>
  <c r="S427" i="9"/>
  <c r="S419" i="9"/>
  <c r="S411" i="9"/>
  <c r="S403" i="9"/>
  <c r="S395" i="9"/>
  <c r="S387" i="9"/>
  <c r="S379" i="9"/>
  <c r="S371" i="9"/>
  <c r="S484" i="9"/>
  <c r="S468" i="9"/>
  <c r="S452" i="9"/>
  <c r="S440" i="9"/>
  <c r="S432" i="9"/>
  <c r="S424" i="9"/>
  <c r="S416" i="9"/>
  <c r="S408" i="9"/>
  <c r="S400" i="9"/>
  <c r="S392" i="9"/>
  <c r="S384" i="9"/>
  <c r="S376" i="9"/>
  <c r="S478" i="9"/>
  <c r="S462" i="9"/>
  <c r="S446" i="9"/>
  <c r="S437" i="9"/>
  <c r="S429" i="9"/>
  <c r="S421" i="9"/>
  <c r="S413" i="9"/>
  <c r="S405" i="9"/>
  <c r="S397" i="9"/>
  <c r="S389" i="9"/>
  <c r="S381" i="9"/>
  <c r="S373" i="9"/>
  <c r="S412" i="9"/>
  <c r="S404" i="9"/>
  <c r="S388" i="9"/>
  <c r="S370" i="9"/>
  <c r="S366" i="9"/>
  <c r="S358" i="9"/>
  <c r="S350" i="9"/>
  <c r="S342" i="9"/>
  <c r="S334" i="9"/>
  <c r="S326" i="9"/>
  <c r="S318" i="9"/>
  <c r="S425" i="9"/>
  <c r="S401" i="9"/>
  <c r="S385" i="9"/>
  <c r="S363" i="9"/>
  <c r="S355" i="9"/>
  <c r="S347" i="9"/>
  <c r="S339" i="9"/>
  <c r="S331" i="9"/>
  <c r="S323" i="9"/>
  <c r="S315" i="9"/>
  <c r="S307" i="9"/>
  <c r="S299" i="9"/>
  <c r="S420" i="9"/>
  <c r="S398" i="9"/>
  <c r="S382" i="9"/>
  <c r="S369" i="9"/>
  <c r="S368" i="9"/>
  <c r="S360" i="9"/>
  <c r="S352" i="9"/>
  <c r="S344" i="9"/>
  <c r="S336" i="9"/>
  <c r="S328" i="9"/>
  <c r="S320" i="9"/>
  <c r="S312" i="9"/>
  <c r="S304" i="9"/>
  <c r="S433" i="9"/>
  <c r="S402" i="9"/>
  <c r="S386" i="9"/>
  <c r="S365" i="9"/>
  <c r="S357" i="9"/>
  <c r="S349" i="9"/>
  <c r="S341" i="9"/>
  <c r="S333" i="9"/>
  <c r="S325" i="9"/>
  <c r="S317" i="9"/>
  <c r="S309" i="9"/>
  <c r="S301" i="9"/>
  <c r="S428" i="9"/>
  <c r="S396" i="9"/>
  <c r="S380" i="9"/>
  <c r="S362" i="9"/>
  <c r="S354" i="9"/>
  <c r="S346" i="9"/>
  <c r="S338" i="9"/>
  <c r="S330" i="9"/>
  <c r="S322" i="9"/>
  <c r="S409" i="9"/>
  <c r="S393" i="9"/>
  <c r="S377" i="9"/>
  <c r="S367" i="9"/>
  <c r="S359" i="9"/>
  <c r="S351" i="9"/>
  <c r="S343" i="9"/>
  <c r="S335" i="9"/>
  <c r="S327" i="9"/>
  <c r="S319" i="9"/>
  <c r="S311" i="9"/>
  <c r="S303" i="9"/>
  <c r="S295" i="9"/>
  <c r="S406" i="9"/>
  <c r="S390" i="9"/>
  <c r="S374" i="9"/>
  <c r="S372" i="9"/>
  <c r="S364" i="9"/>
  <c r="S356" i="9"/>
  <c r="S348" i="9"/>
  <c r="S340" i="9"/>
  <c r="S332" i="9"/>
  <c r="S324" i="9"/>
  <c r="S316" i="9"/>
  <c r="S308" i="9"/>
  <c r="S300" i="9"/>
  <c r="S417" i="9"/>
  <c r="S394" i="9"/>
  <c r="S378" i="9"/>
  <c r="S361" i="9"/>
  <c r="S353" i="9"/>
  <c r="S345" i="9"/>
  <c r="S337" i="9"/>
  <c r="S329" i="9"/>
  <c r="S321" i="9"/>
  <c r="S313" i="9"/>
  <c r="S305" i="9"/>
  <c r="S310" i="9"/>
  <c r="S287" i="9"/>
  <c r="S279" i="9"/>
  <c r="S271" i="9"/>
  <c r="S263" i="9"/>
  <c r="S255" i="9"/>
  <c r="S247" i="9"/>
  <c r="S239" i="9"/>
  <c r="S231" i="9"/>
  <c r="S223" i="9"/>
  <c r="S298" i="9"/>
  <c r="S292" i="9"/>
  <c r="S284" i="9"/>
  <c r="S276" i="9"/>
  <c r="S268" i="9"/>
  <c r="S260" i="9"/>
  <c r="S252" i="9"/>
  <c r="S244" i="9"/>
  <c r="S236" i="9"/>
  <c r="S228" i="9"/>
  <c r="S220" i="9"/>
  <c r="S212" i="9"/>
  <c r="S204" i="9"/>
  <c r="S196" i="9"/>
  <c r="S289" i="9"/>
  <c r="S281" i="9"/>
  <c r="S273" i="9"/>
  <c r="S265" i="9"/>
  <c r="S257" i="9"/>
  <c r="S249" i="9"/>
  <c r="S241" i="9"/>
  <c r="S233" i="9"/>
  <c r="S225" i="9"/>
  <c r="S217" i="9"/>
  <c r="S209" i="9"/>
  <c r="S306" i="9"/>
  <c r="S302" i="9"/>
  <c r="S286" i="9"/>
  <c r="S278" i="9"/>
  <c r="S270" i="9"/>
  <c r="S262" i="9"/>
  <c r="S254" i="9"/>
  <c r="S246" i="9"/>
  <c r="S238" i="9"/>
  <c r="S230" i="9"/>
  <c r="S222" i="9"/>
  <c r="S214" i="9"/>
  <c r="S206" i="9"/>
  <c r="S291" i="9"/>
  <c r="S283" i="9"/>
  <c r="S275" i="9"/>
  <c r="S267" i="9"/>
  <c r="S259" i="9"/>
  <c r="S251" i="9"/>
  <c r="S243" i="9"/>
  <c r="S235" i="9"/>
  <c r="S227" i="9"/>
  <c r="S314" i="9"/>
  <c r="S294" i="9"/>
  <c r="S288" i="9"/>
  <c r="S280" i="9"/>
  <c r="S272" i="9"/>
  <c r="S264" i="9"/>
  <c r="S256" i="9"/>
  <c r="S248" i="9"/>
  <c r="S240" i="9"/>
  <c r="S232" i="9"/>
  <c r="S224" i="9"/>
  <c r="S216" i="9"/>
  <c r="S208" i="9"/>
  <c r="S200" i="9"/>
  <c r="S297" i="9"/>
  <c r="S293" i="9"/>
  <c r="S285" i="9"/>
  <c r="S277" i="9"/>
  <c r="S269" i="9"/>
  <c r="S261" i="9"/>
  <c r="S253" i="9"/>
  <c r="S245" i="9"/>
  <c r="S237" i="9"/>
  <c r="S229" i="9"/>
  <c r="S221" i="9"/>
  <c r="S213" i="9"/>
  <c r="S205" i="9"/>
  <c r="S296" i="9"/>
  <c r="S290" i="9"/>
  <c r="S282" i="9"/>
  <c r="S274" i="9"/>
  <c r="S266" i="9"/>
  <c r="S258" i="9"/>
  <c r="S250" i="9"/>
  <c r="S242" i="9"/>
  <c r="S234" i="9"/>
  <c r="S226" i="9"/>
  <c r="S218" i="9"/>
  <c r="S210" i="9"/>
  <c r="S202" i="9"/>
  <c r="S199" i="9"/>
  <c r="S195" i="9"/>
  <c r="S193" i="9"/>
  <c r="S186" i="9"/>
  <c r="S178" i="9"/>
  <c r="S170" i="9"/>
  <c r="S162" i="9"/>
  <c r="S154" i="9"/>
  <c r="S146" i="9"/>
  <c r="S138" i="9"/>
  <c r="S130" i="9"/>
  <c r="S122" i="9"/>
  <c r="S114" i="9"/>
  <c r="S106" i="9"/>
  <c r="S211" i="9"/>
  <c r="S191" i="9"/>
  <c r="S183" i="9"/>
  <c r="S175" i="9"/>
  <c r="S167" i="9"/>
  <c r="S159" i="9"/>
  <c r="S151" i="9"/>
  <c r="S143" i="9"/>
  <c r="S135" i="9"/>
  <c r="S127" i="9"/>
  <c r="S119" i="9"/>
  <c r="S111" i="9"/>
  <c r="S103" i="9"/>
  <c r="S188" i="9"/>
  <c r="S180" i="9"/>
  <c r="S172" i="9"/>
  <c r="S164" i="9"/>
  <c r="S156" i="9"/>
  <c r="S148" i="9"/>
  <c r="S140" i="9"/>
  <c r="S132" i="9"/>
  <c r="S124" i="9"/>
  <c r="S116" i="9"/>
  <c r="S108" i="9"/>
  <c r="S219" i="9"/>
  <c r="S198" i="9"/>
  <c r="S185" i="9"/>
  <c r="S177" i="9"/>
  <c r="S169" i="9"/>
  <c r="S161" i="9"/>
  <c r="S153" i="9"/>
  <c r="S145" i="9"/>
  <c r="S137" i="9"/>
  <c r="S129" i="9"/>
  <c r="S121" i="9"/>
  <c r="S113" i="9"/>
  <c r="S207" i="9"/>
  <c r="S194" i="9"/>
  <c r="S190" i="9"/>
  <c r="S182" i="9"/>
  <c r="S174" i="9"/>
  <c r="S166" i="9"/>
  <c r="S158" i="9"/>
  <c r="S150" i="9"/>
  <c r="S142" i="9"/>
  <c r="S134" i="9"/>
  <c r="S126" i="9"/>
  <c r="S118" i="9"/>
  <c r="S110" i="9"/>
  <c r="S201" i="9"/>
  <c r="S187" i="9"/>
  <c r="S179" i="9"/>
  <c r="S171" i="9"/>
  <c r="S163" i="9"/>
  <c r="S155" i="9"/>
  <c r="S147" i="9"/>
  <c r="S139" i="9"/>
  <c r="S131" i="9"/>
  <c r="S123" i="9"/>
  <c r="S115" i="9"/>
  <c r="S107" i="9"/>
  <c r="S215" i="9"/>
  <c r="S192" i="9"/>
  <c r="S184" i="9"/>
  <c r="S176" i="9"/>
  <c r="S168" i="9"/>
  <c r="S160" i="9"/>
  <c r="S152" i="9"/>
  <c r="S144" i="9"/>
  <c r="S136" i="9"/>
  <c r="S128" i="9"/>
  <c r="S120" i="9"/>
  <c r="S203" i="9"/>
  <c r="S197" i="9"/>
  <c r="S189" i="9"/>
  <c r="S181" i="9"/>
  <c r="S173" i="9"/>
  <c r="S165" i="9"/>
  <c r="S157" i="9"/>
  <c r="S149" i="9"/>
  <c r="S141" i="9"/>
  <c r="S133" i="9"/>
  <c r="S125" i="9"/>
  <c r="S117" i="9"/>
  <c r="S109" i="9"/>
  <c r="S101" i="9"/>
  <c r="S93" i="9"/>
  <c r="S85" i="9"/>
  <c r="S77" i="9"/>
  <c r="S69" i="9"/>
  <c r="S61" i="9"/>
  <c r="S53" i="9"/>
  <c r="S45" i="9"/>
  <c r="S37" i="9"/>
  <c r="S29" i="9"/>
  <c r="S21" i="9"/>
  <c r="S13" i="9"/>
  <c r="S98" i="9"/>
  <c r="S90" i="9"/>
  <c r="S82" i="9"/>
  <c r="S74" i="9"/>
  <c r="S66" i="9"/>
  <c r="S58" i="9"/>
  <c r="S50" i="9"/>
  <c r="S42" i="9"/>
  <c r="S34" i="9"/>
  <c r="S26" i="9"/>
  <c r="S18" i="9"/>
  <c r="S95" i="9"/>
  <c r="S87" i="9"/>
  <c r="S79" i="9"/>
  <c r="S71" i="9"/>
  <c r="S63" i="9"/>
  <c r="S55" i="9"/>
  <c r="S47" i="9"/>
  <c r="S39" i="9"/>
  <c r="S31" i="9"/>
  <c r="S23" i="9"/>
  <c r="S15" i="9"/>
  <c r="S100" i="9"/>
  <c r="S92" i="9"/>
  <c r="S84" i="9"/>
  <c r="S76" i="9"/>
  <c r="S68" i="9"/>
  <c r="S60" i="9"/>
  <c r="S52" i="9"/>
  <c r="S44" i="9"/>
  <c r="S36" i="9"/>
  <c r="S28" i="9"/>
  <c r="S20" i="9"/>
  <c r="S12" i="9"/>
  <c r="S112" i="9"/>
  <c r="S97" i="9"/>
  <c r="S89" i="9"/>
  <c r="S81" i="9"/>
  <c r="S73" i="9"/>
  <c r="S65" i="9"/>
  <c r="S57" i="9"/>
  <c r="S49" i="9"/>
  <c r="S41" i="9"/>
  <c r="S33" i="9"/>
  <c r="S25" i="9"/>
  <c r="S17" i="9"/>
  <c r="S102" i="9"/>
  <c r="S94" i="9"/>
  <c r="S86" i="9"/>
  <c r="S78" i="9"/>
  <c r="S70" i="9"/>
  <c r="S62" i="9"/>
  <c r="S54" i="9"/>
  <c r="S46" i="9"/>
  <c r="S38" i="9"/>
  <c r="S30" i="9"/>
  <c r="S22" i="9"/>
  <c r="S14" i="9"/>
  <c r="S105" i="9"/>
  <c r="S99" i="9"/>
  <c r="S91" i="9"/>
  <c r="S83" i="9"/>
  <c r="S75" i="9"/>
  <c r="S67" i="9"/>
  <c r="S59" i="9"/>
  <c r="S51" i="9"/>
  <c r="S43" i="9"/>
  <c r="S35" i="9"/>
  <c r="S27" i="9"/>
  <c r="S19" i="9"/>
  <c r="S104" i="9"/>
  <c r="S96" i="9"/>
  <c r="S88" i="9"/>
  <c r="S80" i="9"/>
  <c r="S72" i="9"/>
  <c r="S64" i="9"/>
  <c r="S56" i="9"/>
  <c r="S48" i="9"/>
  <c r="S40" i="9"/>
  <c r="S32" i="9"/>
  <c r="S24" i="9"/>
  <c r="S16" i="9"/>
  <c r="AH10" i="9"/>
  <c r="AH1074" i="9"/>
  <c r="AH1066" i="9"/>
  <c r="AH1058" i="9"/>
  <c r="AH1079" i="9"/>
  <c r="AH1071" i="9"/>
  <c r="AH1063" i="9"/>
  <c r="AH1076" i="9"/>
  <c r="AH1068" i="9"/>
  <c r="AH1060" i="9"/>
  <c r="AH1081" i="9"/>
  <c r="AH1073" i="9"/>
  <c r="AH1065" i="9"/>
  <c r="AH1057" i="9"/>
  <c r="AH1078" i="9"/>
  <c r="AH1070" i="9"/>
  <c r="AH1062" i="9"/>
  <c r="AH1075" i="9"/>
  <c r="AH1067" i="9"/>
  <c r="AH1059" i="9"/>
  <c r="AH1080" i="9"/>
  <c r="AH1072" i="9"/>
  <c r="AH1064" i="9"/>
  <c r="AH1054" i="9"/>
  <c r="AH1046" i="9"/>
  <c r="AH1038" i="9"/>
  <c r="AH1053" i="9"/>
  <c r="AH1045" i="9"/>
  <c r="AH1037" i="9"/>
  <c r="AH1061" i="9"/>
  <c r="AH1050" i="9"/>
  <c r="AH1042" i="9"/>
  <c r="AH1055" i="9"/>
  <c r="AH1047" i="9"/>
  <c r="AH1039" i="9"/>
  <c r="AH1077" i="9"/>
  <c r="AH1052" i="9"/>
  <c r="AH1044" i="9"/>
  <c r="AH1043" i="9"/>
  <c r="AH1035" i="9"/>
  <c r="AH1026" i="9"/>
  <c r="AH1018" i="9"/>
  <c r="AH1049" i="9"/>
  <c r="AH1025" i="9"/>
  <c r="AH1017" i="9"/>
  <c r="AH1041" i="9"/>
  <c r="AH1036" i="9"/>
  <c r="AH1030" i="9"/>
  <c r="AH1022" i="9"/>
  <c r="AH1056" i="9"/>
  <c r="AH1027" i="9"/>
  <c r="AH1048" i="9"/>
  <c r="AH1034" i="9"/>
  <c r="AH1033" i="9"/>
  <c r="AH1032" i="9"/>
  <c r="AH1024" i="9"/>
  <c r="AH1051" i="9"/>
  <c r="AH1013" i="9"/>
  <c r="AH1005" i="9"/>
  <c r="AH1023" i="9"/>
  <c r="AH1012" i="9"/>
  <c r="AH1004" i="9"/>
  <c r="AH1009" i="9"/>
  <c r="AH1069" i="9"/>
  <c r="AH1020" i="9"/>
  <c r="AH1015" i="9"/>
  <c r="AH1014" i="9"/>
  <c r="AH1006" i="9"/>
  <c r="AH1029" i="9"/>
  <c r="AH1016" i="9"/>
  <c r="AH1011" i="9"/>
  <c r="AH997" i="9"/>
  <c r="AH989" i="9"/>
  <c r="AH981" i="9"/>
  <c r="AH1008" i="9"/>
  <c r="AH996" i="9"/>
  <c r="AH988" i="9"/>
  <c r="AH1040" i="9"/>
  <c r="AH1031" i="9"/>
  <c r="AH993" i="9"/>
  <c r="AH985" i="9"/>
  <c r="AH1019" i="9"/>
  <c r="AH1002" i="9"/>
  <c r="AH990" i="9"/>
  <c r="AH1007" i="9"/>
  <c r="AH999" i="9"/>
  <c r="AH998" i="9"/>
  <c r="AH995" i="9"/>
  <c r="AH987" i="9"/>
  <c r="AH1003" i="9"/>
  <c r="AH991" i="9"/>
  <c r="AH982" i="9"/>
  <c r="AH980" i="9"/>
  <c r="AH972" i="9"/>
  <c r="AH964" i="9"/>
  <c r="AH956" i="9"/>
  <c r="AH948" i="9"/>
  <c r="AH1021" i="9"/>
  <c r="AH994" i="9"/>
  <c r="AH984" i="9"/>
  <c r="AH986" i="9"/>
  <c r="AH983" i="9"/>
  <c r="AH979" i="9"/>
  <c r="AH971" i="9"/>
  <c r="AH963" i="9"/>
  <c r="AH955" i="9"/>
  <c r="AH947" i="9"/>
  <c r="AH1010" i="9"/>
  <c r="AH976" i="9"/>
  <c r="AH968" i="9"/>
  <c r="AH960" i="9"/>
  <c r="AH952" i="9"/>
  <c r="AH992" i="9"/>
  <c r="AH973" i="9"/>
  <c r="AH965" i="9"/>
  <c r="AH957" i="9"/>
  <c r="AH949" i="9"/>
  <c r="AH978" i="9"/>
  <c r="AH970" i="9"/>
  <c r="AH962" i="9"/>
  <c r="AH954" i="9"/>
  <c r="AH946" i="9"/>
  <c r="AH967" i="9"/>
  <c r="AH945" i="9"/>
  <c r="AH944" i="9"/>
  <c r="AH1028" i="9"/>
  <c r="AH974" i="9"/>
  <c r="AH951" i="9"/>
  <c r="AH969" i="9"/>
  <c r="AH958" i="9"/>
  <c r="AH942" i="9"/>
  <c r="AH934" i="9"/>
  <c r="AH926" i="9"/>
  <c r="AH918" i="9"/>
  <c r="AH910" i="9"/>
  <c r="AH1001" i="9"/>
  <c r="AH961" i="9"/>
  <c r="AH950" i="9"/>
  <c r="AH939" i="9"/>
  <c r="AH931" i="9"/>
  <c r="AH923" i="9"/>
  <c r="AH915" i="9"/>
  <c r="AH1000" i="9"/>
  <c r="AH953" i="9"/>
  <c r="AH936" i="9"/>
  <c r="AH928" i="9"/>
  <c r="AH920" i="9"/>
  <c r="AH912" i="9"/>
  <c r="AH932" i="9"/>
  <c r="AH922" i="9"/>
  <c r="AH902" i="9"/>
  <c r="AH894" i="9"/>
  <c r="AH886" i="9"/>
  <c r="AH975" i="9"/>
  <c r="AH940" i="9"/>
  <c r="AH977" i="9"/>
  <c r="AH943" i="9"/>
  <c r="AH929" i="9"/>
  <c r="AH919" i="9"/>
  <c r="AH909" i="9"/>
  <c r="AH901" i="9"/>
  <c r="AH893" i="9"/>
  <c r="AH966" i="9"/>
  <c r="AH937" i="9"/>
  <c r="AH927" i="9"/>
  <c r="AH917" i="9"/>
  <c r="AH906" i="9"/>
  <c r="AH898" i="9"/>
  <c r="AH890" i="9"/>
  <c r="AH935" i="9"/>
  <c r="AH925" i="9"/>
  <c r="AH903" i="9"/>
  <c r="AH895" i="9"/>
  <c r="AH959" i="9"/>
  <c r="AH933" i="9"/>
  <c r="AH916" i="9"/>
  <c r="AH908" i="9"/>
  <c r="AH900" i="9"/>
  <c r="AH892" i="9"/>
  <c r="AH914" i="9"/>
  <c r="AH905" i="9"/>
  <c r="AH879" i="9"/>
  <c r="AH871" i="9"/>
  <c r="AH863" i="9"/>
  <c r="AH855" i="9"/>
  <c r="AH938" i="9"/>
  <c r="AH924" i="9"/>
  <c r="AH897" i="9"/>
  <c r="AH885" i="9"/>
  <c r="AH884" i="9"/>
  <c r="AH876" i="9"/>
  <c r="AH868" i="9"/>
  <c r="AH860" i="9"/>
  <c r="AH881" i="9"/>
  <c r="AH873" i="9"/>
  <c r="AH865" i="9"/>
  <c r="AH857" i="9"/>
  <c r="AH911" i="9"/>
  <c r="AH878" i="9"/>
  <c r="AH861" i="9"/>
  <c r="AH851" i="9"/>
  <c r="AH843" i="9"/>
  <c r="AH835" i="9"/>
  <c r="AH827" i="9"/>
  <c r="AH819" i="9"/>
  <c r="AH921" i="9"/>
  <c r="AH913" i="9"/>
  <c r="AH869" i="9"/>
  <c r="AH941" i="9"/>
  <c r="AH896" i="9"/>
  <c r="AH891" i="9"/>
  <c r="AH887" i="9"/>
  <c r="AH877" i="9"/>
  <c r="AH867" i="9"/>
  <c r="AH875" i="9"/>
  <c r="AH858" i="9"/>
  <c r="AH850" i="9"/>
  <c r="AH842" i="9"/>
  <c r="AH834" i="9"/>
  <c r="AH826" i="9"/>
  <c r="AH930" i="9"/>
  <c r="AH907" i="9"/>
  <c r="AH889" i="9"/>
  <c r="AH883" i="9"/>
  <c r="AH866" i="9"/>
  <c r="AH856" i="9"/>
  <c r="AH847" i="9"/>
  <c r="AH839" i="9"/>
  <c r="AH831" i="9"/>
  <c r="AH823" i="9"/>
  <c r="AH874" i="9"/>
  <c r="AH864" i="9"/>
  <c r="AH854" i="9"/>
  <c r="AH852" i="9"/>
  <c r="AH844" i="9"/>
  <c r="AH836" i="9"/>
  <c r="AH828" i="9"/>
  <c r="AH820" i="9"/>
  <c r="AH882" i="9"/>
  <c r="AH872" i="9"/>
  <c r="AH862" i="9"/>
  <c r="AH849" i="9"/>
  <c r="AH841" i="9"/>
  <c r="AH833" i="9"/>
  <c r="AH825" i="9"/>
  <c r="AH845" i="9"/>
  <c r="AH816" i="9"/>
  <c r="AH808" i="9"/>
  <c r="AH800" i="9"/>
  <c r="AH792" i="9"/>
  <c r="AH904" i="9"/>
  <c r="AH848" i="9"/>
  <c r="AH837" i="9"/>
  <c r="AH813" i="9"/>
  <c r="AH805" i="9"/>
  <c r="AH797" i="9"/>
  <c r="AH789" i="9"/>
  <c r="AH840" i="9"/>
  <c r="AH829" i="9"/>
  <c r="AH822" i="9"/>
  <c r="AH821" i="9"/>
  <c r="AH810" i="9"/>
  <c r="AH802" i="9"/>
  <c r="AH794" i="9"/>
  <c r="AH870" i="9"/>
  <c r="AH832" i="9"/>
  <c r="AH815" i="9"/>
  <c r="AH807" i="9"/>
  <c r="AH799" i="9"/>
  <c r="AH791" i="9"/>
  <c r="AH812" i="9"/>
  <c r="AH804" i="9"/>
  <c r="AH796" i="9"/>
  <c r="AH899" i="9"/>
  <c r="AH846" i="9"/>
  <c r="AH817" i="9"/>
  <c r="AH809" i="9"/>
  <c r="AH801" i="9"/>
  <c r="AH793" i="9"/>
  <c r="AH880" i="9"/>
  <c r="AH838" i="9"/>
  <c r="AH814" i="9"/>
  <c r="AH806" i="9"/>
  <c r="AH798" i="9"/>
  <c r="AH888" i="9"/>
  <c r="AH859" i="9"/>
  <c r="AH853" i="9"/>
  <c r="AH830" i="9"/>
  <c r="AH824" i="9"/>
  <c r="AH818" i="9"/>
  <c r="AH790" i="9"/>
  <c r="AH784" i="9"/>
  <c r="AH776" i="9"/>
  <c r="AH768" i="9"/>
  <c r="AH811" i="9"/>
  <c r="AH781" i="9"/>
  <c r="AH773" i="9"/>
  <c r="AH765" i="9"/>
  <c r="AH778" i="9"/>
  <c r="AH770" i="9"/>
  <c r="AH803" i="9"/>
  <c r="AH786" i="9"/>
  <c r="AH780" i="9"/>
  <c r="AH772" i="9"/>
  <c r="AH764" i="9"/>
  <c r="AH787" i="9"/>
  <c r="AH785" i="9"/>
  <c r="AH777" i="9"/>
  <c r="AH782" i="9"/>
  <c r="AH774" i="9"/>
  <c r="AH767" i="9"/>
  <c r="AH758" i="9"/>
  <c r="AH783" i="9"/>
  <c r="AH763" i="9"/>
  <c r="AH755" i="9"/>
  <c r="AH747" i="9"/>
  <c r="AH739" i="9"/>
  <c r="AH731" i="9"/>
  <c r="AH723" i="9"/>
  <c r="AH788" i="9"/>
  <c r="AH771" i="9"/>
  <c r="AH760" i="9"/>
  <c r="AH752" i="9"/>
  <c r="AH744" i="9"/>
  <c r="AH736" i="9"/>
  <c r="AH728" i="9"/>
  <c r="AH795" i="9"/>
  <c r="AH769" i="9"/>
  <c r="AH757" i="9"/>
  <c r="AH749" i="9"/>
  <c r="AH741" i="9"/>
  <c r="AH733" i="9"/>
  <c r="AH725" i="9"/>
  <c r="AH779" i="9"/>
  <c r="AH762" i="9"/>
  <c r="AH754" i="9"/>
  <c r="AH759" i="9"/>
  <c r="AH751" i="9"/>
  <c r="AH743" i="9"/>
  <c r="AH735" i="9"/>
  <c r="AH727" i="9"/>
  <c r="AH719" i="9"/>
  <c r="AH766" i="9"/>
  <c r="AH756" i="9"/>
  <c r="AH748" i="9"/>
  <c r="AH740" i="9"/>
  <c r="AH732" i="9"/>
  <c r="AH775" i="9"/>
  <c r="AH761" i="9"/>
  <c r="AH753" i="9"/>
  <c r="AH745" i="9"/>
  <c r="AH737" i="9"/>
  <c r="AH729" i="9"/>
  <c r="AH742" i="9"/>
  <c r="AH716" i="9"/>
  <c r="AH708" i="9"/>
  <c r="AH730" i="9"/>
  <c r="AH713" i="9"/>
  <c r="AH705" i="9"/>
  <c r="AH697" i="9"/>
  <c r="AH689" i="9"/>
  <c r="AH681" i="9"/>
  <c r="AH673" i="9"/>
  <c r="AH750" i="9"/>
  <c r="AH721" i="9"/>
  <c r="AH718" i="9"/>
  <c r="AH710" i="9"/>
  <c r="AH702" i="9"/>
  <c r="AH694" i="9"/>
  <c r="AH686" i="9"/>
  <c r="AH678" i="9"/>
  <c r="AH738" i="9"/>
  <c r="AH724" i="9"/>
  <c r="AH715" i="9"/>
  <c r="AH707" i="9"/>
  <c r="AH699" i="9"/>
  <c r="AH691" i="9"/>
  <c r="AH683" i="9"/>
  <c r="AH675" i="9"/>
  <c r="AH712" i="9"/>
  <c r="AH704" i="9"/>
  <c r="AH746" i="9"/>
  <c r="AH726" i="9"/>
  <c r="AH717" i="9"/>
  <c r="AH709" i="9"/>
  <c r="AH701" i="9"/>
  <c r="AH693" i="9"/>
  <c r="AH685" i="9"/>
  <c r="AH677" i="9"/>
  <c r="AH734" i="9"/>
  <c r="AH720" i="9"/>
  <c r="AH714" i="9"/>
  <c r="AH706" i="9"/>
  <c r="AH698" i="9"/>
  <c r="AH690" i="9"/>
  <c r="AH682" i="9"/>
  <c r="AH722" i="9"/>
  <c r="AH711" i="9"/>
  <c r="AH703" i="9"/>
  <c r="AH695" i="9"/>
  <c r="AH687" i="9"/>
  <c r="AH679" i="9"/>
  <c r="AH680" i="9"/>
  <c r="AH676" i="9"/>
  <c r="AH664" i="9"/>
  <c r="AH656" i="9"/>
  <c r="AH648" i="9"/>
  <c r="AH640" i="9"/>
  <c r="AH632" i="9"/>
  <c r="AH700" i="9"/>
  <c r="AH669" i="9"/>
  <c r="AH661" i="9"/>
  <c r="AH653" i="9"/>
  <c r="AH645" i="9"/>
  <c r="AH637" i="9"/>
  <c r="AH629" i="9"/>
  <c r="AH621" i="9"/>
  <c r="AH613" i="9"/>
  <c r="AH605" i="9"/>
  <c r="AH597" i="9"/>
  <c r="AH589" i="9"/>
  <c r="AH688" i="9"/>
  <c r="AH666" i="9"/>
  <c r="AH658" i="9"/>
  <c r="AH671" i="9"/>
  <c r="AH663" i="9"/>
  <c r="AH655" i="9"/>
  <c r="AH696" i="9"/>
  <c r="AH674" i="9"/>
  <c r="AH668" i="9"/>
  <c r="AH660" i="9"/>
  <c r="AH652" i="9"/>
  <c r="AH644" i="9"/>
  <c r="AH636" i="9"/>
  <c r="AH684" i="9"/>
  <c r="AH672" i="9"/>
  <c r="AH665" i="9"/>
  <c r="AH657" i="9"/>
  <c r="AH649" i="9"/>
  <c r="AH641" i="9"/>
  <c r="AH633" i="9"/>
  <c r="AH625" i="9"/>
  <c r="AH617" i="9"/>
  <c r="AH609" i="9"/>
  <c r="AH601" i="9"/>
  <c r="AH593" i="9"/>
  <c r="AH585" i="9"/>
  <c r="AH670" i="9"/>
  <c r="AH662" i="9"/>
  <c r="AH654" i="9"/>
  <c r="AH646" i="9"/>
  <c r="AH638" i="9"/>
  <c r="AH630" i="9"/>
  <c r="AH622" i="9"/>
  <c r="AH614" i="9"/>
  <c r="AH606" i="9"/>
  <c r="AH598" i="9"/>
  <c r="AH590" i="9"/>
  <c r="AH692" i="9"/>
  <c r="AH667" i="9"/>
  <c r="AH659" i="9"/>
  <c r="AH651" i="9"/>
  <c r="AH643" i="9"/>
  <c r="AH635" i="9"/>
  <c r="AH627" i="9"/>
  <c r="AH619" i="9"/>
  <c r="AH611" i="9"/>
  <c r="AH603" i="9"/>
  <c r="AH595" i="9"/>
  <c r="AH650" i="9"/>
  <c r="AH631" i="9"/>
  <c r="AH616" i="9"/>
  <c r="AH600" i="9"/>
  <c r="AH587" i="9"/>
  <c r="AH579" i="9"/>
  <c r="AH571" i="9"/>
  <c r="AH563" i="9"/>
  <c r="AH626" i="9"/>
  <c r="AH610" i="9"/>
  <c r="AH594" i="9"/>
  <c r="AH583" i="9"/>
  <c r="AH576" i="9"/>
  <c r="AH568" i="9"/>
  <c r="AH560" i="9"/>
  <c r="AH552" i="9"/>
  <c r="AH544" i="9"/>
  <c r="AH536" i="9"/>
  <c r="AH528" i="9"/>
  <c r="AH520" i="9"/>
  <c r="AH512" i="9"/>
  <c r="AH639" i="9"/>
  <c r="AH623" i="9"/>
  <c r="AH607" i="9"/>
  <c r="AH591" i="9"/>
  <c r="AH634" i="9"/>
  <c r="AH620" i="9"/>
  <c r="AH604" i="9"/>
  <c r="AH588" i="9"/>
  <c r="AH647" i="9"/>
  <c r="AH624" i="9"/>
  <c r="AH608" i="9"/>
  <c r="AH592" i="9"/>
  <c r="AH586" i="9"/>
  <c r="AH575" i="9"/>
  <c r="AH567" i="9"/>
  <c r="AH559" i="9"/>
  <c r="AH642" i="9"/>
  <c r="AH628" i="9"/>
  <c r="AH618" i="9"/>
  <c r="AH602" i="9"/>
  <c r="AH584" i="9"/>
  <c r="AH582" i="9"/>
  <c r="AH580" i="9"/>
  <c r="AH572" i="9"/>
  <c r="AH564" i="9"/>
  <c r="AH556" i="9"/>
  <c r="AH548" i="9"/>
  <c r="AH540" i="9"/>
  <c r="AH532" i="9"/>
  <c r="AH524" i="9"/>
  <c r="AH516" i="9"/>
  <c r="AH615" i="9"/>
  <c r="AH599" i="9"/>
  <c r="AH577" i="9"/>
  <c r="AH569" i="9"/>
  <c r="AH561" i="9"/>
  <c r="AH553" i="9"/>
  <c r="AH545" i="9"/>
  <c r="AH537" i="9"/>
  <c r="AH529" i="9"/>
  <c r="AH521" i="9"/>
  <c r="AH612" i="9"/>
  <c r="AH596" i="9"/>
  <c r="AH574" i="9"/>
  <c r="AH566" i="9"/>
  <c r="AH558" i="9"/>
  <c r="AH550" i="9"/>
  <c r="AH542" i="9"/>
  <c r="AH534" i="9"/>
  <c r="AH526" i="9"/>
  <c r="AH581" i="9"/>
  <c r="AH547" i="9"/>
  <c r="AH531" i="9"/>
  <c r="AH503" i="9"/>
  <c r="AH495" i="9"/>
  <c r="AH487" i="9"/>
  <c r="AH562" i="9"/>
  <c r="AH557" i="9"/>
  <c r="AH541" i="9"/>
  <c r="AH525" i="9"/>
  <c r="AH517" i="9"/>
  <c r="AH508" i="9"/>
  <c r="AH500" i="9"/>
  <c r="AH492" i="9"/>
  <c r="AH484" i="9"/>
  <c r="AH476" i="9"/>
  <c r="AH468" i="9"/>
  <c r="AH460" i="9"/>
  <c r="AH452" i="9"/>
  <c r="AH444" i="9"/>
  <c r="AH554" i="9"/>
  <c r="AH538" i="9"/>
  <c r="AH522" i="9"/>
  <c r="AH515" i="9"/>
  <c r="AH513" i="9"/>
  <c r="AH570" i="9"/>
  <c r="AH551" i="9"/>
  <c r="AH535" i="9"/>
  <c r="AH519" i="9"/>
  <c r="AH511" i="9"/>
  <c r="AH510" i="9"/>
  <c r="AH565" i="9"/>
  <c r="AH555" i="9"/>
  <c r="AH539" i="9"/>
  <c r="AH523" i="9"/>
  <c r="AH507" i="9"/>
  <c r="AH499" i="9"/>
  <c r="AH491" i="9"/>
  <c r="AH578" i="9"/>
  <c r="AH549" i="9"/>
  <c r="AH533" i="9"/>
  <c r="AH518" i="9"/>
  <c r="AH504" i="9"/>
  <c r="AH496" i="9"/>
  <c r="AH488" i="9"/>
  <c r="AH480" i="9"/>
  <c r="AH472" i="9"/>
  <c r="AH464" i="9"/>
  <c r="AH456" i="9"/>
  <c r="AH448" i="9"/>
  <c r="AH573" i="9"/>
  <c r="AH546" i="9"/>
  <c r="AH530" i="9"/>
  <c r="AH514" i="9"/>
  <c r="AH509" i="9"/>
  <c r="AH501" i="9"/>
  <c r="AH493" i="9"/>
  <c r="AH485" i="9"/>
  <c r="AH477" i="9"/>
  <c r="AH469" i="9"/>
  <c r="AH461" i="9"/>
  <c r="AH453" i="9"/>
  <c r="AH445" i="9"/>
  <c r="AH543" i="9"/>
  <c r="AH527" i="9"/>
  <c r="AH506" i="9"/>
  <c r="AH498" i="9"/>
  <c r="AH490" i="9"/>
  <c r="AH482" i="9"/>
  <c r="AH474" i="9"/>
  <c r="AH466" i="9"/>
  <c r="AH458" i="9"/>
  <c r="AH450" i="9"/>
  <c r="AH494" i="9"/>
  <c r="AH478" i="9"/>
  <c r="AH462" i="9"/>
  <c r="AH446" i="9"/>
  <c r="AH437" i="9"/>
  <c r="AH429" i="9"/>
  <c r="AH421" i="9"/>
  <c r="AH413" i="9"/>
  <c r="AH489" i="9"/>
  <c r="AH475" i="9"/>
  <c r="AH459" i="9"/>
  <c r="AH434" i="9"/>
  <c r="AH426" i="9"/>
  <c r="AH418" i="9"/>
  <c r="AH410" i="9"/>
  <c r="AH402" i="9"/>
  <c r="AH394" i="9"/>
  <c r="AH386" i="9"/>
  <c r="AH378" i="9"/>
  <c r="AH370" i="9"/>
  <c r="AH502" i="9"/>
  <c r="AH479" i="9"/>
  <c r="AH463" i="9"/>
  <c r="AH447" i="9"/>
  <c r="AH439" i="9"/>
  <c r="AH497" i="9"/>
  <c r="AH473" i="9"/>
  <c r="AH457" i="9"/>
  <c r="AH436" i="9"/>
  <c r="AH470" i="9"/>
  <c r="AH454" i="9"/>
  <c r="AH443" i="9"/>
  <c r="AH442" i="9"/>
  <c r="AH441" i="9"/>
  <c r="AH433" i="9"/>
  <c r="AH425" i="9"/>
  <c r="AH417" i="9"/>
  <c r="AH505" i="9"/>
  <c r="AH483" i="9"/>
  <c r="AH467" i="9"/>
  <c r="AH451" i="9"/>
  <c r="AH438" i="9"/>
  <c r="AH430" i="9"/>
  <c r="AH422" i="9"/>
  <c r="AH414" i="9"/>
  <c r="AH406" i="9"/>
  <c r="AH398" i="9"/>
  <c r="AH390" i="9"/>
  <c r="AH382" i="9"/>
  <c r="AH374" i="9"/>
  <c r="AH486" i="9"/>
  <c r="AH471" i="9"/>
  <c r="AH455" i="9"/>
  <c r="AH435" i="9"/>
  <c r="AH427" i="9"/>
  <c r="AH419" i="9"/>
  <c r="AH411" i="9"/>
  <c r="AH403" i="9"/>
  <c r="AH395" i="9"/>
  <c r="AH387" i="9"/>
  <c r="AH379" i="9"/>
  <c r="AH481" i="9"/>
  <c r="AH465" i="9"/>
  <c r="AH449" i="9"/>
  <c r="AH440" i="9"/>
  <c r="AH432" i="9"/>
  <c r="AH424" i="9"/>
  <c r="AH416" i="9"/>
  <c r="AH408" i="9"/>
  <c r="AH400" i="9"/>
  <c r="AH392" i="9"/>
  <c r="AH384" i="9"/>
  <c r="AH376" i="9"/>
  <c r="AH415" i="9"/>
  <c r="AH407" i="9"/>
  <c r="AH391" i="9"/>
  <c r="AH375" i="9"/>
  <c r="AH369" i="9"/>
  <c r="AH361" i="9"/>
  <c r="AH353" i="9"/>
  <c r="AH345" i="9"/>
  <c r="AH337" i="9"/>
  <c r="AH329" i="9"/>
  <c r="AH321" i="9"/>
  <c r="AH428" i="9"/>
  <c r="AH404" i="9"/>
  <c r="AH388" i="9"/>
  <c r="AH366" i="9"/>
  <c r="AH358" i="9"/>
  <c r="AH350" i="9"/>
  <c r="AH342" i="9"/>
  <c r="AH334" i="9"/>
  <c r="AH326" i="9"/>
  <c r="AH318" i="9"/>
  <c r="AH310" i="9"/>
  <c r="AH302" i="9"/>
  <c r="AH294" i="9"/>
  <c r="AH423" i="9"/>
  <c r="AH401" i="9"/>
  <c r="AH385" i="9"/>
  <c r="AH363" i="9"/>
  <c r="AH355" i="9"/>
  <c r="AH347" i="9"/>
  <c r="AH339" i="9"/>
  <c r="AH331" i="9"/>
  <c r="AH323" i="9"/>
  <c r="AH315" i="9"/>
  <c r="AH307" i="9"/>
  <c r="AH405" i="9"/>
  <c r="AH389" i="9"/>
  <c r="AH368" i="9"/>
  <c r="AH360" i="9"/>
  <c r="AH352" i="9"/>
  <c r="AH344" i="9"/>
  <c r="AH336" i="9"/>
  <c r="AH328" i="9"/>
  <c r="AH320" i="9"/>
  <c r="AH312" i="9"/>
  <c r="AH304" i="9"/>
  <c r="AH296" i="9"/>
  <c r="AH431" i="9"/>
  <c r="AH399" i="9"/>
  <c r="AH383" i="9"/>
  <c r="AH373" i="9"/>
  <c r="AH365" i="9"/>
  <c r="AH357" i="9"/>
  <c r="AH349" i="9"/>
  <c r="AH341" i="9"/>
  <c r="AH333" i="9"/>
  <c r="AH325" i="9"/>
  <c r="AH317" i="9"/>
  <c r="AH412" i="9"/>
  <c r="AH396" i="9"/>
  <c r="AH380" i="9"/>
  <c r="AH372" i="9"/>
  <c r="AH362" i="9"/>
  <c r="AH354" i="9"/>
  <c r="AH346" i="9"/>
  <c r="AH338" i="9"/>
  <c r="AH330" i="9"/>
  <c r="AH322" i="9"/>
  <c r="AH314" i="9"/>
  <c r="AH306" i="9"/>
  <c r="AH298" i="9"/>
  <c r="AH393" i="9"/>
  <c r="AH377" i="9"/>
  <c r="AH371" i="9"/>
  <c r="AH367" i="9"/>
  <c r="AH359" i="9"/>
  <c r="AH351" i="9"/>
  <c r="AH343" i="9"/>
  <c r="AH335" i="9"/>
  <c r="AH327" i="9"/>
  <c r="AH319" i="9"/>
  <c r="AH311" i="9"/>
  <c r="AH303" i="9"/>
  <c r="AH420" i="9"/>
  <c r="AH409" i="9"/>
  <c r="AH397" i="9"/>
  <c r="AH381" i="9"/>
  <c r="AH364" i="9"/>
  <c r="AH356" i="9"/>
  <c r="AH348" i="9"/>
  <c r="AH340" i="9"/>
  <c r="AH332" i="9"/>
  <c r="AH324" i="9"/>
  <c r="AH316" i="9"/>
  <c r="AH308" i="9"/>
  <c r="AH313" i="9"/>
  <c r="AH290" i="9"/>
  <c r="AH282" i="9"/>
  <c r="AH274" i="9"/>
  <c r="AH266" i="9"/>
  <c r="AH258" i="9"/>
  <c r="AH250" i="9"/>
  <c r="AH242" i="9"/>
  <c r="AH234" i="9"/>
  <c r="AH226" i="9"/>
  <c r="AH301" i="9"/>
  <c r="AH287" i="9"/>
  <c r="AH279" i="9"/>
  <c r="AH271" i="9"/>
  <c r="AH263" i="9"/>
  <c r="AH255" i="9"/>
  <c r="AH247" i="9"/>
  <c r="AH239" i="9"/>
  <c r="AH231" i="9"/>
  <c r="AH223" i="9"/>
  <c r="AH215" i="9"/>
  <c r="AH207" i="9"/>
  <c r="AH199" i="9"/>
  <c r="AH292" i="9"/>
  <c r="AH284" i="9"/>
  <c r="AH276" i="9"/>
  <c r="AH268" i="9"/>
  <c r="AH260" i="9"/>
  <c r="AH252" i="9"/>
  <c r="AH244" i="9"/>
  <c r="AH236" i="9"/>
  <c r="AH228" i="9"/>
  <c r="AH220" i="9"/>
  <c r="AH212" i="9"/>
  <c r="AH204" i="9"/>
  <c r="AH309" i="9"/>
  <c r="AH289" i="9"/>
  <c r="AH281" i="9"/>
  <c r="AH273" i="9"/>
  <c r="AH265" i="9"/>
  <c r="AH257" i="9"/>
  <c r="AH249" i="9"/>
  <c r="AH241" i="9"/>
  <c r="AH233" i="9"/>
  <c r="AH225" i="9"/>
  <c r="AH217" i="9"/>
  <c r="AH209" i="9"/>
  <c r="AH201" i="9"/>
  <c r="AH299" i="9"/>
  <c r="AH286" i="9"/>
  <c r="AH278" i="9"/>
  <c r="AH270" i="9"/>
  <c r="AH262" i="9"/>
  <c r="AH254" i="9"/>
  <c r="AH246" i="9"/>
  <c r="AH238" i="9"/>
  <c r="AH230" i="9"/>
  <c r="AH222" i="9"/>
  <c r="AH291" i="9"/>
  <c r="AH283" i="9"/>
  <c r="AH275" i="9"/>
  <c r="AH267" i="9"/>
  <c r="AH259" i="9"/>
  <c r="AH251" i="9"/>
  <c r="AH243" i="9"/>
  <c r="AH235" i="9"/>
  <c r="AH227" i="9"/>
  <c r="AH219" i="9"/>
  <c r="AH211" i="9"/>
  <c r="AH203" i="9"/>
  <c r="AH195" i="9"/>
  <c r="AH305" i="9"/>
  <c r="AH300" i="9"/>
  <c r="AH295" i="9"/>
  <c r="AH288" i="9"/>
  <c r="AH280" i="9"/>
  <c r="AH272" i="9"/>
  <c r="AH264" i="9"/>
  <c r="AH256" i="9"/>
  <c r="AH248" i="9"/>
  <c r="AH240" i="9"/>
  <c r="AH232" i="9"/>
  <c r="AH224" i="9"/>
  <c r="AH216" i="9"/>
  <c r="AH208" i="9"/>
  <c r="AH297" i="9"/>
  <c r="AH293" i="9"/>
  <c r="AH285" i="9"/>
  <c r="AH277" i="9"/>
  <c r="AH269" i="9"/>
  <c r="AH261" i="9"/>
  <c r="AH253" i="9"/>
  <c r="AH245" i="9"/>
  <c r="AH237" i="9"/>
  <c r="AH229" i="9"/>
  <c r="AH221" i="9"/>
  <c r="AH213" i="9"/>
  <c r="AH205" i="9"/>
  <c r="AH198" i="9"/>
  <c r="AH196" i="9"/>
  <c r="AH189" i="9"/>
  <c r="AH181" i="9"/>
  <c r="AH173" i="9"/>
  <c r="AH165" i="9"/>
  <c r="AH157" i="9"/>
  <c r="AH149" i="9"/>
  <c r="AH141" i="9"/>
  <c r="AH133" i="9"/>
  <c r="AH125" i="9"/>
  <c r="AH117" i="9"/>
  <c r="AH109" i="9"/>
  <c r="AH214" i="9"/>
  <c r="AH194" i="9"/>
  <c r="AH192" i="9"/>
  <c r="AH186" i="9"/>
  <c r="AH178" i="9"/>
  <c r="AH170" i="9"/>
  <c r="AH162" i="9"/>
  <c r="AH154" i="9"/>
  <c r="AH146" i="9"/>
  <c r="AH138" i="9"/>
  <c r="AH130" i="9"/>
  <c r="AH122" i="9"/>
  <c r="AH114" i="9"/>
  <c r="AH106" i="9"/>
  <c r="AH202" i="9"/>
  <c r="AH200" i="9"/>
  <c r="AH191" i="9"/>
  <c r="AH183" i="9"/>
  <c r="AH175" i="9"/>
  <c r="AH167" i="9"/>
  <c r="AH159" i="9"/>
  <c r="AH151" i="9"/>
  <c r="AH143" i="9"/>
  <c r="AH135" i="9"/>
  <c r="AH127" i="9"/>
  <c r="AH119" i="9"/>
  <c r="AH111" i="9"/>
  <c r="AH188" i="9"/>
  <c r="AH180" i="9"/>
  <c r="AH172" i="9"/>
  <c r="AH164" i="9"/>
  <c r="AH156" i="9"/>
  <c r="AH148" i="9"/>
  <c r="AH140" i="9"/>
  <c r="AH132" i="9"/>
  <c r="AH124" i="9"/>
  <c r="AH116" i="9"/>
  <c r="AH108" i="9"/>
  <c r="AH210" i="9"/>
  <c r="AH197" i="9"/>
  <c r="AH185" i="9"/>
  <c r="AH177" i="9"/>
  <c r="AH169" i="9"/>
  <c r="AH161" i="9"/>
  <c r="AH153" i="9"/>
  <c r="AH145" i="9"/>
  <c r="AH137" i="9"/>
  <c r="AH129" i="9"/>
  <c r="AH121" i="9"/>
  <c r="AH113" i="9"/>
  <c r="AH193" i="9"/>
  <c r="AH190" i="9"/>
  <c r="AH182" i="9"/>
  <c r="AH174" i="9"/>
  <c r="AH166" i="9"/>
  <c r="AH158" i="9"/>
  <c r="AH150" i="9"/>
  <c r="AH142" i="9"/>
  <c r="AH134" i="9"/>
  <c r="AH126" i="9"/>
  <c r="AH118" i="9"/>
  <c r="AH110" i="9"/>
  <c r="AH102" i="9"/>
  <c r="AH218" i="9"/>
  <c r="AH187" i="9"/>
  <c r="AH179" i="9"/>
  <c r="AH171" i="9"/>
  <c r="AH163" i="9"/>
  <c r="AH155" i="9"/>
  <c r="AH147" i="9"/>
  <c r="AH139" i="9"/>
  <c r="AH131" i="9"/>
  <c r="AH123" i="9"/>
  <c r="AH115" i="9"/>
  <c r="AH206" i="9"/>
  <c r="AH184" i="9"/>
  <c r="AH176" i="9"/>
  <c r="AH168" i="9"/>
  <c r="AH160" i="9"/>
  <c r="AH152" i="9"/>
  <c r="AH144" i="9"/>
  <c r="AH136" i="9"/>
  <c r="AH128" i="9"/>
  <c r="AH120" i="9"/>
  <c r="AH112" i="9"/>
  <c r="AH96" i="9"/>
  <c r="AH88" i="9"/>
  <c r="AH80" i="9"/>
  <c r="AH72" i="9"/>
  <c r="AH64" i="9"/>
  <c r="AH56" i="9"/>
  <c r="AH48" i="9"/>
  <c r="AH40" i="9"/>
  <c r="AH32" i="9"/>
  <c r="AH24" i="9"/>
  <c r="AH16" i="9"/>
  <c r="AH101" i="9"/>
  <c r="AH93" i="9"/>
  <c r="AH85" i="9"/>
  <c r="AH77" i="9"/>
  <c r="AH69" i="9"/>
  <c r="AH61" i="9"/>
  <c r="AH53" i="9"/>
  <c r="AH45" i="9"/>
  <c r="AH37" i="9"/>
  <c r="AH29" i="9"/>
  <c r="AH21" i="9"/>
  <c r="AH13" i="9"/>
  <c r="AH98" i="9"/>
  <c r="AH90" i="9"/>
  <c r="AH82" i="9"/>
  <c r="AH74" i="9"/>
  <c r="AH66" i="9"/>
  <c r="AH58" i="9"/>
  <c r="AH50" i="9"/>
  <c r="AH42" i="9"/>
  <c r="AH34" i="9"/>
  <c r="AH26" i="9"/>
  <c r="AH18" i="9"/>
  <c r="AH107" i="9"/>
  <c r="AH95" i="9"/>
  <c r="AH87" i="9"/>
  <c r="AH79" i="9"/>
  <c r="AH71" i="9"/>
  <c r="AH63" i="9"/>
  <c r="AH55" i="9"/>
  <c r="AH47" i="9"/>
  <c r="AH39" i="9"/>
  <c r="AH31" i="9"/>
  <c r="AH23" i="9"/>
  <c r="AH15" i="9"/>
  <c r="AH100" i="9"/>
  <c r="AH92" i="9"/>
  <c r="AH84" i="9"/>
  <c r="AH76" i="9"/>
  <c r="AH68" i="9"/>
  <c r="AH60" i="9"/>
  <c r="AH52" i="9"/>
  <c r="AH44" i="9"/>
  <c r="AH36" i="9"/>
  <c r="AH28" i="9"/>
  <c r="AH20" i="9"/>
  <c r="AH12" i="9"/>
  <c r="AH105" i="9"/>
  <c r="AH97" i="9"/>
  <c r="AH89" i="9"/>
  <c r="AH81" i="9"/>
  <c r="AH73" i="9"/>
  <c r="AH65" i="9"/>
  <c r="AH57" i="9"/>
  <c r="AH49" i="9"/>
  <c r="AH41" i="9"/>
  <c r="AH33" i="9"/>
  <c r="AH25" i="9"/>
  <c r="AH17" i="9"/>
  <c r="AH104" i="9"/>
  <c r="AH103" i="9"/>
  <c r="AH94" i="9"/>
  <c r="AH86" i="9"/>
  <c r="AH78" i="9"/>
  <c r="AH70" i="9"/>
  <c r="AH62" i="9"/>
  <c r="AH54" i="9"/>
  <c r="AH46" i="9"/>
  <c r="AH38" i="9"/>
  <c r="AH30" i="9"/>
  <c r="AH22" i="9"/>
  <c r="AH14" i="9"/>
  <c r="AH99" i="9"/>
  <c r="AH91" i="9"/>
  <c r="AH83" i="9"/>
  <c r="AH75" i="9"/>
  <c r="AH67" i="9"/>
  <c r="AH59" i="9"/>
  <c r="AH51" i="9"/>
  <c r="AH43" i="9"/>
  <c r="AH35" i="9"/>
  <c r="AH27" i="9"/>
  <c r="AH19" i="9"/>
  <c r="S10" i="9"/>
  <c r="S11" i="9"/>
  <c r="F19" i="9" l="1"/>
  <c r="F20" i="9" l="1"/>
  <c r="F21" i="9" l="1"/>
  <c r="F22" i="9" l="1"/>
  <c r="F23" i="9" l="1"/>
  <c r="F24" i="9" l="1"/>
  <c r="F25" i="9" l="1"/>
  <c r="F26" i="9" l="1"/>
  <c r="F27" i="9" l="1"/>
  <c r="F28" i="9" l="1"/>
  <c r="F29" i="9" l="1"/>
  <c r="F30" i="9" l="1"/>
  <c r="F31" i="9" l="1"/>
  <c r="F32" i="9" l="1"/>
  <c r="F33" i="9" l="1"/>
  <c r="F34" i="9" l="1"/>
  <c r="F35" i="9" l="1"/>
  <c r="F36" i="9" l="1"/>
  <c r="F37" i="9" l="1"/>
  <c r="F38" i="9" l="1"/>
  <c r="F39" i="9" l="1"/>
  <c r="F40" i="9" l="1"/>
  <c r="F41" i="9" l="1"/>
  <c r="F42" i="9" l="1"/>
  <c r="F43" i="9" l="1"/>
  <c r="F44" i="9" l="1"/>
  <c r="F45" i="9" l="1"/>
  <c r="F46" i="9" l="1"/>
  <c r="F47" i="9" l="1"/>
  <c r="F48" i="9" l="1"/>
  <c r="F49" i="9" l="1"/>
  <c r="F50" i="9" l="1"/>
  <c r="F51" i="9" l="1"/>
  <c r="F52" i="9" l="1"/>
  <c r="F53" i="9" l="1"/>
  <c r="F54" i="9" l="1"/>
  <c r="F55" i="9" l="1"/>
  <c r="F56" i="9" l="1"/>
  <c r="F57" i="9" l="1"/>
  <c r="F58" i="9" l="1"/>
  <c r="F59" i="9" l="1"/>
  <c r="F60" i="9" l="1"/>
  <c r="F61" i="9" l="1"/>
  <c r="F62" i="9" l="1"/>
  <c r="F63" i="9" l="1"/>
  <c r="F64" i="9" l="1"/>
  <c r="F65" i="9" l="1"/>
  <c r="F66" i="9" l="1"/>
  <c r="F67" i="9" l="1"/>
  <c r="F68" i="9" l="1"/>
  <c r="F69" i="9" l="1"/>
  <c r="F70" i="9" l="1"/>
  <c r="F71" i="9" l="1"/>
  <c r="F72" i="9" l="1"/>
  <c r="F73" i="9" l="1"/>
  <c r="F74" i="9" l="1"/>
  <c r="F75" i="9" l="1"/>
  <c r="F76" i="9" l="1"/>
  <c r="F77" i="9" l="1"/>
  <c r="F78" i="9" l="1"/>
  <c r="F79" i="9" l="1"/>
  <c r="F80" i="9" l="1"/>
  <c r="F81" i="9" l="1"/>
  <c r="F82" i="9" l="1"/>
  <c r="F83" i="9" l="1"/>
  <c r="F84" i="9" l="1"/>
  <c r="F85" i="9" l="1"/>
  <c r="F86" i="9" l="1"/>
  <c r="F87" i="9" l="1"/>
  <c r="F88" i="9" l="1"/>
  <c r="F89" i="9" l="1"/>
  <c r="F90" i="9" l="1"/>
  <c r="F91" i="9" l="1"/>
  <c r="F92" i="9" l="1"/>
  <c r="F93" i="9" l="1"/>
  <c r="F94" i="9" l="1"/>
  <c r="F95" i="9" l="1"/>
  <c r="F96" i="9" l="1"/>
  <c r="F97" i="9" l="1"/>
  <c r="F98" i="9" l="1"/>
  <c r="F99" i="9" l="1"/>
  <c r="F100" i="9" l="1"/>
  <c r="F101" i="9" l="1"/>
  <c r="F102" i="9" l="1"/>
  <c r="F103" i="9" l="1"/>
  <c r="F104" i="9" l="1"/>
  <c r="F105" i="9" l="1"/>
  <c r="F106" i="9" l="1"/>
  <c r="F107" i="9" l="1"/>
  <c r="F108" i="9" l="1"/>
  <c r="F109" i="9" l="1"/>
  <c r="F110" i="9" l="1"/>
  <c r="F111" i="9" l="1"/>
  <c r="F112" i="9" l="1"/>
  <c r="F113" i="9" l="1"/>
  <c r="F114" i="9" l="1"/>
  <c r="F115" i="9" l="1"/>
  <c r="F116" i="9" l="1"/>
  <c r="F117" i="9" l="1"/>
  <c r="F118" i="9" l="1"/>
  <c r="F119" i="9" l="1"/>
  <c r="F120" i="9" l="1"/>
  <c r="F121" i="9" l="1"/>
  <c r="F122" i="9" l="1"/>
  <c r="F123" i="9" l="1"/>
  <c r="F124" i="9" l="1"/>
  <c r="F125" i="9" l="1"/>
  <c r="F126" i="9" l="1"/>
  <c r="F127" i="9" l="1"/>
  <c r="F128" i="9" l="1"/>
  <c r="F129" i="9" l="1"/>
  <c r="F130" i="9" l="1"/>
  <c r="F131" i="9" l="1"/>
  <c r="F132" i="9" l="1"/>
  <c r="F133" i="9" l="1"/>
  <c r="F134" i="9" l="1"/>
  <c r="F135" i="9" l="1"/>
  <c r="F136" i="9" l="1"/>
  <c r="F137" i="9" l="1"/>
  <c r="F138" i="9" l="1"/>
  <c r="F139" i="9" l="1"/>
  <c r="F140" i="9" l="1"/>
  <c r="F141" i="9" l="1"/>
  <c r="F142" i="9" l="1"/>
  <c r="F143" i="9" l="1"/>
  <c r="F144" i="9" l="1"/>
  <c r="F145" i="9" l="1"/>
  <c r="F146" i="9" l="1"/>
  <c r="F147" i="9" l="1"/>
  <c r="F148" i="9" l="1"/>
  <c r="F149" i="9" l="1"/>
  <c r="F150" i="9" l="1"/>
  <c r="F151" i="9" l="1"/>
  <c r="F152" i="9" l="1"/>
  <c r="F153" i="9" l="1"/>
  <c r="F154" i="9" l="1"/>
  <c r="F155" i="9" l="1"/>
  <c r="F156" i="9" l="1"/>
  <c r="F157" i="9" l="1"/>
  <c r="F158" i="9" l="1"/>
  <c r="F159" i="9" l="1"/>
  <c r="F160" i="9" l="1"/>
  <c r="F161" i="9" l="1"/>
  <c r="F162" i="9" l="1"/>
  <c r="F163" i="9" l="1"/>
  <c r="F164" i="9" l="1"/>
  <c r="F165" i="9" l="1"/>
  <c r="F166" i="9" l="1"/>
  <c r="F167" i="9" l="1"/>
  <c r="F168" i="9" l="1"/>
  <c r="F169" i="9" l="1"/>
  <c r="F170" i="9" l="1"/>
  <c r="F171" i="9" l="1"/>
  <c r="F172" i="9" l="1"/>
  <c r="F173" i="9" l="1"/>
  <c r="F174" i="9" l="1"/>
  <c r="F175" i="9" l="1"/>
  <c r="F176" i="9" l="1"/>
  <c r="F177" i="9" l="1"/>
  <c r="F178" i="9" l="1"/>
  <c r="F179" i="9" l="1"/>
  <c r="F180" i="9" l="1"/>
  <c r="F181" i="9" l="1"/>
  <c r="F182" i="9" l="1"/>
  <c r="F183" i="9" l="1"/>
  <c r="F184" i="9" l="1"/>
  <c r="F185" i="9" l="1"/>
  <c r="F186" i="9" l="1"/>
  <c r="F187" i="9" l="1"/>
  <c r="F188" i="9" l="1"/>
  <c r="F189" i="9" l="1"/>
  <c r="F190" i="9" l="1"/>
  <c r="F191" i="9" l="1"/>
  <c r="F192" i="9" l="1"/>
  <c r="F193" i="9" l="1"/>
  <c r="F194" i="9" l="1"/>
  <c r="F195" i="9" l="1"/>
  <c r="F196" i="9" l="1"/>
  <c r="F197" i="9" l="1"/>
  <c r="F198" i="9" l="1"/>
  <c r="F199" i="9" l="1"/>
  <c r="F200" i="9" l="1"/>
  <c r="F201" i="9" l="1"/>
  <c r="F202" i="9" l="1"/>
  <c r="F203" i="9" l="1"/>
  <c r="F204" i="9" l="1"/>
  <c r="F205" i="9" l="1"/>
  <c r="F206" i="9" l="1"/>
  <c r="F207" i="9" l="1"/>
  <c r="F208" i="9" l="1"/>
  <c r="F209" i="9" l="1"/>
  <c r="F210" i="9" l="1"/>
  <c r="F211" i="9" l="1"/>
  <c r="F212" i="9" l="1"/>
  <c r="F213" i="9" l="1"/>
  <c r="F214" i="9" l="1"/>
  <c r="F215" i="9" l="1"/>
  <c r="F216" i="9" l="1"/>
  <c r="F217" i="9" l="1"/>
  <c r="F218" i="9" l="1"/>
  <c r="F219" i="9" l="1"/>
  <c r="F220" i="9" l="1"/>
  <c r="F221" i="9" l="1"/>
  <c r="F222" i="9" l="1"/>
  <c r="F223" i="9" l="1"/>
  <c r="F224" i="9" l="1"/>
  <c r="F225" i="9" l="1"/>
  <c r="F226" i="9" l="1"/>
  <c r="F227" i="9" l="1"/>
  <c r="F228" i="9" l="1"/>
  <c r="F229" i="9" l="1"/>
  <c r="F230" i="9" l="1"/>
  <c r="F231" i="9" l="1"/>
  <c r="F232" i="9" l="1"/>
  <c r="F233" i="9" l="1"/>
  <c r="F234" i="9" l="1"/>
  <c r="F235" i="9" l="1"/>
  <c r="F236" i="9" l="1"/>
  <c r="F237" i="9" l="1"/>
  <c r="F238" i="9" l="1"/>
  <c r="F239" i="9" l="1"/>
  <c r="F240" i="9" l="1"/>
  <c r="F241" i="9" l="1"/>
  <c r="F242" i="9" l="1"/>
  <c r="F243" i="9" l="1"/>
  <c r="F244" i="9" l="1"/>
  <c r="F245" i="9" l="1"/>
  <c r="F246" i="9" l="1"/>
  <c r="F247" i="9" l="1"/>
  <c r="F248" i="9" l="1"/>
  <c r="F249" i="9" l="1"/>
  <c r="F250" i="9" l="1"/>
  <c r="F251" i="9" l="1"/>
  <c r="F252" i="9" l="1"/>
  <c r="F253" i="9" l="1"/>
  <c r="F254" i="9" l="1"/>
  <c r="F255" i="9" l="1"/>
  <c r="F256" i="9" l="1"/>
  <c r="F257" i="9" l="1"/>
  <c r="F258" i="9" l="1"/>
  <c r="F259" i="9" l="1"/>
  <c r="F260" i="9" l="1"/>
  <c r="F261" i="9" l="1"/>
  <c r="F262" i="9" l="1"/>
  <c r="F263" i="9" l="1"/>
  <c r="F264" i="9" l="1"/>
  <c r="F265" i="9" l="1"/>
  <c r="F266" i="9" l="1"/>
  <c r="F267" i="9" l="1"/>
  <c r="F268" i="9" l="1"/>
  <c r="F269" i="9" l="1"/>
  <c r="F270" i="9" l="1"/>
  <c r="F271" i="9" l="1"/>
  <c r="F272" i="9" l="1"/>
  <c r="F273" i="9" l="1"/>
  <c r="F274" i="9" l="1"/>
  <c r="F275" i="9" l="1"/>
  <c r="F276" i="9" l="1"/>
  <c r="F277" i="9" l="1"/>
  <c r="F278" i="9" l="1"/>
  <c r="F279" i="9" l="1"/>
  <c r="F280" i="9" l="1"/>
  <c r="F281" i="9" l="1"/>
  <c r="F282" i="9" l="1"/>
  <c r="F283" i="9" l="1"/>
  <c r="F284" i="9" l="1"/>
  <c r="F285" i="9" l="1"/>
  <c r="F286" i="9" l="1"/>
  <c r="F287" i="9" l="1"/>
  <c r="F288" i="9" l="1"/>
  <c r="F289" i="9" l="1"/>
  <c r="F290" i="9" l="1"/>
  <c r="F291" i="9" l="1"/>
  <c r="F292" i="9" l="1"/>
  <c r="F293" i="9" l="1"/>
  <c r="F294" i="9" l="1"/>
  <c r="F295" i="9" l="1"/>
  <c r="F296" i="9" l="1"/>
  <c r="F297" i="9" l="1"/>
  <c r="F298" i="9" l="1"/>
  <c r="F299" i="9" l="1"/>
  <c r="F300" i="9" l="1"/>
  <c r="F301" i="9" l="1"/>
  <c r="F302" i="9" l="1"/>
  <c r="F303" i="9" l="1"/>
  <c r="F304" i="9" l="1"/>
  <c r="F305" i="9" l="1"/>
  <c r="F306" i="9" l="1"/>
  <c r="F307" i="9" l="1"/>
  <c r="F308" i="9" l="1"/>
  <c r="F309" i="9" l="1"/>
  <c r="F310" i="9" l="1"/>
  <c r="F311" i="9" l="1"/>
  <c r="F312" i="9" l="1"/>
  <c r="F313" i="9" l="1"/>
  <c r="F314" i="9" l="1"/>
  <c r="F315" i="9" l="1"/>
  <c r="F316" i="9" l="1"/>
  <c r="F317" i="9" l="1"/>
  <c r="F318" i="9" l="1"/>
  <c r="F319" i="9" l="1"/>
  <c r="F320" i="9" l="1"/>
  <c r="F321" i="9" l="1"/>
  <c r="F322" i="9" l="1"/>
  <c r="F323" i="9" l="1"/>
  <c r="F324" i="9" l="1"/>
  <c r="F325" i="9" l="1"/>
  <c r="F326" i="9" l="1"/>
  <c r="F327" i="9" l="1"/>
  <c r="F328" i="9" l="1"/>
  <c r="F329" i="9" l="1"/>
  <c r="F330" i="9" l="1"/>
  <c r="F331" i="9" l="1"/>
  <c r="F332" i="9" l="1"/>
  <c r="F333" i="9" l="1"/>
  <c r="F334" i="9" l="1"/>
  <c r="F335" i="9" l="1"/>
  <c r="F336" i="9" l="1"/>
  <c r="F337" i="9" l="1"/>
  <c r="F338" i="9" l="1"/>
  <c r="F339" i="9" l="1"/>
  <c r="F340" i="9" l="1"/>
  <c r="F341" i="9" l="1"/>
  <c r="F342" i="9" l="1"/>
  <c r="F343" i="9" l="1"/>
  <c r="F344" i="9" l="1"/>
  <c r="F345" i="9" l="1"/>
  <c r="F346" i="9" l="1"/>
  <c r="F347" i="9" l="1"/>
  <c r="F348" i="9" l="1"/>
  <c r="F349" i="9" l="1"/>
  <c r="F350" i="9" l="1"/>
  <c r="F351" i="9" l="1"/>
  <c r="F352" i="9" l="1"/>
  <c r="F353" i="9" l="1"/>
  <c r="F354" i="9" l="1"/>
  <c r="F355" i="9" l="1"/>
  <c r="F356" i="9" l="1"/>
  <c r="F357" i="9" l="1"/>
  <c r="F358" i="9" l="1"/>
  <c r="F359" i="9" l="1"/>
  <c r="F360" i="9" l="1"/>
  <c r="F361" i="9" l="1"/>
  <c r="F362" i="9" l="1"/>
  <c r="F363" i="9" l="1"/>
  <c r="F364" i="9" l="1"/>
  <c r="F365" i="9" l="1"/>
  <c r="F366" i="9" l="1"/>
  <c r="F367" i="9" l="1"/>
  <c r="F368" i="9" l="1"/>
  <c r="F369" i="9" l="1"/>
  <c r="F370" i="9" l="1"/>
  <c r="F371" i="9" l="1"/>
  <c r="F372" i="9" l="1"/>
  <c r="F373" i="9" l="1"/>
  <c r="F374" i="9" l="1"/>
  <c r="F375" i="9" l="1"/>
  <c r="F376" i="9" l="1"/>
  <c r="F377" i="9" l="1"/>
  <c r="F378" i="9" l="1"/>
  <c r="F379" i="9" l="1"/>
  <c r="F380" i="9" l="1"/>
  <c r="F381" i="9" l="1"/>
  <c r="F382" i="9" l="1"/>
  <c r="F383" i="9" l="1"/>
  <c r="F384" i="9" l="1"/>
  <c r="F385" i="9" l="1"/>
  <c r="F386" i="9" l="1"/>
  <c r="F387" i="9" l="1"/>
  <c r="F388" i="9" l="1"/>
  <c r="F389" i="9" l="1"/>
  <c r="F390" i="9" l="1"/>
  <c r="F391" i="9" l="1"/>
  <c r="F392" i="9" l="1"/>
  <c r="F393" i="9" l="1"/>
  <c r="F394" i="9" l="1"/>
  <c r="F395" i="9" l="1"/>
  <c r="F396" i="9" l="1"/>
  <c r="F397" i="9" l="1"/>
  <c r="F398" i="9" l="1"/>
  <c r="F399" i="9" l="1"/>
  <c r="F400" i="9" l="1"/>
  <c r="F401" i="9" l="1"/>
  <c r="F402" i="9" l="1"/>
  <c r="F403" i="9" l="1"/>
  <c r="F404" i="9" l="1"/>
  <c r="F405" i="9" l="1"/>
  <c r="F406" i="9" l="1"/>
  <c r="F407" i="9" l="1"/>
  <c r="F408" i="9" l="1"/>
  <c r="F409" i="9" l="1"/>
  <c r="F410" i="9" l="1"/>
  <c r="F411" i="9" l="1"/>
  <c r="F412" i="9" l="1"/>
  <c r="F413" i="9" l="1"/>
  <c r="F414" i="9" l="1"/>
  <c r="F415" i="9" l="1"/>
  <c r="F416" i="9" l="1"/>
  <c r="F417" i="9" l="1"/>
  <c r="F418" i="9" l="1"/>
  <c r="F419" i="9" l="1"/>
  <c r="F420" i="9" l="1"/>
  <c r="F421" i="9" l="1"/>
  <c r="F422" i="9" l="1"/>
  <c r="F423" i="9" l="1"/>
  <c r="F424" i="9" l="1"/>
  <c r="F425" i="9" l="1"/>
  <c r="F426" i="9" l="1"/>
  <c r="F427" i="9" l="1"/>
  <c r="F428" i="9" l="1"/>
  <c r="F429" i="9" l="1"/>
  <c r="F430" i="9" l="1"/>
  <c r="F431" i="9" l="1"/>
  <c r="F432" i="9" l="1"/>
  <c r="F433" i="9" l="1"/>
  <c r="F434" i="9" l="1"/>
  <c r="F435" i="9" l="1"/>
  <c r="F436" i="9" l="1"/>
  <c r="F437" i="9" l="1"/>
  <c r="F438" i="9" l="1"/>
  <c r="F439" i="9" l="1"/>
  <c r="F440" i="9" l="1"/>
  <c r="F441" i="9" l="1"/>
  <c r="F442" i="9" l="1"/>
  <c r="F443" i="9" l="1"/>
  <c r="F444" i="9" l="1"/>
  <c r="F445" i="9" l="1"/>
  <c r="F446" i="9" l="1"/>
  <c r="F447" i="9" l="1"/>
  <c r="F448" i="9" l="1"/>
  <c r="F449" i="9" l="1"/>
  <c r="F450" i="9" l="1"/>
  <c r="F451" i="9" l="1"/>
  <c r="F452" i="9" l="1"/>
  <c r="F453" i="9" l="1"/>
  <c r="F454" i="9" l="1"/>
  <c r="F455" i="9" l="1"/>
  <c r="F456" i="9" l="1"/>
  <c r="F457" i="9" l="1"/>
  <c r="F458" i="9" l="1"/>
  <c r="F459" i="9" l="1"/>
  <c r="F460" i="9" l="1"/>
  <c r="F461" i="9" l="1"/>
  <c r="F462" i="9" l="1"/>
  <c r="F463" i="9" l="1"/>
  <c r="F464" i="9" l="1"/>
  <c r="F465" i="9" l="1"/>
  <c r="F466" i="9" l="1"/>
  <c r="F467" i="9" l="1"/>
  <c r="F468" i="9" l="1"/>
  <c r="F469" i="9" l="1"/>
  <c r="F470" i="9" l="1"/>
  <c r="F471" i="9" l="1"/>
  <c r="F472" i="9" l="1"/>
  <c r="F473" i="9" l="1"/>
  <c r="F474" i="9" l="1"/>
  <c r="F475" i="9" l="1"/>
  <c r="F476" i="9" l="1"/>
  <c r="F477" i="9" l="1"/>
  <c r="F478" i="9" l="1"/>
  <c r="F479" i="9" l="1"/>
  <c r="F480" i="9" l="1"/>
  <c r="F481" i="9" l="1"/>
  <c r="F482" i="9" l="1"/>
  <c r="F483" i="9" l="1"/>
  <c r="F484" i="9" l="1"/>
  <c r="F485" i="9" l="1"/>
  <c r="F486" i="9" l="1"/>
  <c r="F487" i="9" l="1"/>
  <c r="F488" i="9" l="1"/>
  <c r="F489" i="9" l="1"/>
  <c r="F490" i="9" l="1"/>
  <c r="F491" i="9" l="1"/>
  <c r="F492" i="9" l="1"/>
  <c r="F493" i="9" l="1"/>
  <c r="F494" i="9" l="1"/>
  <c r="F495" i="9" l="1"/>
  <c r="F496" i="9" l="1"/>
  <c r="F497" i="9" l="1"/>
  <c r="F498" i="9" l="1"/>
  <c r="F499" i="9" l="1"/>
  <c r="F500" i="9" l="1"/>
  <c r="F501" i="9" l="1"/>
  <c r="F502" i="9" l="1"/>
  <c r="F503" i="9" l="1"/>
  <c r="F504" i="9" l="1"/>
  <c r="F505" i="9" l="1"/>
  <c r="F506" i="9" l="1"/>
  <c r="F507" i="9" l="1"/>
  <c r="F508" i="9" l="1"/>
  <c r="F509" i="9" l="1"/>
  <c r="F510" i="9" l="1"/>
  <c r="F511" i="9" l="1"/>
  <c r="F512" i="9" l="1"/>
  <c r="F513" i="9" l="1"/>
  <c r="F514" i="9" l="1"/>
  <c r="F515" i="9" l="1"/>
  <c r="F516" i="9" l="1"/>
  <c r="F517" i="9" l="1"/>
  <c r="F518" i="9" l="1"/>
  <c r="F519" i="9" l="1"/>
  <c r="F520" i="9" l="1"/>
  <c r="F521" i="9" l="1"/>
  <c r="F522" i="9" l="1"/>
  <c r="F523" i="9" l="1"/>
  <c r="F524" i="9" l="1"/>
  <c r="F525" i="9" l="1"/>
  <c r="F526" i="9" l="1"/>
  <c r="F527" i="9" l="1"/>
  <c r="F528" i="9" l="1"/>
  <c r="F529" i="9" l="1"/>
  <c r="F530" i="9" l="1"/>
  <c r="F531" i="9" l="1"/>
  <c r="F532" i="9" l="1"/>
  <c r="F533" i="9" l="1"/>
  <c r="F534" i="9" l="1"/>
  <c r="F535" i="9" l="1"/>
  <c r="F536" i="9" l="1"/>
  <c r="F537" i="9" l="1"/>
  <c r="F538" i="9" l="1"/>
  <c r="F539" i="9" l="1"/>
  <c r="F540" i="9" l="1"/>
  <c r="F541" i="9" l="1"/>
  <c r="F542" i="9" l="1"/>
  <c r="F543" i="9" l="1"/>
  <c r="F544" i="9" l="1"/>
  <c r="F545" i="9" l="1"/>
  <c r="F546" i="9" l="1"/>
  <c r="F547" i="9" l="1"/>
  <c r="F548" i="9" l="1"/>
  <c r="F549" i="9" l="1"/>
  <c r="F550" i="9" l="1"/>
  <c r="F551" i="9" l="1"/>
  <c r="F552" i="9" l="1"/>
  <c r="F553" i="9" l="1"/>
  <c r="F554" i="9" l="1"/>
  <c r="F555" i="9" l="1"/>
  <c r="F556" i="9" l="1"/>
  <c r="F557" i="9" l="1"/>
  <c r="F558" i="9" l="1"/>
  <c r="F559" i="9" l="1"/>
  <c r="F560" i="9" l="1"/>
  <c r="F561" i="9" l="1"/>
  <c r="F562" i="9" l="1"/>
  <c r="F563" i="9" l="1"/>
  <c r="F564" i="9" l="1"/>
  <c r="F565" i="9" l="1"/>
  <c r="F566" i="9" l="1"/>
  <c r="F567" i="9" l="1"/>
  <c r="F568" i="9" l="1"/>
  <c r="F569" i="9" l="1"/>
  <c r="F570" i="9" l="1"/>
  <c r="F571" i="9" l="1"/>
  <c r="F572" i="9" l="1"/>
  <c r="F573" i="9" l="1"/>
  <c r="F574" i="9" l="1"/>
  <c r="F575" i="9" l="1"/>
  <c r="F576" i="9" l="1"/>
  <c r="F577" i="9" l="1"/>
  <c r="F578" i="9" l="1"/>
  <c r="F579" i="9" l="1"/>
  <c r="F580" i="9" l="1"/>
  <c r="F581" i="9" l="1"/>
  <c r="F582" i="9" l="1"/>
  <c r="F583" i="9" l="1"/>
  <c r="F584" i="9" l="1"/>
  <c r="F585" i="9" l="1"/>
  <c r="F586" i="9" l="1"/>
  <c r="F587" i="9" l="1"/>
  <c r="F588" i="9" l="1"/>
  <c r="F589" i="9" l="1"/>
  <c r="F590" i="9" l="1"/>
  <c r="F591" i="9" l="1"/>
  <c r="F592" i="9" l="1"/>
  <c r="F593" i="9" l="1"/>
  <c r="F594" i="9" l="1"/>
  <c r="F595" i="9" l="1"/>
  <c r="F596" i="9" l="1"/>
  <c r="F597" i="9" l="1"/>
  <c r="F598" i="9" l="1"/>
  <c r="F599" i="9" l="1"/>
  <c r="F600" i="9" l="1"/>
  <c r="F601" i="9" l="1"/>
  <c r="F602" i="9" l="1"/>
  <c r="F603" i="9" l="1"/>
  <c r="F604" i="9" l="1"/>
  <c r="F605" i="9" l="1"/>
  <c r="F606" i="9" l="1"/>
  <c r="F607" i="9" l="1"/>
  <c r="F608" i="9" l="1"/>
  <c r="F609" i="9" l="1"/>
  <c r="F610" i="9" l="1"/>
  <c r="F611" i="9" l="1"/>
  <c r="F612" i="9" l="1"/>
  <c r="F613" i="9" l="1"/>
  <c r="F614" i="9" l="1"/>
  <c r="F615" i="9" l="1"/>
  <c r="F616" i="9" l="1"/>
  <c r="F617" i="9" l="1"/>
  <c r="F618" i="9" l="1"/>
  <c r="F619" i="9" l="1"/>
  <c r="F620" i="9" l="1"/>
  <c r="F621" i="9" l="1"/>
  <c r="F622" i="9" l="1"/>
  <c r="F623" i="9" l="1"/>
  <c r="F624" i="9" l="1"/>
  <c r="F625" i="9" l="1"/>
  <c r="F626" i="9" l="1"/>
  <c r="F627" i="9" l="1"/>
  <c r="F628" i="9" l="1"/>
  <c r="F629" i="9" l="1"/>
  <c r="F630" i="9" l="1"/>
  <c r="F631" i="9" l="1"/>
  <c r="F632" i="9" l="1"/>
  <c r="F633" i="9" l="1"/>
  <c r="F634" i="9" l="1"/>
  <c r="F635" i="9" l="1"/>
  <c r="F636" i="9" l="1"/>
  <c r="F637" i="9" l="1"/>
  <c r="F638" i="9" l="1"/>
  <c r="F639" i="9" l="1"/>
  <c r="F640" i="9" l="1"/>
  <c r="F641" i="9" l="1"/>
  <c r="F642" i="9" l="1"/>
  <c r="F643" i="9" l="1"/>
  <c r="F644" i="9" l="1"/>
  <c r="F645" i="9" l="1"/>
  <c r="F646" i="9" l="1"/>
  <c r="F647" i="9" l="1"/>
  <c r="F648" i="9" l="1"/>
  <c r="F649" i="9" l="1"/>
  <c r="F650" i="9" l="1"/>
  <c r="F651" i="9" l="1"/>
  <c r="F652" i="9" l="1"/>
  <c r="F653" i="9" l="1"/>
  <c r="F654" i="9" l="1"/>
  <c r="F655" i="9" l="1"/>
  <c r="F656" i="9" l="1"/>
  <c r="F657" i="9" l="1"/>
  <c r="F658" i="9" l="1"/>
  <c r="F659" i="9" l="1"/>
  <c r="F660" i="9" l="1"/>
  <c r="F661" i="9" l="1"/>
  <c r="F662" i="9" l="1"/>
  <c r="F663" i="9" l="1"/>
  <c r="F664" i="9" l="1"/>
  <c r="F665" i="9" l="1"/>
  <c r="F666" i="9" l="1"/>
  <c r="F667" i="9" l="1"/>
  <c r="F668" i="9" l="1"/>
  <c r="F669" i="9" l="1"/>
  <c r="F670" i="9" l="1"/>
  <c r="F671" i="9" l="1"/>
  <c r="F672" i="9" l="1"/>
  <c r="F673" i="9" l="1"/>
  <c r="F674" i="9" l="1"/>
  <c r="F675" i="9" l="1"/>
  <c r="F676" i="9" l="1"/>
  <c r="F677" i="9" l="1"/>
  <c r="F678" i="9" l="1"/>
  <c r="F679" i="9" l="1"/>
  <c r="F680" i="9" l="1"/>
  <c r="F681" i="9" l="1"/>
  <c r="F682" i="9" l="1"/>
  <c r="F683" i="9" l="1"/>
  <c r="F684" i="9" l="1"/>
  <c r="F685" i="9" l="1"/>
  <c r="F686" i="9" l="1"/>
  <c r="F687" i="9" l="1"/>
  <c r="F688" i="9" l="1"/>
  <c r="F689" i="9" l="1"/>
  <c r="F690" i="9" l="1"/>
  <c r="F691" i="9" l="1"/>
  <c r="F692" i="9" l="1"/>
  <c r="F693" i="9" l="1"/>
  <c r="F694" i="9" l="1"/>
  <c r="F695" i="9" l="1"/>
  <c r="F696" i="9" l="1"/>
  <c r="F697" i="9" l="1"/>
  <c r="F698" i="9" l="1"/>
  <c r="F699" i="9" l="1"/>
  <c r="F700" i="9" l="1"/>
  <c r="F701" i="9" l="1"/>
  <c r="F702" i="9" l="1"/>
  <c r="F703" i="9" l="1"/>
  <c r="F704" i="9" l="1"/>
  <c r="F705" i="9" l="1"/>
  <c r="F706" i="9" l="1"/>
  <c r="F707" i="9" l="1"/>
  <c r="F708" i="9" l="1"/>
  <c r="F709" i="9" l="1"/>
  <c r="F710" i="9" l="1"/>
  <c r="F711" i="9" l="1"/>
  <c r="F712" i="9" l="1"/>
  <c r="F713" i="9" l="1"/>
  <c r="F714" i="9" l="1"/>
  <c r="F715" i="9" l="1"/>
  <c r="F716" i="9" l="1"/>
  <c r="F717" i="9" l="1"/>
  <c r="F718" i="9" l="1"/>
  <c r="F719" i="9" l="1"/>
  <c r="F720" i="9" l="1"/>
  <c r="F721" i="9" l="1"/>
  <c r="F722" i="9" l="1"/>
  <c r="F723" i="9" l="1"/>
  <c r="F724" i="9" l="1"/>
  <c r="F725" i="9" l="1"/>
  <c r="F726" i="9" l="1"/>
  <c r="F727" i="9" l="1"/>
  <c r="F728" i="9" l="1"/>
  <c r="F729" i="9" l="1"/>
  <c r="F730" i="9" l="1"/>
  <c r="F731" i="9" l="1"/>
  <c r="F732" i="9" l="1"/>
  <c r="F733" i="9" l="1"/>
  <c r="F734" i="9" l="1"/>
  <c r="F735" i="9" l="1"/>
  <c r="F736" i="9" l="1"/>
  <c r="F737" i="9" l="1"/>
  <c r="F738" i="9" l="1"/>
  <c r="F739" i="9" l="1"/>
  <c r="F740" i="9" l="1"/>
  <c r="F741" i="9" l="1"/>
  <c r="F742" i="9" l="1"/>
  <c r="F743" i="9" l="1"/>
  <c r="F744" i="9" l="1"/>
  <c r="F745" i="9" l="1"/>
  <c r="F746" i="9" l="1"/>
  <c r="F747" i="9" l="1"/>
  <c r="F748" i="9" l="1"/>
  <c r="F749" i="9" l="1"/>
  <c r="F750" i="9" l="1"/>
  <c r="F751" i="9" l="1"/>
  <c r="F752" i="9" l="1"/>
  <c r="F753" i="9" l="1"/>
  <c r="F754" i="9" l="1"/>
  <c r="F755" i="9" l="1"/>
  <c r="F756" i="9" l="1"/>
  <c r="F757" i="9" l="1"/>
  <c r="F758" i="9" l="1"/>
  <c r="F759" i="9" l="1"/>
  <c r="F760" i="9" l="1"/>
  <c r="F761" i="9" l="1"/>
  <c r="F762" i="9" l="1"/>
  <c r="F763" i="9" l="1"/>
  <c r="F764" i="9" l="1"/>
  <c r="F765" i="9" l="1"/>
  <c r="F766" i="9" l="1"/>
  <c r="F767" i="9" l="1"/>
  <c r="F768" i="9" l="1"/>
  <c r="F769" i="9" l="1"/>
  <c r="F770" i="9" l="1"/>
  <c r="F771" i="9" l="1"/>
  <c r="F772" i="9" l="1"/>
  <c r="F773" i="9" l="1"/>
  <c r="F774" i="9" l="1"/>
  <c r="F775" i="9" l="1"/>
  <c r="F776" i="9" l="1"/>
  <c r="F777" i="9" l="1"/>
  <c r="F778" i="9" l="1"/>
  <c r="F779" i="9" l="1"/>
  <c r="F780" i="9" l="1"/>
  <c r="F781" i="9" l="1"/>
  <c r="F782" i="9" l="1"/>
  <c r="F783" i="9" l="1"/>
  <c r="F784" i="9" l="1"/>
  <c r="F785" i="9" l="1"/>
  <c r="F786" i="9" l="1"/>
  <c r="F787" i="9" l="1"/>
  <c r="F788" i="9" l="1"/>
  <c r="F789" i="9" l="1"/>
  <c r="F790" i="9" l="1"/>
  <c r="F791" i="9" l="1"/>
  <c r="F792" i="9" l="1"/>
  <c r="F793" i="9" l="1"/>
  <c r="F794" i="9" l="1"/>
  <c r="F795" i="9" l="1"/>
  <c r="F796" i="9" l="1"/>
  <c r="F797" i="9" l="1"/>
  <c r="F798" i="9" l="1"/>
  <c r="F799" i="9" l="1"/>
  <c r="F800" i="9" l="1"/>
  <c r="F801" i="9" l="1"/>
  <c r="F802" i="9" l="1"/>
  <c r="F803" i="9" l="1"/>
  <c r="F804" i="9" l="1"/>
  <c r="F805" i="9" l="1"/>
  <c r="F806" i="9" l="1"/>
  <c r="F807" i="9" l="1"/>
  <c r="F808" i="9" l="1"/>
  <c r="F809" i="9" l="1"/>
  <c r="F810" i="9" l="1"/>
  <c r="F811" i="9" l="1"/>
  <c r="F812" i="9" l="1"/>
  <c r="F813" i="9" l="1"/>
  <c r="F814" i="9" l="1"/>
  <c r="F815" i="9" l="1"/>
  <c r="F816" i="9" l="1"/>
  <c r="F817" i="9" l="1"/>
  <c r="F818" i="9" l="1"/>
  <c r="F819" i="9" l="1"/>
  <c r="F820" i="9" l="1"/>
  <c r="F821" i="9" l="1"/>
  <c r="F822" i="9" l="1"/>
  <c r="F823" i="9" l="1"/>
  <c r="F824" i="9" l="1"/>
  <c r="F825" i="9" l="1"/>
  <c r="F826" i="9" l="1"/>
  <c r="F827" i="9" l="1"/>
  <c r="F828" i="9" l="1"/>
  <c r="F829" i="9" l="1"/>
  <c r="F830" i="9" l="1"/>
  <c r="F831" i="9" l="1"/>
  <c r="F832" i="9" l="1"/>
  <c r="F833" i="9" l="1"/>
  <c r="F834" i="9" l="1"/>
  <c r="F835" i="9" l="1"/>
  <c r="F836" i="9" l="1"/>
  <c r="F837" i="9" l="1"/>
  <c r="F838" i="9" l="1"/>
  <c r="F839" i="9" l="1"/>
  <c r="F840" i="9" l="1"/>
  <c r="F841" i="9" l="1"/>
  <c r="F842" i="9" l="1"/>
  <c r="F843" i="9" l="1"/>
  <c r="F844" i="9" l="1"/>
  <c r="F845" i="9" l="1"/>
  <c r="F846" i="9" l="1"/>
  <c r="F847" i="9" l="1"/>
  <c r="F848" i="9" l="1"/>
  <c r="F849" i="9" l="1"/>
  <c r="F850" i="9" l="1"/>
  <c r="F851" i="9" l="1"/>
  <c r="F852" i="9" l="1"/>
  <c r="F853" i="9" l="1"/>
  <c r="F854" i="9" l="1"/>
  <c r="F855" i="9" l="1"/>
  <c r="F856" i="9" l="1"/>
  <c r="F857" i="9" l="1"/>
  <c r="F858" i="9" l="1"/>
  <c r="F859" i="9" l="1"/>
  <c r="F860" i="9" l="1"/>
  <c r="F861" i="9" l="1"/>
  <c r="F862" i="9" l="1"/>
  <c r="F863" i="9" l="1"/>
  <c r="F864" i="9" l="1"/>
  <c r="F865" i="9" l="1"/>
  <c r="F866" i="9" l="1"/>
  <c r="F867" i="9" l="1"/>
  <c r="F868" i="9" l="1"/>
  <c r="F869" i="9" l="1"/>
  <c r="F870" i="9" l="1"/>
  <c r="F871" i="9" l="1"/>
  <c r="F872" i="9" l="1"/>
  <c r="F873" i="9" l="1"/>
  <c r="F874" i="9" l="1"/>
  <c r="F875" i="9" l="1"/>
  <c r="F876" i="9" l="1"/>
  <c r="F877" i="9" l="1"/>
  <c r="F878" i="9" l="1"/>
  <c r="F879" i="9" l="1"/>
  <c r="F880" i="9" l="1"/>
  <c r="F881" i="9" l="1"/>
  <c r="F882" i="9" l="1"/>
  <c r="F883" i="9" l="1"/>
  <c r="F884" i="9" l="1"/>
  <c r="F885" i="9" l="1"/>
  <c r="F886" i="9" l="1"/>
  <c r="F887" i="9" l="1"/>
  <c r="F888" i="9" l="1"/>
  <c r="F889" i="9" l="1"/>
  <c r="F890" i="9" l="1"/>
  <c r="F891" i="9" l="1"/>
  <c r="F892" i="9" l="1"/>
  <c r="F893" i="9" l="1"/>
  <c r="F894" i="9" l="1"/>
  <c r="F895" i="9" l="1"/>
  <c r="F896" i="9" l="1"/>
  <c r="F897" i="9" l="1"/>
  <c r="F898" i="9" l="1"/>
  <c r="F899" i="9" l="1"/>
  <c r="F900" i="9" l="1"/>
  <c r="F901" i="9" l="1"/>
  <c r="F902" i="9" l="1"/>
  <c r="F903" i="9" l="1"/>
  <c r="F904" i="9" l="1"/>
  <c r="F905" i="9" l="1"/>
  <c r="F906" i="9" l="1"/>
  <c r="F907" i="9" l="1"/>
  <c r="F908" i="9" l="1"/>
  <c r="F909" i="9" l="1"/>
  <c r="F910" i="9" l="1"/>
  <c r="F911" i="9" l="1"/>
  <c r="F912" i="9" l="1"/>
  <c r="F913" i="9" l="1"/>
  <c r="F914" i="9" l="1"/>
  <c r="F915" i="9" l="1"/>
  <c r="F916" i="9" l="1"/>
  <c r="F917" i="9" l="1"/>
  <c r="F918" i="9" l="1"/>
  <c r="F919" i="9" l="1"/>
  <c r="F920" i="9" l="1"/>
  <c r="F921" i="9" l="1"/>
  <c r="F922" i="9" l="1"/>
  <c r="F923" i="9" l="1"/>
  <c r="F924" i="9" l="1"/>
  <c r="F925" i="9" l="1"/>
  <c r="F926" i="9" l="1"/>
  <c r="F927" i="9" l="1"/>
  <c r="F928" i="9" l="1"/>
  <c r="F929" i="9" l="1"/>
  <c r="F930" i="9" l="1"/>
  <c r="F931" i="9" l="1"/>
  <c r="F932" i="9" l="1"/>
  <c r="F933" i="9" l="1"/>
  <c r="F934" i="9" l="1"/>
  <c r="F935" i="9" l="1"/>
  <c r="F936" i="9" l="1"/>
  <c r="F937" i="9" l="1"/>
  <c r="F938" i="9" l="1"/>
  <c r="F939" i="9" l="1"/>
  <c r="F940" i="9" l="1"/>
  <c r="F941" i="9" l="1"/>
  <c r="F942" i="9" l="1"/>
  <c r="F943" i="9" l="1"/>
  <c r="F944" i="9" l="1"/>
  <c r="F945" i="9" l="1"/>
  <c r="F946" i="9" l="1"/>
  <c r="F947" i="9" l="1"/>
  <c r="F948" i="9" l="1"/>
  <c r="F949" i="9" l="1"/>
  <c r="F950" i="9" l="1"/>
  <c r="F951" i="9" l="1"/>
  <c r="F952" i="9" l="1"/>
  <c r="F953" i="9" l="1"/>
  <c r="F954" i="9" l="1"/>
  <c r="F955" i="9" l="1"/>
  <c r="F956" i="9" l="1"/>
  <c r="F957" i="9" l="1"/>
  <c r="F958" i="9" l="1"/>
  <c r="F959" i="9" l="1"/>
  <c r="F960" i="9" l="1"/>
  <c r="F961" i="9" l="1"/>
  <c r="F962" i="9" l="1"/>
  <c r="F963" i="9" l="1"/>
  <c r="F964" i="9" l="1"/>
  <c r="F965" i="9" l="1"/>
  <c r="F966" i="9" l="1"/>
  <c r="F967" i="9" l="1"/>
  <c r="F968" i="9" l="1"/>
  <c r="F969" i="9" l="1"/>
  <c r="F970" i="9" l="1"/>
  <c r="F971" i="9" l="1"/>
  <c r="F972" i="9" l="1"/>
  <c r="F973" i="9" l="1"/>
  <c r="F974" i="9" l="1"/>
  <c r="F975" i="9" l="1"/>
  <c r="F976" i="9" l="1"/>
  <c r="F977" i="9" l="1"/>
  <c r="F978" i="9" l="1"/>
  <c r="F979" i="9" l="1"/>
  <c r="F980" i="9" l="1"/>
  <c r="F981" i="9" l="1"/>
  <c r="F982" i="9" l="1"/>
  <c r="F983" i="9" l="1"/>
  <c r="F984" i="9" l="1"/>
  <c r="F985" i="9" l="1"/>
  <c r="F986" i="9" l="1"/>
  <c r="F987" i="9" l="1"/>
  <c r="F988" i="9" l="1"/>
  <c r="F989" i="9" l="1"/>
  <c r="F990" i="9" l="1"/>
  <c r="F991" i="9" l="1"/>
  <c r="F992" i="9" l="1"/>
  <c r="F993" i="9" l="1"/>
  <c r="F994" i="9" l="1"/>
  <c r="F995" i="9" l="1"/>
  <c r="F996" i="9" l="1"/>
  <c r="F997" i="9" l="1"/>
  <c r="F998" i="9" l="1"/>
  <c r="F999" i="9" l="1"/>
  <c r="F1000" i="9" l="1"/>
  <c r="F1001" i="9" l="1"/>
  <c r="F1002" i="9" l="1"/>
  <c r="F1003" i="9" l="1"/>
  <c r="F1004" i="9" l="1"/>
  <c r="F1005" i="9" l="1"/>
  <c r="F1006" i="9" l="1"/>
  <c r="F1007" i="9" l="1"/>
  <c r="F1008" i="9" l="1"/>
  <c r="F1009" i="9" l="1"/>
  <c r="F1010" i="9" l="1"/>
  <c r="F1011" i="9" l="1"/>
  <c r="F1012" i="9" l="1"/>
  <c r="F1013" i="9" l="1"/>
  <c r="F1014" i="9" l="1"/>
  <c r="F1015" i="9" l="1"/>
  <c r="F1016" i="9" l="1"/>
  <c r="F1017" i="9" l="1"/>
  <c r="F1018" i="9" l="1"/>
  <c r="F1019" i="9" l="1"/>
  <c r="F1020" i="9" l="1"/>
  <c r="F1021" i="9" l="1"/>
  <c r="F1022" i="9" l="1"/>
  <c r="F1023" i="9" l="1"/>
  <c r="F1024" i="9" l="1"/>
  <c r="F1025" i="9" l="1"/>
  <c r="F1026" i="9" l="1"/>
  <c r="F1027" i="9" l="1"/>
  <c r="F1028" i="9" l="1"/>
  <c r="F1029" i="9" l="1"/>
  <c r="F1030" i="9" l="1"/>
  <c r="F1031" i="9" l="1"/>
  <c r="F1032" i="9" l="1"/>
  <c r="F1033" i="9" l="1"/>
  <c r="F1034" i="9" l="1"/>
  <c r="F1035" i="9" l="1"/>
  <c r="F1036" i="9" l="1"/>
  <c r="F1037" i="9" l="1"/>
  <c r="F1038" i="9" l="1"/>
  <c r="F1039" i="9" l="1"/>
  <c r="F1040" i="9" l="1"/>
  <c r="F1041" i="9" l="1"/>
  <c r="F1042" i="9" l="1"/>
  <c r="F1043" i="9" l="1"/>
  <c r="F1044" i="9" l="1"/>
  <c r="F1045" i="9" l="1"/>
  <c r="F1046" i="9" l="1"/>
  <c r="F1047" i="9" l="1"/>
  <c r="F1048" i="9" l="1"/>
  <c r="F1049" i="9" l="1"/>
  <c r="F1050" i="9" l="1"/>
  <c r="F1051" i="9" l="1"/>
  <c r="F1052" i="9" l="1"/>
  <c r="F1053" i="9" l="1"/>
  <c r="F1054" i="9" l="1"/>
  <c r="F1055" i="9" l="1"/>
  <c r="F1056" i="9" l="1"/>
  <c r="F1057" i="9" l="1"/>
  <c r="F1058" i="9" l="1"/>
  <c r="F1059" i="9" l="1"/>
  <c r="F1060" i="9" l="1"/>
  <c r="F1061" i="9" l="1"/>
  <c r="F1062" i="9" l="1"/>
  <c r="F1063" i="9" l="1"/>
  <c r="F1064" i="9" l="1"/>
  <c r="F1065" i="9" l="1"/>
  <c r="F1066" i="9" l="1"/>
  <c r="F1067" i="9" l="1"/>
  <c r="F1068" i="9" l="1"/>
  <c r="F1069" i="9" l="1"/>
  <c r="F1070" i="9" l="1"/>
  <c r="F1071" i="9" l="1"/>
  <c r="F1072" i="9" l="1"/>
  <c r="F1073" i="9" l="1"/>
  <c r="F1074" i="9" l="1"/>
  <c r="F1075" i="9" l="1"/>
  <c r="F1076" i="9" l="1"/>
  <c r="F1077" i="9" l="1"/>
  <c r="F1078" i="9" l="1"/>
  <c r="F1079" i="9" l="1"/>
  <c r="F1080" i="9" l="1"/>
  <c r="F1082" i="9" l="1"/>
  <c r="F1081" i="9"/>
  <c r="R10" i="9" a="1"/>
  <c r="R13" i="9" l="1"/>
  <c r="I12" i="9" s="1"/>
  <c r="R17" i="9"/>
  <c r="R21" i="9"/>
  <c r="L13" i="9" s="1"/>
  <c r="R25" i="9"/>
  <c r="L17" i="9" s="1"/>
  <c r="R29" i="9"/>
  <c r="R33" i="9"/>
  <c r="R37" i="9"/>
  <c r="O21" i="9" s="1"/>
  <c r="R41" i="9"/>
  <c r="R45" i="9"/>
  <c r="R10" i="9"/>
  <c r="R14" i="9"/>
  <c r="I13" i="9" s="1"/>
  <c r="R18" i="9"/>
  <c r="R22" i="9"/>
  <c r="R26" i="9"/>
  <c r="O10" i="9" s="1"/>
  <c r="R30" i="9"/>
  <c r="O14" i="9" s="1"/>
  <c r="R34" i="9"/>
  <c r="O18" i="9" s="1"/>
  <c r="R38" i="9"/>
  <c r="R42" i="9"/>
  <c r="R46" i="9"/>
  <c r="R11" i="9"/>
  <c r="I10" i="9" s="1"/>
  <c r="R15" i="9"/>
  <c r="R19" i="9"/>
  <c r="L11" i="9" s="1"/>
  <c r="R23" i="9"/>
  <c r="L15" i="9" s="1"/>
  <c r="R27" i="9"/>
  <c r="O11" i="9" s="1"/>
  <c r="R31" i="9"/>
  <c r="O15" i="9" s="1"/>
  <c r="R35" i="9"/>
  <c r="O19" i="9" s="1"/>
  <c r="R39" i="9"/>
  <c r="R43" i="9"/>
  <c r="R12" i="9"/>
  <c r="R16" i="9"/>
  <c r="R20" i="9"/>
  <c r="L12" i="9" s="1"/>
  <c r="R24" i="9"/>
  <c r="L16" i="9" s="1"/>
  <c r="R28" i="9"/>
  <c r="R32" i="9"/>
  <c r="O16" i="9" s="1"/>
  <c r="R36" i="9"/>
  <c r="R40" i="9"/>
  <c r="R44" i="9"/>
  <c r="L14" i="9"/>
  <c r="I18" i="9"/>
  <c r="O20" i="9"/>
  <c r="L10" i="9"/>
  <c r="O13" i="9"/>
  <c r="O17" i="9"/>
  <c r="I14" i="9"/>
  <c r="I11" i="9"/>
  <c r="I15" i="9"/>
  <c r="O12" i="9"/>
  <c r="I16" i="9"/>
  <c r="K24" i="9" l="1"/>
  <c r="L24" i="9" s="1"/>
  <c r="K25" i="9"/>
  <c r="L25" i="9" s="1"/>
  <c r="K27" i="9"/>
  <c r="L27" i="9" s="1"/>
  <c r="K26" i="9"/>
  <c r="L26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<sst xmlns="http://schemas.openxmlformats.org/spreadsheetml/2006/main" count="6561" uniqueCount="96">
  <si>
    <t>Market Premium</t>
  </si>
  <si>
    <t>Price CDS</t>
  </si>
  <si>
    <t>Inputs</t>
  </si>
  <si>
    <t>Running</t>
  </si>
  <si>
    <t>Up-front</t>
  </si>
  <si>
    <t>Hazard Rate</t>
  </si>
  <si>
    <t>Risky Annuity</t>
  </si>
  <si>
    <t>Default Leg</t>
  </si>
  <si>
    <t>MTM</t>
  </si>
  <si>
    <t>Premium</t>
  </si>
  <si>
    <t>Interest Rate</t>
  </si>
  <si>
    <t>Recovery</t>
  </si>
  <si>
    <t>PD</t>
  </si>
  <si>
    <t>RDF</t>
  </si>
  <si>
    <t>Spread</t>
  </si>
  <si>
    <t>Hazard rate</t>
  </si>
  <si>
    <t>Survival</t>
  </si>
  <si>
    <t>Approx Surv</t>
  </si>
  <si>
    <t>Accurate</t>
  </si>
  <si>
    <t>Approximate</t>
  </si>
  <si>
    <t>A</t>
  </si>
  <si>
    <t>MiddleEast</t>
  </si>
  <si>
    <t>Utilities</t>
  </si>
  <si>
    <t>Japan</t>
  </si>
  <si>
    <t>Financials</t>
  </si>
  <si>
    <t>Europe</t>
  </si>
  <si>
    <t>N.Amer</t>
  </si>
  <si>
    <t>Basic Materials</t>
  </si>
  <si>
    <t>Consumer Goods</t>
  </si>
  <si>
    <t>Healthcare</t>
  </si>
  <si>
    <t>Technology</t>
  </si>
  <si>
    <t>Industrials</t>
  </si>
  <si>
    <t>Energy</t>
  </si>
  <si>
    <t>Telecommunications Services</t>
  </si>
  <si>
    <t>Lat.Amer</t>
  </si>
  <si>
    <t>Government</t>
  </si>
  <si>
    <t>Asia</t>
  </si>
  <si>
    <t>Consumer Services</t>
  </si>
  <si>
    <t>Oceania</t>
  </si>
  <si>
    <t>E.Eur</t>
  </si>
  <si>
    <t>Muni</t>
  </si>
  <si>
    <t>AA</t>
  </si>
  <si>
    <t>AAA</t>
  </si>
  <si>
    <t>B</t>
  </si>
  <si>
    <t>BB</t>
  </si>
  <si>
    <t>BBB</t>
  </si>
  <si>
    <t>CCC</t>
  </si>
  <si>
    <t>Rating</t>
  </si>
  <si>
    <t>Region</t>
  </si>
  <si>
    <t>Industry</t>
  </si>
  <si>
    <t>CDS</t>
  </si>
  <si>
    <t>LOG(CDS)</t>
  </si>
  <si>
    <t>Intercept</t>
  </si>
  <si>
    <t>CDS Data</t>
  </si>
  <si>
    <t>Rating Coefficients</t>
  </si>
  <si>
    <t>Region Coefficients</t>
  </si>
  <si>
    <t>Industry Coefficients</t>
  </si>
  <si>
    <t>Examples</t>
  </si>
  <si>
    <t xml:space="preserve">Industry </t>
  </si>
  <si>
    <t>Integrals</t>
  </si>
  <si>
    <t>Approximation</t>
  </si>
  <si>
    <t>DF</t>
  </si>
  <si>
    <t>XXX</t>
  </si>
  <si>
    <t>YYY</t>
  </si>
  <si>
    <t>ZZZ</t>
  </si>
  <si>
    <t>ZYX</t>
  </si>
  <si>
    <t>Interpolation</t>
  </si>
  <si>
    <t>Counterparty</t>
  </si>
  <si>
    <t>PWC</t>
  </si>
  <si>
    <t>Guess</t>
  </si>
  <si>
    <t>Calibrated</t>
  </si>
  <si>
    <t>Tenor</t>
  </si>
  <si>
    <t>a</t>
  </si>
  <si>
    <t>b</t>
  </si>
  <si>
    <t>vol</t>
  </si>
  <si>
    <t>h0</t>
  </si>
  <si>
    <t>Func</t>
  </si>
  <si>
    <t>Iterations</t>
  </si>
  <si>
    <t>Feller?</t>
  </si>
  <si>
    <t>LGD</t>
  </si>
  <si>
    <t>Cntpr Spd</t>
  </si>
  <si>
    <t>Cntr Surv</t>
  </si>
  <si>
    <t>CIR surv</t>
  </si>
  <si>
    <t>CIR PD</t>
  </si>
  <si>
    <t>CIR calibration</t>
  </si>
  <si>
    <t>Maturity</t>
  </si>
  <si>
    <t>Index spread</t>
  </si>
  <si>
    <t>Prem Leg</t>
  </si>
  <si>
    <t>Solve for premium</t>
  </si>
  <si>
    <t>Average spread</t>
  </si>
  <si>
    <t>Index Spread</t>
  </si>
  <si>
    <t xml:space="preserve">Basis </t>
  </si>
  <si>
    <t>Check</t>
  </si>
  <si>
    <t>Def Leg</t>
  </si>
  <si>
    <t>PV CDS</t>
  </si>
  <si>
    <t>PV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</si>
</sst>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-* #,##0\ _F_-;\-* #,##0\ _F_-;_-* &quot;-&quot;\ _F_-;_-@_-"/>
    <numFmt numFmtId="165" formatCode="_-* #,##0.00\ _F_-;\-* #,##0.00\ _F_-;_-* &quot;-&quot;??\ _F_-;_-@_-"/>
    <numFmt numFmtId="166" formatCode="_-* #,##0\ &quot;F&quot;_-;\-* #,##0\ &quot;F&quot;_-;_-* &quot;-&quot;\ &quot;F&quot;_-;_-@_-"/>
    <numFmt numFmtId="167" formatCode="_-* #,##0.00\ &quot;F&quot;_-;\-* #,##0.00\ &quot;F&quot;_-;_-* &quot;-&quot;??\ &quot;F&quot;_-;_-@_-"/>
    <numFmt numFmtId="168" formatCode="0.000000%"/>
    <numFmt numFmtId="169" formatCode="#,##0.0;\-#,##0.0"/>
    <numFmt numFmtId="170" formatCode="0.00000"/>
    <numFmt numFmtId="171" formatCode="0.0000"/>
    <numFmt numFmtId="172" formatCode="0.000%"/>
    <numFmt numFmtId="173" formatCode="0.000"/>
    <numFmt numFmtId="174" formatCode="0.000000"/>
    <numFmt numFmtId="175" formatCode="_-* #,##0_-;\-* #,##0_-;_-* &quot;-&quot;??_-;_-@_-"/>
    <numFmt numFmtId="176" formatCode="0.0"/>
    <numFmt numFmtId="177" formatCode="#,##0.0"/>
    <numFmt numFmtId="178" formatCode="0.0%"/>
  </numFmts>
  <fonts count="35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ans Serif"/>
      <family val="2"/>
    </font>
    <font>
      <sz val="8.5"/>
      <name val="MS Sans Serif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i/>
      <sz val="10"/>
      <name val="Arial"/>
      <family val="2"/>
    </font>
    <font>
      <b/>
      <sz val="24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Arial"/>
      <family val="2"/>
    </font>
    <font>
      <sz val="10"/>
      <color indexed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sz val="10"/>
      <color rgb="FF00B050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sz val="10"/>
      <color rgb="FFC00000"/>
      <name val="Arial"/>
      <family val="2"/>
    </font>
    <font>
      <b/>
      <sz val="10"/>
      <color indexed="8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9"/>
        <bgColor indexed="43"/>
      </patternFill>
    </fill>
    <fill>
      <patternFill patternType="mediumGray">
        <fgColor indexed="9"/>
        <b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</fills>
  <borders count="5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6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22" borderId="3" applyNumberFormat="0" applyFont="0" applyBorder="0" applyAlignment="0" applyProtection="0">
      <alignment horizontal="centerContinuous"/>
    </xf>
    <xf numFmtId="0" fontId="8" fillId="23" borderId="4" applyNumberFormat="0" applyBorder="0">
      <alignment horizontal="left"/>
    </xf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1" fillId="24" borderId="5" applyNumberFormat="0" applyFont="0" applyBorder="0" applyAlignment="0">
      <alignment horizontal="centerContinuous"/>
    </xf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4" fillId="0" borderId="8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>
      <alignment horizontal="right"/>
    </xf>
    <xf numFmtId="0" fontId="17" fillId="25" borderId="0" applyNumberFormat="0" applyBorder="0" applyAlignment="0" applyProtection="0"/>
    <xf numFmtId="0" fontId="2" fillId="0" borderId="0"/>
    <xf numFmtId="0" fontId="1" fillId="0" borderId="0"/>
    <xf numFmtId="0" fontId="1" fillId="0" borderId="0"/>
    <xf numFmtId="0" fontId="2" fillId="26" borderId="10" applyNumberFormat="0" applyFont="0" applyAlignment="0" applyProtection="0"/>
    <xf numFmtId="0" fontId="18" fillId="20" borderId="11" applyNumberFormat="0" applyAlignment="0" applyProtection="0"/>
    <xf numFmtId="9" fontId="1" fillId="0" borderId="0" applyFont="0" applyFill="0" applyBorder="0" applyAlignment="0" applyProtection="0"/>
    <xf numFmtId="0" fontId="19" fillId="27" borderId="12">
      <alignment horizontal="center"/>
    </xf>
    <xf numFmtId="0" fontId="1" fillId="0" borderId="0">
      <alignment horizontal="left" wrapText="1"/>
    </xf>
    <xf numFmtId="0" fontId="20" fillId="0" borderId="0">
      <alignment horizontal="center"/>
    </xf>
    <xf numFmtId="0" fontId="21" fillId="0" borderId="0" applyNumberFormat="0" applyFill="0" applyBorder="0" applyAlignment="0" applyProtection="0"/>
    <xf numFmtId="0" fontId="22" fillId="0" borderId="13" applyNumberFormat="0" applyFill="0" applyAlignment="0" applyProtection="0"/>
    <xf numFmtId="0" fontId="23" fillId="0" borderId="0" applyNumberFormat="0" applyFill="0" applyBorder="0" applyAlignment="0" applyProtection="0"/>
    <xf numFmtId="0" fontId="24" fillId="28" borderId="0">
      <alignment horizontal="right"/>
    </xf>
    <xf numFmtId="169" fontId="1" fillId="0" borderId="0">
      <alignment horizontal="center"/>
    </xf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2" fillId="0" borderId="0"/>
  </cellStyleXfs>
  <cellXfs count="252">
    <xf numFmtId="0" fontId="0" fillId="0" borderId="0" xfId="0"/>
    <xf numFmtId="0" fontId="1" fillId="27" borderId="0" xfId="46" applyFill="1"/>
    <xf numFmtId="0" fontId="0" fillId="0" borderId="0" xfId="0" applyBorder="1"/>
    <xf numFmtId="2" fontId="0" fillId="0" borderId="0" xfId="0" applyNumberFormat="1" applyBorder="1"/>
    <xf numFmtId="172" fontId="25" fillId="0" borderId="0" xfId="50" applyNumberFormat="1" applyFont="1" applyBorder="1"/>
    <xf numFmtId="172" fontId="1" fillId="0" borderId="0" xfId="50" applyNumberFormat="1" applyBorder="1" applyProtection="1">
      <protection locked="0"/>
    </xf>
    <xf numFmtId="0" fontId="0" fillId="0" borderId="0" xfId="0" applyBorder="1" applyProtection="1"/>
    <xf numFmtId="0" fontId="1" fillId="0" borderId="0" xfId="0" applyFont="1" applyBorder="1" applyProtection="1"/>
    <xf numFmtId="0" fontId="1" fillId="0" borderId="0" xfId="0" applyFont="1" applyFill="1" applyBorder="1" applyProtection="1"/>
    <xf numFmtId="2" fontId="1" fillId="0" borderId="0" xfId="0" applyNumberFormat="1" applyFont="1" applyBorder="1" applyProtection="1"/>
    <xf numFmtId="172" fontId="25" fillId="0" borderId="0" xfId="50" applyNumberFormat="1" applyFont="1" applyBorder="1" applyProtection="1"/>
    <xf numFmtId="10" fontId="1" fillId="0" borderId="0" xfId="50" applyNumberFormat="1" applyFont="1" applyBorder="1" applyProtection="1"/>
    <xf numFmtId="172" fontId="1" fillId="0" borderId="0" xfId="50" applyNumberFormat="1" applyFont="1" applyBorder="1" applyProtection="1"/>
    <xf numFmtId="172" fontId="1" fillId="0" borderId="0" xfId="50" applyNumberFormat="1" applyBorder="1" applyProtection="1"/>
    <xf numFmtId="10" fontId="1" fillId="0" borderId="0" xfId="50" applyNumberFormat="1" applyFont="1" applyBorder="1" applyAlignment="1" applyProtection="1">
      <alignment vertical="top" wrapText="1"/>
    </xf>
    <xf numFmtId="0" fontId="1" fillId="0" borderId="0" xfId="0" applyFont="1" applyBorder="1"/>
    <xf numFmtId="2" fontId="1" fillId="0" borderId="0" xfId="0" applyNumberFormat="1" applyFont="1" applyBorder="1"/>
    <xf numFmtId="172" fontId="1" fillId="0" borderId="0" xfId="50" applyNumberFormat="1" applyFont="1" applyBorder="1" applyProtection="1">
      <protection locked="0"/>
    </xf>
    <xf numFmtId="0" fontId="28" fillId="0" borderId="0" xfId="45" applyFont="1" applyProtection="1"/>
    <xf numFmtId="9" fontId="30" fillId="0" borderId="27" xfId="45" applyNumberFormat="1" applyFont="1" applyBorder="1" applyProtection="1">
      <protection locked="0"/>
    </xf>
    <xf numFmtId="10" fontId="30" fillId="0" borderId="29" xfId="50" applyNumberFormat="1" applyFont="1" applyBorder="1" applyProtection="1">
      <protection locked="0"/>
    </xf>
    <xf numFmtId="9" fontId="30" fillId="0" borderId="30" xfId="50" applyFont="1" applyBorder="1" applyProtection="1">
      <protection locked="0"/>
    </xf>
    <xf numFmtId="9" fontId="30" fillId="0" borderId="33" xfId="50" applyFont="1" applyBorder="1" applyProtection="1">
      <protection locked="0"/>
    </xf>
    <xf numFmtId="10" fontId="30" fillId="0" borderId="32" xfId="50" applyNumberFormat="1" applyFont="1" applyBorder="1" applyProtection="1">
      <protection locked="0"/>
    </xf>
    <xf numFmtId="172" fontId="31" fillId="0" borderId="0" xfId="50" applyNumberFormat="1" applyFont="1" applyBorder="1" applyProtection="1"/>
    <xf numFmtId="10" fontId="31" fillId="0" borderId="18" xfId="50" applyNumberFormat="1" applyFont="1" applyBorder="1" applyProtection="1"/>
    <xf numFmtId="172" fontId="31" fillId="0" borderId="20" xfId="50" applyNumberFormat="1" applyFont="1" applyBorder="1" applyProtection="1"/>
    <xf numFmtId="10" fontId="31" fillId="0" borderId="21" xfId="50" applyNumberFormat="1" applyFont="1" applyBorder="1" applyProtection="1"/>
    <xf numFmtId="10" fontId="30" fillId="0" borderId="28" xfId="50" applyNumberFormat="1" applyFont="1" applyBorder="1" applyProtection="1">
      <protection locked="0"/>
    </xf>
    <xf numFmtId="10" fontId="30" fillId="0" borderId="31" xfId="50" applyNumberFormat="1" applyFont="1" applyBorder="1" applyProtection="1">
      <protection locked="0"/>
    </xf>
    <xf numFmtId="10" fontId="31" fillId="0" borderId="30" xfId="50" applyNumberFormat="1" applyFont="1" applyBorder="1" applyProtection="1"/>
    <xf numFmtId="10" fontId="31" fillId="0" borderId="33" xfId="50" applyNumberFormat="1" applyFont="1" applyBorder="1" applyProtection="1"/>
    <xf numFmtId="10" fontId="27" fillId="0" borderId="0" xfId="50" applyNumberFormat="1" applyFont="1" applyBorder="1" applyProtection="1"/>
    <xf numFmtId="10" fontId="27" fillId="0" borderId="18" xfId="50" applyNumberFormat="1" applyFont="1" applyFill="1" applyBorder="1" applyProtection="1"/>
    <xf numFmtId="10" fontId="27" fillId="0" borderId="20" xfId="50" applyNumberFormat="1" applyFont="1" applyBorder="1" applyProtection="1"/>
    <xf numFmtId="10" fontId="27" fillId="0" borderId="21" xfId="50" applyNumberFormat="1" applyFont="1" applyFill="1" applyBorder="1" applyProtection="1"/>
    <xf numFmtId="10" fontId="27" fillId="0" borderId="17" xfId="50" applyNumberFormat="1" applyFont="1" applyBorder="1" applyProtection="1"/>
    <xf numFmtId="10" fontId="27" fillId="0" borderId="19" xfId="50" applyNumberFormat="1" applyFont="1" applyBorder="1" applyProtection="1"/>
    <xf numFmtId="10" fontId="27" fillId="0" borderId="17" xfId="50" applyNumberFormat="1" applyFont="1" applyBorder="1"/>
    <xf numFmtId="10" fontId="27" fillId="0" borderId="19" xfId="50" applyNumberFormat="1" applyFont="1" applyBorder="1"/>
    <xf numFmtId="1" fontId="1" fillId="0" borderId="0" xfId="50" applyNumberFormat="1" applyBorder="1" applyProtection="1"/>
    <xf numFmtId="171" fontId="1" fillId="0" borderId="0" xfId="50" applyNumberFormat="1" applyFont="1" applyBorder="1" applyProtection="1"/>
    <xf numFmtId="171" fontId="0" fillId="0" borderId="0" xfId="0" applyNumberFormat="1" applyBorder="1" applyProtection="1"/>
    <xf numFmtId="171" fontId="1" fillId="0" borderId="0" xfId="50" applyNumberFormat="1" applyBorder="1" applyProtection="1"/>
    <xf numFmtId="173" fontId="1" fillId="0" borderId="0" xfId="0" applyNumberFormat="1" applyFont="1" applyBorder="1" applyProtection="1"/>
    <xf numFmtId="0" fontId="30" fillId="0" borderId="0" xfId="0" applyFont="1" applyBorder="1" applyProtection="1"/>
    <xf numFmtId="0" fontId="30" fillId="0" borderId="28" xfId="0" applyFont="1" applyBorder="1" applyProtection="1"/>
    <xf numFmtId="0" fontId="30" fillId="0" borderId="17" xfId="0" applyFont="1" applyBorder="1" applyProtection="1"/>
    <xf numFmtId="0" fontId="1" fillId="0" borderId="40" xfId="0" applyFont="1" applyBorder="1" applyAlignment="1" applyProtection="1">
      <alignment horizontal="center"/>
    </xf>
    <xf numFmtId="0" fontId="1" fillId="0" borderId="41" xfId="0" applyFont="1" applyBorder="1" applyAlignment="1" applyProtection="1">
      <alignment horizontal="center"/>
    </xf>
    <xf numFmtId="0" fontId="1" fillId="0" borderId="42" xfId="0" applyFont="1" applyBorder="1" applyAlignment="1" applyProtection="1">
      <alignment horizontal="center"/>
    </xf>
    <xf numFmtId="0" fontId="28" fillId="0" borderId="41" xfId="45" applyFont="1" applyBorder="1" applyAlignment="1" applyProtection="1">
      <alignment horizontal="center"/>
    </xf>
    <xf numFmtId="0" fontId="1" fillId="0" borderId="43" xfId="0" applyFont="1" applyFill="1" applyBorder="1" applyAlignment="1" applyProtection="1">
      <alignment horizontal="center"/>
    </xf>
    <xf numFmtId="0" fontId="30" fillId="0" borderId="28" xfId="0" applyFont="1" applyBorder="1" applyAlignment="1" applyProtection="1">
      <alignment horizontal="center"/>
    </xf>
    <xf numFmtId="0" fontId="30" fillId="0" borderId="17" xfId="0" applyFont="1" applyBorder="1" applyAlignment="1" applyProtection="1">
      <alignment horizontal="center"/>
    </xf>
    <xf numFmtId="0" fontId="30" fillId="0" borderId="0" xfId="0" applyFont="1" applyBorder="1" applyAlignment="1" applyProtection="1">
      <alignment horizontal="center"/>
    </xf>
    <xf numFmtId="0" fontId="30" fillId="0" borderId="28" xfId="0" applyFont="1" applyBorder="1" applyAlignment="1">
      <alignment horizontal="center"/>
    </xf>
    <xf numFmtId="0" fontId="30" fillId="0" borderId="17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31" xfId="0" applyFont="1" applyBorder="1" applyAlignment="1">
      <alignment horizontal="center"/>
    </xf>
    <xf numFmtId="0" fontId="30" fillId="0" borderId="19" xfId="0" applyFont="1" applyBorder="1" applyAlignment="1">
      <alignment horizontal="center"/>
    </xf>
    <xf numFmtId="0" fontId="30" fillId="0" borderId="20" xfId="0" applyFont="1" applyBorder="1" applyAlignment="1">
      <alignment horizontal="center"/>
    </xf>
    <xf numFmtId="10" fontId="30" fillId="0" borderId="17" xfId="50" applyNumberFormat="1" applyFont="1" applyBorder="1"/>
    <xf numFmtId="10" fontId="30" fillId="0" borderId="19" xfId="50" applyNumberFormat="1" applyFont="1" applyBorder="1"/>
    <xf numFmtId="0" fontId="0" fillId="0" borderId="28" xfId="0" applyBorder="1"/>
    <xf numFmtId="171" fontId="1" fillId="0" borderId="18" xfId="0" applyNumberFormat="1" applyFont="1" applyBorder="1" applyProtection="1"/>
    <xf numFmtId="0" fontId="0" fillId="0" borderId="31" xfId="0" applyBorder="1"/>
    <xf numFmtId="171" fontId="1" fillId="0" borderId="21" xfId="0" applyNumberFormat="1" applyFont="1" applyBorder="1" applyProtection="1"/>
    <xf numFmtId="0" fontId="1" fillId="0" borderId="0" xfId="0" applyFont="1" applyBorder="1" applyAlignment="1" applyProtection="1"/>
    <xf numFmtId="0" fontId="1" fillId="0" borderId="22" xfId="0" applyFont="1" applyFill="1" applyBorder="1" applyProtection="1"/>
    <xf numFmtId="0" fontId="30" fillId="0" borderId="26" xfId="0" applyFont="1" applyBorder="1" applyProtection="1"/>
    <xf numFmtId="0" fontId="30" fillId="0" borderId="39" xfId="0" applyFont="1" applyBorder="1" applyProtection="1"/>
    <xf numFmtId="0" fontId="30" fillId="0" borderId="31" xfId="0" applyFont="1" applyBorder="1" applyProtection="1"/>
    <xf numFmtId="0" fontId="30" fillId="0" borderId="20" xfId="0" applyFont="1" applyBorder="1" applyProtection="1"/>
    <xf numFmtId="0" fontId="30" fillId="0" borderId="45" xfId="0" applyFont="1" applyBorder="1" applyProtection="1"/>
    <xf numFmtId="0" fontId="30" fillId="0" borderId="19" xfId="0" applyFont="1" applyBorder="1" applyProtection="1"/>
    <xf numFmtId="171" fontId="33" fillId="0" borderId="44" xfId="0" applyNumberFormat="1" applyFont="1" applyBorder="1" applyProtection="1"/>
    <xf numFmtId="171" fontId="33" fillId="0" borderId="30" xfId="0" applyNumberFormat="1" applyFont="1" applyBorder="1" applyProtection="1"/>
    <xf numFmtId="171" fontId="33" fillId="0" borderId="33" xfId="0" applyNumberFormat="1" applyFont="1" applyBorder="1" applyProtection="1"/>
    <xf numFmtId="171" fontId="33" fillId="0" borderId="24" xfId="0" applyNumberFormat="1" applyFont="1" applyBorder="1" applyProtection="1"/>
    <xf numFmtId="173" fontId="33" fillId="0" borderId="45" xfId="0" applyNumberFormat="1" applyFont="1" applyBorder="1" applyProtection="1"/>
    <xf numFmtId="172" fontId="33" fillId="0" borderId="34" xfId="50" applyNumberFormat="1" applyFont="1" applyBorder="1" applyProtection="1"/>
    <xf numFmtId="173" fontId="33" fillId="0" borderId="17" xfId="0" applyNumberFormat="1" applyFont="1" applyBorder="1" applyProtection="1"/>
    <xf numFmtId="172" fontId="33" fillId="0" borderId="18" xfId="50" applyNumberFormat="1" applyFont="1" applyBorder="1" applyProtection="1"/>
    <xf numFmtId="173" fontId="33" fillId="0" borderId="19" xfId="0" applyNumberFormat="1" applyFont="1" applyBorder="1" applyProtection="1"/>
    <xf numFmtId="172" fontId="33" fillId="0" borderId="21" xfId="50" applyNumberFormat="1" applyFont="1" applyBorder="1" applyProtection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59"/>
    <xf numFmtId="0" fontId="28" fillId="0" borderId="0" xfId="45" applyFont="1"/>
    <xf numFmtId="0" fontId="1" fillId="0" borderId="0" xfId="47"/>
    <xf numFmtId="0" fontId="28" fillId="0" borderId="22" xfId="45" applyFont="1" applyBorder="1" applyAlignment="1">
      <alignment horizontal="center"/>
    </xf>
    <xf numFmtId="0" fontId="28" fillId="0" borderId="23" xfId="45" applyFont="1" applyBorder="1" applyAlignment="1">
      <alignment horizontal="center"/>
    </xf>
    <xf numFmtId="0" fontId="28" fillId="0" borderId="24" xfId="45" applyFont="1" applyBorder="1" applyAlignment="1">
      <alignment horizontal="center"/>
    </xf>
    <xf numFmtId="0" fontId="28" fillId="0" borderId="25" xfId="45" applyFont="1" applyBorder="1" applyAlignment="1">
      <alignment horizontal="center"/>
    </xf>
    <xf numFmtId="0" fontId="28" fillId="0" borderId="15" xfId="45" applyFont="1" applyBorder="1" applyAlignment="1">
      <alignment horizontal="center"/>
    </xf>
    <xf numFmtId="0" fontId="28" fillId="0" borderId="16" xfId="45" applyFont="1" applyBorder="1" applyAlignment="1">
      <alignment horizontal="center"/>
    </xf>
    <xf numFmtId="0" fontId="28" fillId="0" borderId="14" xfId="45" applyFont="1" applyBorder="1" applyAlignment="1">
      <alignment horizontal="center"/>
    </xf>
    <xf numFmtId="0" fontId="28" fillId="0" borderId="22" xfId="45" applyFont="1" applyBorder="1"/>
    <xf numFmtId="0" fontId="28" fillId="0" borderId="24" xfId="45" applyFont="1" applyBorder="1"/>
    <xf numFmtId="0" fontId="28" fillId="0" borderId="26" xfId="45" applyFont="1" applyBorder="1"/>
    <xf numFmtId="0" fontId="28" fillId="0" borderId="28" xfId="45" applyFont="1" applyBorder="1"/>
    <xf numFmtId="171" fontId="31" fillId="0" borderId="17" xfId="45" applyNumberFormat="1" applyFont="1" applyBorder="1"/>
    <xf numFmtId="171" fontId="31" fillId="0" borderId="0" xfId="45" applyNumberFormat="1" applyFont="1"/>
    <xf numFmtId="170" fontId="31" fillId="0" borderId="17" xfId="45" applyNumberFormat="1" applyFont="1" applyBorder="1"/>
    <xf numFmtId="2" fontId="1" fillId="0" borderId="35" xfId="59" applyNumberFormat="1" applyBorder="1" applyAlignment="1">
      <alignment horizontal="center"/>
    </xf>
    <xf numFmtId="0" fontId="28" fillId="0" borderId="37" xfId="45" applyFont="1" applyBorder="1" applyAlignment="1">
      <alignment horizontal="center"/>
    </xf>
    <xf numFmtId="9" fontId="30" fillId="0" borderId="30" xfId="45" applyNumberFormat="1" applyFont="1" applyBorder="1" applyProtection="1">
      <protection locked="0"/>
    </xf>
    <xf numFmtId="2" fontId="28" fillId="0" borderId="28" xfId="45" applyNumberFormat="1" applyFont="1" applyBorder="1"/>
    <xf numFmtId="0" fontId="28" fillId="0" borderId="31" xfId="45" applyFont="1" applyBorder="1"/>
    <xf numFmtId="0" fontId="30" fillId="0" borderId="33" xfId="45" applyFont="1" applyBorder="1" applyAlignment="1">
      <alignment horizontal="right"/>
    </xf>
    <xf numFmtId="171" fontId="31" fillId="0" borderId="19" xfId="45" applyNumberFormat="1" applyFont="1" applyBorder="1"/>
    <xf numFmtId="171" fontId="31" fillId="0" borderId="20" xfId="45" applyNumberFormat="1" applyFont="1" applyBorder="1"/>
    <xf numFmtId="170" fontId="31" fillId="0" borderId="19" xfId="45" applyNumberFormat="1" applyFont="1" applyBorder="1"/>
    <xf numFmtId="172" fontId="31" fillId="0" borderId="0" xfId="50" applyNumberFormat="1" applyFont="1" applyFill="1" applyBorder="1" applyProtection="1"/>
    <xf numFmtId="0" fontId="1" fillId="0" borderId="36" xfId="59" applyBorder="1"/>
    <xf numFmtId="0" fontId="28" fillId="0" borderId="36" xfId="45" applyFont="1" applyBorder="1" applyAlignment="1">
      <alignment horizontal="center"/>
    </xf>
    <xf numFmtId="0" fontId="28" fillId="0" borderId="38" xfId="45" applyFont="1" applyBorder="1" applyAlignment="1">
      <alignment horizontal="center"/>
    </xf>
    <xf numFmtId="173" fontId="1" fillId="0" borderId="17" xfId="59" applyNumberFormat="1" applyBorder="1"/>
    <xf numFmtId="2" fontId="1" fillId="0" borderId="0" xfId="59" applyNumberFormat="1"/>
    <xf numFmtId="0" fontId="1" fillId="0" borderId="0" xfId="47" applyAlignment="1">
      <alignment vertical="top" wrapText="1"/>
    </xf>
    <xf numFmtId="2" fontId="28" fillId="0" borderId="0" xfId="45" applyNumberFormat="1" applyFont="1"/>
    <xf numFmtId="173" fontId="28" fillId="0" borderId="0" xfId="45" applyNumberFormat="1" applyFont="1"/>
    <xf numFmtId="2" fontId="28" fillId="0" borderId="31" xfId="45" applyNumberFormat="1" applyFont="1" applyBorder="1"/>
    <xf numFmtId="173" fontId="1" fillId="0" borderId="19" xfId="59" applyNumberFormat="1" applyBorder="1"/>
    <xf numFmtId="170" fontId="28" fillId="0" borderId="0" xfId="45" applyNumberFormat="1" applyFont="1"/>
    <xf numFmtId="174" fontId="28" fillId="0" borderId="0" xfId="45" applyNumberFormat="1" applyFont="1"/>
    <xf numFmtId="10" fontId="1" fillId="0" borderId="0" xfId="50" applyNumberFormat="1" applyFont="1" applyBorder="1" applyProtection="1">
      <protection locked="0"/>
    </xf>
    <xf numFmtId="0" fontId="30" fillId="0" borderId="30" xfId="45" applyFont="1" applyBorder="1" applyAlignment="1">
      <alignment horizontal="right"/>
    </xf>
    <xf numFmtId="0" fontId="1" fillId="27" borderId="0" xfId="60" applyFill="1"/>
    <xf numFmtId="0" fontId="1" fillId="0" borderId="0" xfId="61"/>
    <xf numFmtId="0" fontId="1" fillId="0" borderId="0" xfId="61" applyAlignment="1">
      <alignment horizontal="center"/>
    </xf>
    <xf numFmtId="0" fontId="1" fillId="0" borderId="35" xfId="61" applyBorder="1"/>
    <xf numFmtId="0" fontId="30" fillId="0" borderId="36" xfId="61" applyFont="1" applyBorder="1"/>
    <xf numFmtId="0" fontId="1" fillId="0" borderId="37" xfId="61" applyBorder="1"/>
    <xf numFmtId="0" fontId="1" fillId="0" borderId="38" xfId="61" applyBorder="1" applyAlignment="1">
      <alignment horizontal="center"/>
    </xf>
    <xf numFmtId="172" fontId="1" fillId="0" borderId="0" xfId="62" applyNumberFormat="1" applyFont="1" applyBorder="1" applyProtection="1"/>
    <xf numFmtId="0" fontId="1" fillId="0" borderId="40" xfId="61" applyBorder="1"/>
    <xf numFmtId="0" fontId="1" fillId="0" borderId="41" xfId="61" applyBorder="1"/>
    <xf numFmtId="0" fontId="1" fillId="0" borderId="28" xfId="61" applyBorder="1"/>
    <xf numFmtId="171" fontId="1" fillId="0" borderId="18" xfId="59" applyNumberFormat="1" applyBorder="1"/>
    <xf numFmtId="171" fontId="1" fillId="0" borderId="47" xfId="59" applyNumberFormat="1" applyBorder="1"/>
    <xf numFmtId="171" fontId="1" fillId="27" borderId="18" xfId="60" applyNumberFormat="1" applyFill="1" applyBorder="1"/>
    <xf numFmtId="0" fontId="1" fillId="0" borderId="18" xfId="61" applyBorder="1"/>
    <xf numFmtId="10" fontId="1" fillId="0" borderId="0" xfId="62" applyNumberFormat="1" applyFont="1" applyBorder="1" applyProtection="1">
      <protection locked="0"/>
    </xf>
    <xf numFmtId="10" fontId="1" fillId="0" borderId="0" xfId="62" applyNumberFormat="1" applyFont="1" applyBorder="1" applyProtection="1"/>
    <xf numFmtId="10" fontId="1" fillId="0" borderId="17" xfId="62" applyNumberFormat="1" applyFont="1" applyBorder="1"/>
    <xf numFmtId="10" fontId="1" fillId="0" borderId="18" xfId="62" applyNumberFormat="1" applyFont="1" applyBorder="1"/>
    <xf numFmtId="0" fontId="1" fillId="0" borderId="48" xfId="61" applyBorder="1"/>
    <xf numFmtId="11" fontId="1" fillId="0" borderId="0" xfId="61" applyNumberFormat="1"/>
    <xf numFmtId="175" fontId="0" fillId="0" borderId="0" xfId="63" applyNumberFormat="1" applyFont="1"/>
    <xf numFmtId="0" fontId="1" fillId="27" borderId="17" xfId="60" applyFill="1" applyBorder="1"/>
    <xf numFmtId="0" fontId="1" fillId="0" borderId="17" xfId="61" applyBorder="1"/>
    <xf numFmtId="176" fontId="30" fillId="0" borderId="0" xfId="61" applyNumberFormat="1" applyFont="1"/>
    <xf numFmtId="0" fontId="1" fillId="0" borderId="31" xfId="61" applyBorder="1"/>
    <xf numFmtId="0" fontId="1" fillId="0" borderId="19" xfId="61" applyBorder="1"/>
    <xf numFmtId="0" fontId="1" fillId="0" borderId="21" xfId="61" applyBorder="1" applyAlignment="1">
      <alignment horizontal="right"/>
    </xf>
    <xf numFmtId="9" fontId="30" fillId="0" borderId="41" xfId="61" applyNumberFormat="1" applyFont="1" applyBorder="1"/>
    <xf numFmtId="177" fontId="33" fillId="0" borderId="0" xfId="61" applyNumberFormat="1" applyFont="1"/>
    <xf numFmtId="176" fontId="30" fillId="0" borderId="0" xfId="62" applyNumberFormat="1" applyFont="1" applyBorder="1"/>
    <xf numFmtId="2" fontId="1" fillId="0" borderId="28" xfId="61" applyNumberFormat="1" applyBorder="1"/>
    <xf numFmtId="10" fontId="1" fillId="0" borderId="0" xfId="62" applyNumberFormat="1" applyFont="1" applyBorder="1"/>
    <xf numFmtId="10" fontId="1" fillId="0" borderId="0" xfId="61" applyNumberFormat="1"/>
    <xf numFmtId="2" fontId="1" fillId="0" borderId="31" xfId="61" applyNumberFormat="1" applyBorder="1"/>
    <xf numFmtId="10" fontId="1" fillId="0" borderId="19" xfId="62" applyNumberFormat="1" applyFont="1" applyBorder="1"/>
    <xf numFmtId="10" fontId="1" fillId="0" borderId="20" xfId="62" applyNumberFormat="1" applyFont="1" applyBorder="1"/>
    <xf numFmtId="2" fontId="1" fillId="0" borderId="0" xfId="61" applyNumberFormat="1"/>
    <xf numFmtId="178" fontId="1" fillId="0" borderId="0" xfId="62" applyNumberFormat="1" applyBorder="1"/>
    <xf numFmtId="10" fontId="30" fillId="0" borderId="0" xfId="62" applyNumberFormat="1" applyFont="1" applyBorder="1"/>
    <xf numFmtId="171" fontId="1" fillId="0" borderId="0" xfId="61" applyNumberFormat="1"/>
    <xf numFmtId="173" fontId="30" fillId="0" borderId="0" xfId="62" applyNumberFormat="1" applyFont="1" applyBorder="1"/>
    <xf numFmtId="172" fontId="30" fillId="0" borderId="0" xfId="62" applyNumberFormat="1" applyFont="1" applyBorder="1"/>
    <xf numFmtId="0" fontId="1" fillId="0" borderId="0" xfId="61" applyBorder="1" applyAlignment="1">
      <alignment horizontal="center"/>
    </xf>
    <xf numFmtId="178" fontId="1" fillId="0" borderId="0" xfId="62" applyNumberFormat="1" applyFont="1" applyBorder="1"/>
    <xf numFmtId="172" fontId="1" fillId="0" borderId="0" xfId="62" applyNumberFormat="1" applyFont="1" applyBorder="1"/>
    <xf numFmtId="0" fontId="1" fillId="0" borderId="0" xfId="61" applyBorder="1"/>
    <xf numFmtId="171" fontId="1" fillId="0" borderId="0" xfId="61" applyNumberFormat="1" applyBorder="1"/>
    <xf numFmtId="171" fontId="1" fillId="0" borderId="0" xfId="62" applyNumberFormat="1" applyFont="1" applyBorder="1"/>
    <xf numFmtId="2" fontId="1" fillId="0" borderId="0" xfId="61" applyNumberFormat="1" applyBorder="1"/>
    <xf numFmtId="176" fontId="33" fillId="0" borderId="0" xfId="61" applyNumberFormat="1" applyFont="1" applyBorder="1"/>
    <xf numFmtId="176" fontId="30" fillId="0" borderId="0" xfId="61" applyNumberFormat="1" applyFont="1" applyBorder="1"/>
    <xf numFmtId="0" fontId="1" fillId="0" borderId="4" xfId="61" applyBorder="1" applyAlignment="1">
      <alignment horizontal="left"/>
    </xf>
    <xf numFmtId="10" fontId="1" fillId="0" borderId="46" xfId="62" applyNumberFormat="1" applyFont="1" applyBorder="1"/>
    <xf numFmtId="0" fontId="1" fillId="0" borderId="12" xfId="61" applyBorder="1" applyAlignment="1">
      <alignment horizontal="left"/>
    </xf>
    <xf numFmtId="0" fontId="1" fillId="0" borderId="5" xfId="61" applyBorder="1" applyAlignment="1">
      <alignment horizontal="left"/>
    </xf>
    <xf numFmtId="171" fontId="30" fillId="27" borderId="46" xfId="60" applyNumberFormat="1" applyFont="1" applyFill="1" applyBorder="1"/>
    <xf numFmtId="171" fontId="30" fillId="27" borderId="17" xfId="60" applyNumberFormat="1" applyFont="1" applyFill="1" applyBorder="1"/>
    <xf numFmtId="171" fontId="30" fillId="27" borderId="49" xfId="60" applyNumberFormat="1" applyFont="1" applyFill="1" applyBorder="1"/>
    <xf numFmtId="10" fontId="1" fillId="0" borderId="21" xfId="62" applyNumberFormat="1" applyFont="1" applyBorder="1"/>
    <xf numFmtId="0" fontId="1" fillId="0" borderId="36" xfId="61" applyBorder="1" applyAlignment="1">
      <alignment horizontal="center"/>
    </xf>
    <xf numFmtId="0" fontId="1" fillId="0" borderId="50" xfId="61" applyBorder="1" applyAlignment="1">
      <alignment horizontal="center"/>
    </xf>
    <xf numFmtId="172" fontId="28" fillId="0" borderId="0" xfId="50" applyNumberFormat="1" applyFont="1" applyProtection="1"/>
    <xf numFmtId="172" fontId="28" fillId="0" borderId="0" xfId="50" applyNumberFormat="1" applyFont="1"/>
    <xf numFmtId="0" fontId="1" fillId="27" borderId="0" xfId="64" applyFill="1"/>
    <xf numFmtId="0" fontId="28" fillId="0" borderId="0" xfId="65" applyFont="1"/>
    <xf numFmtId="0" fontId="28" fillId="0" borderId="22" xfId="65" applyFont="1" applyBorder="1"/>
    <xf numFmtId="172" fontId="28" fillId="0" borderId="15" xfId="50" applyNumberFormat="1" applyFont="1" applyBorder="1"/>
    <xf numFmtId="0" fontId="28" fillId="0" borderId="15" xfId="65" applyFont="1" applyBorder="1"/>
    <xf numFmtId="0" fontId="28" fillId="0" borderId="14" xfId="65" applyFont="1" applyBorder="1"/>
    <xf numFmtId="0" fontId="29" fillId="0" borderId="26" xfId="65" applyFont="1" applyBorder="1"/>
    <xf numFmtId="0" fontId="28" fillId="0" borderId="39" xfId="65" applyFont="1" applyBorder="1"/>
    <xf numFmtId="0" fontId="28" fillId="0" borderId="34" xfId="65" applyFont="1" applyBorder="1"/>
    <xf numFmtId="10" fontId="25" fillId="0" borderId="28" xfId="50" applyNumberFormat="1" applyFont="1" applyBorder="1" applyProtection="1">
      <protection locked="0"/>
    </xf>
    <xf numFmtId="172" fontId="28" fillId="0" borderId="17" xfId="50" applyNumberFormat="1" applyFont="1" applyBorder="1"/>
    <xf numFmtId="171" fontId="28" fillId="0" borderId="17" xfId="65" applyNumberFormat="1" applyFont="1" applyBorder="1"/>
    <xf numFmtId="171" fontId="28" fillId="0" borderId="18" xfId="65" applyNumberFormat="1" applyFont="1" applyBorder="1"/>
    <xf numFmtId="0" fontId="28" fillId="0" borderId="26" xfId="65" applyFont="1" applyBorder="1"/>
    <xf numFmtId="9" fontId="25" fillId="0" borderId="27" xfId="65" applyNumberFormat="1" applyFont="1" applyBorder="1"/>
    <xf numFmtId="176" fontId="28" fillId="0" borderId="0" xfId="65" applyNumberFormat="1" applyFont="1"/>
    <xf numFmtId="0" fontId="28" fillId="0" borderId="28" xfId="65" applyFont="1" applyBorder="1"/>
    <xf numFmtId="9" fontId="25" fillId="0" borderId="30" xfId="65" applyNumberFormat="1" applyFont="1" applyBorder="1"/>
    <xf numFmtId="172" fontId="28" fillId="0" borderId="28" xfId="50" applyNumberFormat="1" applyFont="1" applyBorder="1"/>
    <xf numFmtId="10" fontId="28" fillId="0" borderId="17" xfId="50" applyNumberFormat="1" applyFont="1" applyBorder="1"/>
    <xf numFmtId="173" fontId="28" fillId="0" borderId="18" xfId="65" applyNumberFormat="1" applyFont="1" applyBorder="1"/>
    <xf numFmtId="0" fontId="25" fillId="0" borderId="30" xfId="65" applyFont="1" applyBorder="1"/>
    <xf numFmtId="10" fontId="28" fillId="0" borderId="30" xfId="50" applyNumberFormat="1" applyFont="1" applyBorder="1"/>
    <xf numFmtId="0" fontId="34" fillId="0" borderId="22" xfId="65" applyFont="1" applyBorder="1"/>
    <xf numFmtId="2" fontId="34" fillId="0" borderId="24" xfId="65" applyNumberFormat="1" applyFont="1" applyBorder="1"/>
    <xf numFmtId="172" fontId="28" fillId="0" borderId="31" xfId="50" applyNumberFormat="1" applyFont="1" applyBorder="1"/>
    <xf numFmtId="10" fontId="28" fillId="0" borderId="19" xfId="50" applyNumberFormat="1" applyFont="1" applyBorder="1"/>
    <xf numFmtId="173" fontId="28" fillId="0" borderId="21" xfId="65" applyNumberFormat="1" applyFont="1" applyBorder="1"/>
    <xf numFmtId="173" fontId="28" fillId="0" borderId="22" xfId="65" applyNumberFormat="1" applyFont="1" applyBorder="1"/>
    <xf numFmtId="0" fontId="28" fillId="0" borderId="31" xfId="65" applyFont="1" applyBorder="1"/>
    <xf numFmtId="171" fontId="28" fillId="0" borderId="19" xfId="65" applyNumberFormat="1" applyFont="1" applyBorder="1"/>
    <xf numFmtId="171" fontId="28" fillId="0" borderId="21" xfId="65" applyNumberFormat="1" applyFont="1" applyBorder="1"/>
    <xf numFmtId="0" fontId="2" fillId="0" borderId="0" xfId="65"/>
    <xf numFmtId="10" fontId="25" fillId="0" borderId="31" xfId="50" applyNumberFormat="1" applyFont="1" applyBorder="1" applyProtection="1">
      <protection locked="0"/>
    </xf>
    <xf numFmtId="172" fontId="28" fillId="0" borderId="19" xfId="50" applyNumberFormat="1" applyFont="1" applyBorder="1"/>
    <xf numFmtId="176" fontId="28" fillId="0" borderId="0" xfId="65" applyNumberFormat="1" applyFont="1" applyProtection="1">
      <protection locked="0"/>
    </xf>
    <xf numFmtId="10" fontId="28" fillId="0" borderId="0" xfId="50" applyNumberFormat="1" applyFont="1"/>
    <xf numFmtId="10" fontId="28" fillId="0" borderId="0" xfId="65" applyNumberFormat="1" applyFont="1"/>
    <xf numFmtId="10" fontId="2" fillId="0" borderId="0" xfId="50" applyNumberFormat="1" applyFont="1"/>
    <xf numFmtId="10" fontId="2" fillId="0" borderId="0" xfId="65" applyNumberFormat="1"/>
    <xf numFmtId="0" fontId="28" fillId="0" borderId="22" xfId="45" applyFont="1" applyBorder="1" applyAlignment="1">
      <alignment horizontal="center"/>
    </xf>
    <xf numFmtId="0" fontId="28" fillId="0" borderId="14" xfId="45" applyFont="1" applyBorder="1" applyAlignment="1">
      <alignment horizontal="center"/>
    </xf>
    <xf numFmtId="0" fontId="29" fillId="0" borderId="26" xfId="45" applyFont="1" applyBorder="1" applyAlignment="1">
      <alignment horizontal="center"/>
    </xf>
    <xf numFmtId="0" fontId="29" fillId="0" borderId="34" xfId="45" applyFont="1" applyBorder="1" applyAlignment="1">
      <alignment horizontal="center"/>
    </xf>
    <xf numFmtId="0" fontId="29" fillId="0" borderId="0" xfId="45" applyFont="1" applyAlignment="1">
      <alignment horizontal="center"/>
    </xf>
    <xf numFmtId="0" fontId="29" fillId="0" borderId="22" xfId="45" applyFont="1" applyBorder="1" applyAlignment="1">
      <alignment horizontal="center"/>
    </xf>
    <xf numFmtId="0" fontId="29" fillId="0" borderId="14" xfId="45" applyFont="1" applyBorder="1" applyAlignment="1">
      <alignment horizontal="center"/>
    </xf>
    <xf numFmtId="0" fontId="1" fillId="0" borderId="22" xfId="61" applyBorder="1" applyAlignment="1">
      <alignment horizontal="center"/>
    </xf>
    <xf numFmtId="0" fontId="1" fillId="0" borderId="16" xfId="61" applyBorder="1" applyAlignment="1">
      <alignment horizontal="center"/>
    </xf>
    <xf numFmtId="0" fontId="1" fillId="0" borderId="14" xfId="61" applyBorder="1" applyAlignment="1">
      <alignment horizontal="center"/>
    </xf>
    <xf numFmtId="0" fontId="32" fillId="0" borderId="35" xfId="0" applyFont="1" applyBorder="1" applyAlignment="1" applyProtection="1">
      <alignment horizontal="center"/>
    </xf>
    <xf numFmtId="0" fontId="32" fillId="0" borderId="38" xfId="0" applyFont="1" applyBorder="1" applyAlignment="1" applyProtection="1">
      <alignment horizontal="center"/>
    </xf>
    <xf numFmtId="0" fontId="32" fillId="0" borderId="22" xfId="0" applyFont="1" applyBorder="1" applyAlignment="1" applyProtection="1">
      <alignment horizontal="center"/>
    </xf>
    <xf numFmtId="0" fontId="32" fillId="0" borderId="16" xfId="0" applyFont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29" fillId="0" borderId="0" xfId="45" applyFont="1" applyBorder="1" applyAlignment="1" applyProtection="1">
      <alignment horizontal="center"/>
    </xf>
    <xf numFmtId="0" fontId="32" fillId="0" borderId="26" xfId="0" applyFont="1" applyBorder="1" applyAlignment="1">
      <alignment horizontal="center"/>
    </xf>
    <xf numFmtId="0" fontId="32" fillId="0" borderId="39" xfId="0" applyFont="1" applyBorder="1" applyAlignment="1">
      <alignment horizontal="center"/>
    </xf>
    <xf numFmtId="0" fontId="32" fillId="0" borderId="34" xfId="0" applyFont="1" applyBorder="1" applyAlignment="1">
      <alignment horizontal="center"/>
    </xf>
  </cellXfs>
  <cellStyles count="6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 4" xfId="63" xr:uid="{78987917-CEE7-4FC6-BDF3-9C846D5B7147}"/>
    <cellStyle name="Data" xfId="28" xr:uid="{00000000-0005-0000-0000-00001C000000}"/>
    <cellStyle name="DataInput" xfId="29" xr:uid="{00000000-0005-0000-0000-00001D000000}"/>
    <cellStyle name="Explanatory Text" xfId="30" builtinId="53" customBuiltin="1"/>
    <cellStyle name="Good" xfId="31" builtinId="26" customBuiltin="1"/>
    <cellStyle name="Header" xfId="32" xr:uid="{00000000-0005-0000-0000-000020000000}"/>
    <cellStyle name="Heading 1" xfId="33" builtinId="16" customBuiltin="1"/>
    <cellStyle name="Heading 2" xfId="34" builtinId="17" customBuiltin="1"/>
    <cellStyle name="Heading 3" xfId="35" builtinId="18" customBuiltin="1"/>
    <cellStyle name="Heading 4" xfId="36" builtinId="19" customBuiltin="1"/>
    <cellStyle name="Input" xfId="37" builtinId="20" customBuiltin="1"/>
    <cellStyle name="Linked Cell" xfId="38" builtinId="24" customBuiltin="1"/>
    <cellStyle name="Milliers [0]_rating factor" xfId="39" xr:uid="{00000000-0005-0000-0000-000027000000}"/>
    <cellStyle name="Milliers_rating factor" xfId="40" xr:uid="{00000000-0005-0000-0000-000028000000}"/>
    <cellStyle name="Monétaire [0]_rating factor" xfId="41" xr:uid="{00000000-0005-0000-0000-000029000000}"/>
    <cellStyle name="Monétaire_rating factor" xfId="42" xr:uid="{00000000-0005-0000-0000-00002A000000}"/>
    <cellStyle name="Month" xfId="43" xr:uid="{00000000-0005-0000-0000-00002B000000}"/>
    <cellStyle name="Neutral" xfId="44" builtinId="28" customBuiltin="1"/>
    <cellStyle name="Normal" xfId="0" builtinId="0"/>
    <cellStyle name="Normal 2" xfId="59" xr:uid="{955ACFFB-FF64-43C2-B21A-0FDCB29C395B}"/>
    <cellStyle name="Normal 2 2" xfId="61" xr:uid="{96F733E7-333F-4B54-B1DD-A3D91A91A63D}"/>
    <cellStyle name="Normal 3" xfId="64" xr:uid="{EF6ECF31-0E00-4C34-88DC-3155F79D6D34}"/>
    <cellStyle name="Normal_CreditDerivsExamples" xfId="45" xr:uid="{00000000-0005-0000-0000-00002E000000}"/>
    <cellStyle name="Normal_CreditDerivsExamplesNew" xfId="65" xr:uid="{D9E01CA5-97B9-449D-80BA-E977A1922195}"/>
    <cellStyle name="Normal_LFS_CollateralandCntrptyRisk" xfId="46" xr:uid="{00000000-0005-0000-0000-00002F000000}"/>
    <cellStyle name="Normal_LFS_CollateralandCntrptyRisk 2 2" xfId="60" xr:uid="{2F5D64C7-34DE-4981-B8D8-861D43FC81B2}"/>
    <cellStyle name="Normal_QTinRM3" xfId="47" xr:uid="{00000000-0005-0000-0000-000030000000}"/>
    <cellStyle name="Note" xfId="48" builtinId="10" customBuiltin="1"/>
    <cellStyle name="Output" xfId="49" builtinId="21" customBuiltin="1"/>
    <cellStyle name="Percent" xfId="50" builtinId="5"/>
    <cellStyle name="Percent 2 2" xfId="62" xr:uid="{B21BEF2D-B327-4248-B4D7-49CA8C13B80A}"/>
    <cellStyle name="PricingProducts" xfId="51" xr:uid="{00000000-0005-0000-0000-000034000000}"/>
    <cellStyle name="Style 1" xfId="52" xr:uid="{00000000-0005-0000-0000-000035000000}"/>
    <cellStyle name="TIMES" xfId="53" xr:uid="{00000000-0005-0000-0000-000036000000}"/>
    <cellStyle name="Title" xfId="54" builtinId="15" customBuiltin="1"/>
    <cellStyle name="Total" xfId="55" builtinId="25" customBuiltin="1"/>
    <cellStyle name="Warning Text" xfId="56" builtinId="11" customBuiltin="1"/>
    <cellStyle name="WASP_PLStyle" xfId="57" xr:uid="{00000000-0005-0000-0000-00003A000000}"/>
    <cellStyle name="Year" xfId="58" xr:uid="{00000000-0005-0000-0000-00003B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CDSCalibration!$J$20</c:f>
              <c:strCache>
                <c:ptCount val="1"/>
                <c:pt idx="0">
                  <c:v>Accurate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CDSCalibration!$E$21:$E$221</c:f>
              <c:numCache>
                <c:formatCode>0.00</c:formatCode>
                <c:ptCount val="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1.1500000000000001</c:v>
                </c:pt>
                <c:pt idx="24">
                  <c:v>1.2000000000000002</c:v>
                </c:pt>
                <c:pt idx="25">
                  <c:v>1.2500000000000002</c:v>
                </c:pt>
                <c:pt idx="26">
                  <c:v>1.3000000000000003</c:v>
                </c:pt>
                <c:pt idx="27">
                  <c:v>1.3500000000000003</c:v>
                </c:pt>
                <c:pt idx="28">
                  <c:v>1.4000000000000004</c:v>
                </c:pt>
                <c:pt idx="29">
                  <c:v>1.4500000000000004</c:v>
                </c:pt>
                <c:pt idx="30">
                  <c:v>1.5000000000000004</c:v>
                </c:pt>
                <c:pt idx="31">
                  <c:v>1.5500000000000005</c:v>
                </c:pt>
                <c:pt idx="32">
                  <c:v>1.6000000000000005</c:v>
                </c:pt>
                <c:pt idx="33">
                  <c:v>1.6500000000000006</c:v>
                </c:pt>
                <c:pt idx="34">
                  <c:v>1.7000000000000006</c:v>
                </c:pt>
                <c:pt idx="35">
                  <c:v>1.7500000000000007</c:v>
                </c:pt>
                <c:pt idx="36">
                  <c:v>1.8000000000000007</c:v>
                </c:pt>
                <c:pt idx="37">
                  <c:v>1.8500000000000008</c:v>
                </c:pt>
                <c:pt idx="38">
                  <c:v>1.9000000000000008</c:v>
                </c:pt>
                <c:pt idx="39">
                  <c:v>1.9500000000000008</c:v>
                </c:pt>
                <c:pt idx="40">
                  <c:v>2</c:v>
                </c:pt>
                <c:pt idx="41">
                  <c:v>2.0499999999999998</c:v>
                </c:pt>
                <c:pt idx="42">
                  <c:v>2.0999999999999996</c:v>
                </c:pt>
                <c:pt idx="43">
                  <c:v>2.1499999999999995</c:v>
                </c:pt>
                <c:pt idx="44">
                  <c:v>2.1999999999999993</c:v>
                </c:pt>
                <c:pt idx="45">
                  <c:v>2.2499999999999991</c:v>
                </c:pt>
                <c:pt idx="46">
                  <c:v>2.2999999999999989</c:v>
                </c:pt>
                <c:pt idx="47">
                  <c:v>2.3499999999999988</c:v>
                </c:pt>
                <c:pt idx="48">
                  <c:v>2.3999999999999986</c:v>
                </c:pt>
                <c:pt idx="49">
                  <c:v>2.4499999999999984</c:v>
                </c:pt>
                <c:pt idx="50">
                  <c:v>2.4999999999999982</c:v>
                </c:pt>
                <c:pt idx="51">
                  <c:v>2.549999999999998</c:v>
                </c:pt>
                <c:pt idx="52">
                  <c:v>2.5999999999999979</c:v>
                </c:pt>
                <c:pt idx="53">
                  <c:v>2.6499999999999977</c:v>
                </c:pt>
                <c:pt idx="54">
                  <c:v>2.6999999999999975</c:v>
                </c:pt>
                <c:pt idx="55">
                  <c:v>2.7499999999999973</c:v>
                </c:pt>
                <c:pt idx="56">
                  <c:v>2.7999999999999972</c:v>
                </c:pt>
                <c:pt idx="57">
                  <c:v>2.849999999999997</c:v>
                </c:pt>
                <c:pt idx="58">
                  <c:v>2.8999999999999968</c:v>
                </c:pt>
                <c:pt idx="59">
                  <c:v>2.9499999999999966</c:v>
                </c:pt>
                <c:pt idx="60">
                  <c:v>3</c:v>
                </c:pt>
                <c:pt idx="61">
                  <c:v>3.05</c:v>
                </c:pt>
                <c:pt idx="62">
                  <c:v>3.0999999999999996</c:v>
                </c:pt>
                <c:pt idx="63">
                  <c:v>3.1499999999999995</c:v>
                </c:pt>
                <c:pt idx="64">
                  <c:v>3.1999999999999993</c:v>
                </c:pt>
                <c:pt idx="65">
                  <c:v>3.2499999999999991</c:v>
                </c:pt>
                <c:pt idx="66">
                  <c:v>3.2999999999999989</c:v>
                </c:pt>
                <c:pt idx="67">
                  <c:v>3.3499999999999988</c:v>
                </c:pt>
                <c:pt idx="68">
                  <c:v>3.3999999999999986</c:v>
                </c:pt>
                <c:pt idx="69">
                  <c:v>3.4499999999999984</c:v>
                </c:pt>
                <c:pt idx="70">
                  <c:v>3.4999999999999982</c:v>
                </c:pt>
                <c:pt idx="71">
                  <c:v>3.549999999999998</c:v>
                </c:pt>
                <c:pt idx="72">
                  <c:v>3.5999999999999979</c:v>
                </c:pt>
                <c:pt idx="73">
                  <c:v>3.6499999999999977</c:v>
                </c:pt>
                <c:pt idx="74">
                  <c:v>3.6999999999999975</c:v>
                </c:pt>
                <c:pt idx="75">
                  <c:v>3.7499999999999973</c:v>
                </c:pt>
                <c:pt idx="76">
                  <c:v>3.7999999999999972</c:v>
                </c:pt>
                <c:pt idx="77">
                  <c:v>3.849999999999997</c:v>
                </c:pt>
                <c:pt idx="78">
                  <c:v>3.8999999999999968</c:v>
                </c:pt>
                <c:pt idx="79">
                  <c:v>3.9499999999999966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4.1499999999999995</c:v>
                </c:pt>
                <c:pt idx="84">
                  <c:v>4.1999999999999993</c:v>
                </c:pt>
                <c:pt idx="85">
                  <c:v>4.2499999999999991</c:v>
                </c:pt>
                <c:pt idx="86">
                  <c:v>4.2999999999999989</c:v>
                </c:pt>
                <c:pt idx="87">
                  <c:v>4.3499999999999988</c:v>
                </c:pt>
                <c:pt idx="88">
                  <c:v>4.3999999999999986</c:v>
                </c:pt>
                <c:pt idx="89">
                  <c:v>4.4499999999999984</c:v>
                </c:pt>
                <c:pt idx="90">
                  <c:v>4.4999999999999982</c:v>
                </c:pt>
                <c:pt idx="91">
                  <c:v>4.549999999999998</c:v>
                </c:pt>
                <c:pt idx="92">
                  <c:v>4.5999999999999979</c:v>
                </c:pt>
                <c:pt idx="93">
                  <c:v>4.6499999999999977</c:v>
                </c:pt>
                <c:pt idx="94">
                  <c:v>4.6999999999999975</c:v>
                </c:pt>
                <c:pt idx="95">
                  <c:v>4.7499999999999973</c:v>
                </c:pt>
                <c:pt idx="96">
                  <c:v>4.7999999999999972</c:v>
                </c:pt>
                <c:pt idx="97">
                  <c:v>4.849999999999997</c:v>
                </c:pt>
                <c:pt idx="98">
                  <c:v>4.8999999999999968</c:v>
                </c:pt>
                <c:pt idx="99">
                  <c:v>4.9499999999999966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5.1499999999999995</c:v>
                </c:pt>
                <c:pt idx="104">
                  <c:v>5.1999999999999993</c:v>
                </c:pt>
                <c:pt idx="105">
                  <c:v>5.2499999999999991</c:v>
                </c:pt>
                <c:pt idx="106">
                  <c:v>5.2999999999999989</c:v>
                </c:pt>
                <c:pt idx="107">
                  <c:v>5.3499999999999988</c:v>
                </c:pt>
                <c:pt idx="108">
                  <c:v>5.3999999999999986</c:v>
                </c:pt>
                <c:pt idx="109">
                  <c:v>5.4499999999999984</c:v>
                </c:pt>
                <c:pt idx="110">
                  <c:v>5.4999999999999982</c:v>
                </c:pt>
                <c:pt idx="111">
                  <c:v>5.549999999999998</c:v>
                </c:pt>
                <c:pt idx="112">
                  <c:v>5.5999999999999979</c:v>
                </c:pt>
                <c:pt idx="113">
                  <c:v>5.6499999999999977</c:v>
                </c:pt>
                <c:pt idx="114">
                  <c:v>5.6999999999999975</c:v>
                </c:pt>
                <c:pt idx="115">
                  <c:v>5.7499999999999973</c:v>
                </c:pt>
                <c:pt idx="116">
                  <c:v>5.7999999999999972</c:v>
                </c:pt>
                <c:pt idx="117">
                  <c:v>5.849999999999997</c:v>
                </c:pt>
                <c:pt idx="118">
                  <c:v>5.8999999999999968</c:v>
                </c:pt>
                <c:pt idx="119">
                  <c:v>5.9499999999999966</c:v>
                </c:pt>
                <c:pt idx="120">
                  <c:v>5.9999999999999964</c:v>
                </c:pt>
                <c:pt idx="121">
                  <c:v>6.0499999999999963</c:v>
                </c:pt>
                <c:pt idx="122">
                  <c:v>6.0999999999999961</c:v>
                </c:pt>
                <c:pt idx="123">
                  <c:v>6.1499999999999959</c:v>
                </c:pt>
                <c:pt idx="124">
                  <c:v>6.1999999999999957</c:v>
                </c:pt>
                <c:pt idx="125">
                  <c:v>6.2499999999999956</c:v>
                </c:pt>
                <c:pt idx="126">
                  <c:v>6.2999999999999954</c:v>
                </c:pt>
                <c:pt idx="127">
                  <c:v>6.3499999999999952</c:v>
                </c:pt>
                <c:pt idx="128">
                  <c:v>6.399999999999995</c:v>
                </c:pt>
                <c:pt idx="129">
                  <c:v>6.4499999999999948</c:v>
                </c:pt>
                <c:pt idx="130">
                  <c:v>6.4999999999999947</c:v>
                </c:pt>
                <c:pt idx="131">
                  <c:v>6.5499999999999945</c:v>
                </c:pt>
                <c:pt idx="132">
                  <c:v>6.5999999999999943</c:v>
                </c:pt>
                <c:pt idx="133">
                  <c:v>6.6499999999999941</c:v>
                </c:pt>
                <c:pt idx="134">
                  <c:v>6.699999999999994</c:v>
                </c:pt>
                <c:pt idx="135">
                  <c:v>6.7499999999999938</c:v>
                </c:pt>
                <c:pt idx="136">
                  <c:v>6.7999999999999936</c:v>
                </c:pt>
                <c:pt idx="137">
                  <c:v>6.8499999999999934</c:v>
                </c:pt>
                <c:pt idx="138">
                  <c:v>6.8999999999999932</c:v>
                </c:pt>
                <c:pt idx="139">
                  <c:v>6.9499999999999931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7.1499999999999995</c:v>
                </c:pt>
                <c:pt idx="144">
                  <c:v>7.1999999999999993</c:v>
                </c:pt>
                <c:pt idx="145">
                  <c:v>7.2499999999999991</c:v>
                </c:pt>
                <c:pt idx="146">
                  <c:v>7.2999999999999989</c:v>
                </c:pt>
                <c:pt idx="147">
                  <c:v>7.3499999999999988</c:v>
                </c:pt>
                <c:pt idx="148">
                  <c:v>7.3999999999999986</c:v>
                </c:pt>
                <c:pt idx="149">
                  <c:v>7.4499999999999984</c:v>
                </c:pt>
                <c:pt idx="150">
                  <c:v>7.4999999999999982</c:v>
                </c:pt>
                <c:pt idx="151">
                  <c:v>7.549999999999998</c:v>
                </c:pt>
                <c:pt idx="152">
                  <c:v>7.5999999999999979</c:v>
                </c:pt>
                <c:pt idx="153">
                  <c:v>7.6499999999999977</c:v>
                </c:pt>
                <c:pt idx="154">
                  <c:v>7.6999999999999975</c:v>
                </c:pt>
                <c:pt idx="155">
                  <c:v>7.7499999999999973</c:v>
                </c:pt>
                <c:pt idx="156">
                  <c:v>7.7999999999999972</c:v>
                </c:pt>
                <c:pt idx="157">
                  <c:v>7.849999999999997</c:v>
                </c:pt>
                <c:pt idx="158">
                  <c:v>7.8999999999999968</c:v>
                </c:pt>
                <c:pt idx="159">
                  <c:v>7.9499999999999966</c:v>
                </c:pt>
                <c:pt idx="160">
                  <c:v>7.9999999999999964</c:v>
                </c:pt>
                <c:pt idx="161">
                  <c:v>8.0499999999999972</c:v>
                </c:pt>
                <c:pt idx="162">
                  <c:v>8.0999999999999979</c:v>
                </c:pt>
                <c:pt idx="163">
                  <c:v>8.1499999999999986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8.3500000000000014</c:v>
                </c:pt>
                <c:pt idx="168">
                  <c:v>8.4000000000000021</c:v>
                </c:pt>
                <c:pt idx="169">
                  <c:v>8.4500000000000028</c:v>
                </c:pt>
                <c:pt idx="170">
                  <c:v>8.5000000000000036</c:v>
                </c:pt>
                <c:pt idx="171">
                  <c:v>8.5500000000000043</c:v>
                </c:pt>
                <c:pt idx="172">
                  <c:v>8.600000000000005</c:v>
                </c:pt>
                <c:pt idx="173">
                  <c:v>8.6500000000000057</c:v>
                </c:pt>
                <c:pt idx="174">
                  <c:v>8.7000000000000064</c:v>
                </c:pt>
                <c:pt idx="175">
                  <c:v>8.7500000000000071</c:v>
                </c:pt>
                <c:pt idx="176">
                  <c:v>8.8000000000000078</c:v>
                </c:pt>
                <c:pt idx="177">
                  <c:v>8.8500000000000085</c:v>
                </c:pt>
                <c:pt idx="178">
                  <c:v>8.9000000000000092</c:v>
                </c:pt>
                <c:pt idx="179">
                  <c:v>8.9500000000000099</c:v>
                </c:pt>
                <c:pt idx="180">
                  <c:v>9.0000000000000107</c:v>
                </c:pt>
                <c:pt idx="181">
                  <c:v>9.0500000000000114</c:v>
                </c:pt>
                <c:pt idx="182">
                  <c:v>9.1000000000000121</c:v>
                </c:pt>
                <c:pt idx="183">
                  <c:v>9.1500000000000128</c:v>
                </c:pt>
                <c:pt idx="184">
                  <c:v>9.2000000000000135</c:v>
                </c:pt>
                <c:pt idx="185">
                  <c:v>9.2500000000000142</c:v>
                </c:pt>
                <c:pt idx="186">
                  <c:v>9.3000000000000149</c:v>
                </c:pt>
                <c:pt idx="187">
                  <c:v>9.3500000000000156</c:v>
                </c:pt>
                <c:pt idx="188">
                  <c:v>9.4000000000000163</c:v>
                </c:pt>
                <c:pt idx="189">
                  <c:v>9.4500000000000171</c:v>
                </c:pt>
                <c:pt idx="190">
                  <c:v>9.5000000000000178</c:v>
                </c:pt>
                <c:pt idx="191">
                  <c:v>9.5500000000000185</c:v>
                </c:pt>
                <c:pt idx="192">
                  <c:v>9.6000000000000192</c:v>
                </c:pt>
                <c:pt idx="193">
                  <c:v>9.6500000000000199</c:v>
                </c:pt>
                <c:pt idx="194">
                  <c:v>9.7000000000000206</c:v>
                </c:pt>
                <c:pt idx="195">
                  <c:v>9.7500000000000213</c:v>
                </c:pt>
                <c:pt idx="196">
                  <c:v>9.800000000000022</c:v>
                </c:pt>
                <c:pt idx="197">
                  <c:v>9.8500000000000227</c:v>
                </c:pt>
                <c:pt idx="198">
                  <c:v>9.9000000000000234</c:v>
                </c:pt>
                <c:pt idx="199">
                  <c:v>9.9500000000000242</c:v>
                </c:pt>
                <c:pt idx="200">
                  <c:v>10.000000000000025</c:v>
                </c:pt>
              </c:numCache>
            </c:numRef>
          </c:xVal>
          <c:yVal>
            <c:numRef>
              <c:f>CDSCalibration!$J$21:$J$221</c:f>
              <c:numCache>
                <c:formatCode>0.00%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44-4BCE-BC92-6AA8C8B12BB6}"/>
            </c:ext>
          </c:extLst>
        </c:ser>
        <c:ser>
          <c:idx val="1"/>
          <c:order val="1"/>
          <c:tx>
            <c:strRef>
              <c:f>CDSCalibration!$M$20</c:f>
              <c:strCache>
                <c:ptCount val="1"/>
                <c:pt idx="0">
                  <c:v>Approximate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CDSCalibration!$E$21:$E$221</c:f>
              <c:numCache>
                <c:formatCode>0.00</c:formatCode>
                <c:ptCount val="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1.1500000000000001</c:v>
                </c:pt>
                <c:pt idx="24">
                  <c:v>1.2000000000000002</c:v>
                </c:pt>
                <c:pt idx="25">
                  <c:v>1.2500000000000002</c:v>
                </c:pt>
                <c:pt idx="26">
                  <c:v>1.3000000000000003</c:v>
                </c:pt>
                <c:pt idx="27">
                  <c:v>1.3500000000000003</c:v>
                </c:pt>
                <c:pt idx="28">
                  <c:v>1.4000000000000004</c:v>
                </c:pt>
                <c:pt idx="29">
                  <c:v>1.4500000000000004</c:v>
                </c:pt>
                <c:pt idx="30">
                  <c:v>1.5000000000000004</c:v>
                </c:pt>
                <c:pt idx="31">
                  <c:v>1.5500000000000005</c:v>
                </c:pt>
                <c:pt idx="32">
                  <c:v>1.6000000000000005</c:v>
                </c:pt>
                <c:pt idx="33">
                  <c:v>1.6500000000000006</c:v>
                </c:pt>
                <c:pt idx="34">
                  <c:v>1.7000000000000006</c:v>
                </c:pt>
                <c:pt idx="35">
                  <c:v>1.7500000000000007</c:v>
                </c:pt>
                <c:pt idx="36">
                  <c:v>1.8000000000000007</c:v>
                </c:pt>
                <c:pt idx="37">
                  <c:v>1.8500000000000008</c:v>
                </c:pt>
                <c:pt idx="38">
                  <c:v>1.9000000000000008</c:v>
                </c:pt>
                <c:pt idx="39">
                  <c:v>1.9500000000000008</c:v>
                </c:pt>
                <c:pt idx="40">
                  <c:v>2</c:v>
                </c:pt>
                <c:pt idx="41">
                  <c:v>2.0499999999999998</c:v>
                </c:pt>
                <c:pt idx="42">
                  <c:v>2.0999999999999996</c:v>
                </c:pt>
                <c:pt idx="43">
                  <c:v>2.1499999999999995</c:v>
                </c:pt>
                <c:pt idx="44">
                  <c:v>2.1999999999999993</c:v>
                </c:pt>
                <c:pt idx="45">
                  <c:v>2.2499999999999991</c:v>
                </c:pt>
                <c:pt idx="46">
                  <c:v>2.2999999999999989</c:v>
                </c:pt>
                <c:pt idx="47">
                  <c:v>2.3499999999999988</c:v>
                </c:pt>
                <c:pt idx="48">
                  <c:v>2.3999999999999986</c:v>
                </c:pt>
                <c:pt idx="49">
                  <c:v>2.4499999999999984</c:v>
                </c:pt>
                <c:pt idx="50">
                  <c:v>2.4999999999999982</c:v>
                </c:pt>
                <c:pt idx="51">
                  <c:v>2.549999999999998</c:v>
                </c:pt>
                <c:pt idx="52">
                  <c:v>2.5999999999999979</c:v>
                </c:pt>
                <c:pt idx="53">
                  <c:v>2.6499999999999977</c:v>
                </c:pt>
                <c:pt idx="54">
                  <c:v>2.6999999999999975</c:v>
                </c:pt>
                <c:pt idx="55">
                  <c:v>2.7499999999999973</c:v>
                </c:pt>
                <c:pt idx="56">
                  <c:v>2.7999999999999972</c:v>
                </c:pt>
                <c:pt idx="57">
                  <c:v>2.849999999999997</c:v>
                </c:pt>
                <c:pt idx="58">
                  <c:v>2.8999999999999968</c:v>
                </c:pt>
                <c:pt idx="59">
                  <c:v>2.9499999999999966</c:v>
                </c:pt>
                <c:pt idx="60">
                  <c:v>3</c:v>
                </c:pt>
                <c:pt idx="61">
                  <c:v>3.05</c:v>
                </c:pt>
                <c:pt idx="62">
                  <c:v>3.0999999999999996</c:v>
                </c:pt>
                <c:pt idx="63">
                  <c:v>3.1499999999999995</c:v>
                </c:pt>
                <c:pt idx="64">
                  <c:v>3.1999999999999993</c:v>
                </c:pt>
                <c:pt idx="65">
                  <c:v>3.2499999999999991</c:v>
                </c:pt>
                <c:pt idx="66">
                  <c:v>3.2999999999999989</c:v>
                </c:pt>
                <c:pt idx="67">
                  <c:v>3.3499999999999988</c:v>
                </c:pt>
                <c:pt idx="68">
                  <c:v>3.3999999999999986</c:v>
                </c:pt>
                <c:pt idx="69">
                  <c:v>3.4499999999999984</c:v>
                </c:pt>
                <c:pt idx="70">
                  <c:v>3.4999999999999982</c:v>
                </c:pt>
                <c:pt idx="71">
                  <c:v>3.549999999999998</c:v>
                </c:pt>
                <c:pt idx="72">
                  <c:v>3.5999999999999979</c:v>
                </c:pt>
                <c:pt idx="73">
                  <c:v>3.6499999999999977</c:v>
                </c:pt>
                <c:pt idx="74">
                  <c:v>3.6999999999999975</c:v>
                </c:pt>
                <c:pt idx="75">
                  <c:v>3.7499999999999973</c:v>
                </c:pt>
                <c:pt idx="76">
                  <c:v>3.7999999999999972</c:v>
                </c:pt>
                <c:pt idx="77">
                  <c:v>3.849999999999997</c:v>
                </c:pt>
                <c:pt idx="78">
                  <c:v>3.8999999999999968</c:v>
                </c:pt>
                <c:pt idx="79">
                  <c:v>3.9499999999999966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4.1499999999999995</c:v>
                </c:pt>
                <c:pt idx="84">
                  <c:v>4.1999999999999993</c:v>
                </c:pt>
                <c:pt idx="85">
                  <c:v>4.2499999999999991</c:v>
                </c:pt>
                <c:pt idx="86">
                  <c:v>4.2999999999999989</c:v>
                </c:pt>
                <c:pt idx="87">
                  <c:v>4.3499999999999988</c:v>
                </c:pt>
                <c:pt idx="88">
                  <c:v>4.3999999999999986</c:v>
                </c:pt>
                <c:pt idx="89">
                  <c:v>4.4499999999999984</c:v>
                </c:pt>
                <c:pt idx="90">
                  <c:v>4.4999999999999982</c:v>
                </c:pt>
                <c:pt idx="91">
                  <c:v>4.549999999999998</c:v>
                </c:pt>
                <c:pt idx="92">
                  <c:v>4.5999999999999979</c:v>
                </c:pt>
                <c:pt idx="93">
                  <c:v>4.6499999999999977</c:v>
                </c:pt>
                <c:pt idx="94">
                  <c:v>4.6999999999999975</c:v>
                </c:pt>
                <c:pt idx="95">
                  <c:v>4.7499999999999973</c:v>
                </c:pt>
                <c:pt idx="96">
                  <c:v>4.7999999999999972</c:v>
                </c:pt>
                <c:pt idx="97">
                  <c:v>4.849999999999997</c:v>
                </c:pt>
                <c:pt idx="98">
                  <c:v>4.8999999999999968</c:v>
                </c:pt>
                <c:pt idx="99">
                  <c:v>4.9499999999999966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5.1499999999999995</c:v>
                </c:pt>
                <c:pt idx="104">
                  <c:v>5.1999999999999993</c:v>
                </c:pt>
                <c:pt idx="105">
                  <c:v>5.2499999999999991</c:v>
                </c:pt>
                <c:pt idx="106">
                  <c:v>5.2999999999999989</c:v>
                </c:pt>
                <c:pt idx="107">
                  <c:v>5.3499999999999988</c:v>
                </c:pt>
                <c:pt idx="108">
                  <c:v>5.3999999999999986</c:v>
                </c:pt>
                <c:pt idx="109">
                  <c:v>5.4499999999999984</c:v>
                </c:pt>
                <c:pt idx="110">
                  <c:v>5.4999999999999982</c:v>
                </c:pt>
                <c:pt idx="111">
                  <c:v>5.549999999999998</c:v>
                </c:pt>
                <c:pt idx="112">
                  <c:v>5.5999999999999979</c:v>
                </c:pt>
                <c:pt idx="113">
                  <c:v>5.6499999999999977</c:v>
                </c:pt>
                <c:pt idx="114">
                  <c:v>5.6999999999999975</c:v>
                </c:pt>
                <c:pt idx="115">
                  <c:v>5.7499999999999973</c:v>
                </c:pt>
                <c:pt idx="116">
                  <c:v>5.7999999999999972</c:v>
                </c:pt>
                <c:pt idx="117">
                  <c:v>5.849999999999997</c:v>
                </c:pt>
                <c:pt idx="118">
                  <c:v>5.8999999999999968</c:v>
                </c:pt>
                <c:pt idx="119">
                  <c:v>5.9499999999999966</c:v>
                </c:pt>
                <c:pt idx="120">
                  <c:v>5.9999999999999964</c:v>
                </c:pt>
                <c:pt idx="121">
                  <c:v>6.0499999999999963</c:v>
                </c:pt>
                <c:pt idx="122">
                  <c:v>6.0999999999999961</c:v>
                </c:pt>
                <c:pt idx="123">
                  <c:v>6.1499999999999959</c:v>
                </c:pt>
                <c:pt idx="124">
                  <c:v>6.1999999999999957</c:v>
                </c:pt>
                <c:pt idx="125">
                  <c:v>6.2499999999999956</c:v>
                </c:pt>
                <c:pt idx="126">
                  <c:v>6.2999999999999954</c:v>
                </c:pt>
                <c:pt idx="127">
                  <c:v>6.3499999999999952</c:v>
                </c:pt>
                <c:pt idx="128">
                  <c:v>6.399999999999995</c:v>
                </c:pt>
                <c:pt idx="129">
                  <c:v>6.4499999999999948</c:v>
                </c:pt>
                <c:pt idx="130">
                  <c:v>6.4999999999999947</c:v>
                </c:pt>
                <c:pt idx="131">
                  <c:v>6.5499999999999945</c:v>
                </c:pt>
                <c:pt idx="132">
                  <c:v>6.5999999999999943</c:v>
                </c:pt>
                <c:pt idx="133">
                  <c:v>6.6499999999999941</c:v>
                </c:pt>
                <c:pt idx="134">
                  <c:v>6.699999999999994</c:v>
                </c:pt>
                <c:pt idx="135">
                  <c:v>6.7499999999999938</c:v>
                </c:pt>
                <c:pt idx="136">
                  <c:v>6.7999999999999936</c:v>
                </c:pt>
                <c:pt idx="137">
                  <c:v>6.8499999999999934</c:v>
                </c:pt>
                <c:pt idx="138">
                  <c:v>6.8999999999999932</c:v>
                </c:pt>
                <c:pt idx="139">
                  <c:v>6.9499999999999931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7.1499999999999995</c:v>
                </c:pt>
                <c:pt idx="144">
                  <c:v>7.1999999999999993</c:v>
                </c:pt>
                <c:pt idx="145">
                  <c:v>7.2499999999999991</c:v>
                </c:pt>
                <c:pt idx="146">
                  <c:v>7.2999999999999989</c:v>
                </c:pt>
                <c:pt idx="147">
                  <c:v>7.3499999999999988</c:v>
                </c:pt>
                <c:pt idx="148">
                  <c:v>7.3999999999999986</c:v>
                </c:pt>
                <c:pt idx="149">
                  <c:v>7.4499999999999984</c:v>
                </c:pt>
                <c:pt idx="150">
                  <c:v>7.4999999999999982</c:v>
                </c:pt>
                <c:pt idx="151">
                  <c:v>7.549999999999998</c:v>
                </c:pt>
                <c:pt idx="152">
                  <c:v>7.5999999999999979</c:v>
                </c:pt>
                <c:pt idx="153">
                  <c:v>7.6499999999999977</c:v>
                </c:pt>
                <c:pt idx="154">
                  <c:v>7.6999999999999975</c:v>
                </c:pt>
                <c:pt idx="155">
                  <c:v>7.7499999999999973</c:v>
                </c:pt>
                <c:pt idx="156">
                  <c:v>7.7999999999999972</c:v>
                </c:pt>
                <c:pt idx="157">
                  <c:v>7.849999999999997</c:v>
                </c:pt>
                <c:pt idx="158">
                  <c:v>7.8999999999999968</c:v>
                </c:pt>
                <c:pt idx="159">
                  <c:v>7.9499999999999966</c:v>
                </c:pt>
                <c:pt idx="160">
                  <c:v>7.9999999999999964</c:v>
                </c:pt>
                <c:pt idx="161">
                  <c:v>8.0499999999999972</c:v>
                </c:pt>
                <c:pt idx="162">
                  <c:v>8.0999999999999979</c:v>
                </c:pt>
                <c:pt idx="163">
                  <c:v>8.1499999999999986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8.3500000000000014</c:v>
                </c:pt>
                <c:pt idx="168">
                  <c:v>8.4000000000000021</c:v>
                </c:pt>
                <c:pt idx="169">
                  <c:v>8.4500000000000028</c:v>
                </c:pt>
                <c:pt idx="170">
                  <c:v>8.5000000000000036</c:v>
                </c:pt>
                <c:pt idx="171">
                  <c:v>8.5500000000000043</c:v>
                </c:pt>
                <c:pt idx="172">
                  <c:v>8.600000000000005</c:v>
                </c:pt>
                <c:pt idx="173">
                  <c:v>8.6500000000000057</c:v>
                </c:pt>
                <c:pt idx="174">
                  <c:v>8.7000000000000064</c:v>
                </c:pt>
                <c:pt idx="175">
                  <c:v>8.7500000000000071</c:v>
                </c:pt>
                <c:pt idx="176">
                  <c:v>8.8000000000000078</c:v>
                </c:pt>
                <c:pt idx="177">
                  <c:v>8.8500000000000085</c:v>
                </c:pt>
                <c:pt idx="178">
                  <c:v>8.9000000000000092</c:v>
                </c:pt>
                <c:pt idx="179">
                  <c:v>8.9500000000000099</c:v>
                </c:pt>
                <c:pt idx="180">
                  <c:v>9.0000000000000107</c:v>
                </c:pt>
                <c:pt idx="181">
                  <c:v>9.0500000000000114</c:v>
                </c:pt>
                <c:pt idx="182">
                  <c:v>9.1000000000000121</c:v>
                </c:pt>
                <c:pt idx="183">
                  <c:v>9.1500000000000128</c:v>
                </c:pt>
                <c:pt idx="184">
                  <c:v>9.2000000000000135</c:v>
                </c:pt>
                <c:pt idx="185">
                  <c:v>9.2500000000000142</c:v>
                </c:pt>
                <c:pt idx="186">
                  <c:v>9.3000000000000149</c:v>
                </c:pt>
                <c:pt idx="187">
                  <c:v>9.3500000000000156</c:v>
                </c:pt>
                <c:pt idx="188">
                  <c:v>9.4000000000000163</c:v>
                </c:pt>
                <c:pt idx="189">
                  <c:v>9.4500000000000171</c:v>
                </c:pt>
                <c:pt idx="190">
                  <c:v>9.5000000000000178</c:v>
                </c:pt>
                <c:pt idx="191">
                  <c:v>9.5500000000000185</c:v>
                </c:pt>
                <c:pt idx="192">
                  <c:v>9.6000000000000192</c:v>
                </c:pt>
                <c:pt idx="193">
                  <c:v>9.6500000000000199</c:v>
                </c:pt>
                <c:pt idx="194">
                  <c:v>9.7000000000000206</c:v>
                </c:pt>
                <c:pt idx="195">
                  <c:v>9.7500000000000213</c:v>
                </c:pt>
                <c:pt idx="196">
                  <c:v>9.800000000000022</c:v>
                </c:pt>
                <c:pt idx="197">
                  <c:v>9.8500000000000227</c:v>
                </c:pt>
                <c:pt idx="198">
                  <c:v>9.9000000000000234</c:v>
                </c:pt>
                <c:pt idx="199">
                  <c:v>9.9500000000000242</c:v>
                </c:pt>
                <c:pt idx="200">
                  <c:v>10.000000000000025</c:v>
                </c:pt>
              </c:numCache>
            </c:numRef>
          </c:xVal>
          <c:yVal>
            <c:numRef>
              <c:f>CDSCalibration!$M$21:$M$221</c:f>
              <c:numCache>
                <c:formatCode>0.00%</c:formatCode>
                <c:ptCount val="201"/>
                <c:pt idx="0">
                  <c:v>0</c:v>
                </c:pt>
                <c:pt idx="1">
                  <c:v>2.5658382573956473E-5</c:v>
                </c:pt>
                <c:pt idx="2">
                  <c:v>5.274374776031987E-5</c:v>
                </c:pt>
                <c:pt idx="3">
                  <c:v>8.1403028040938352E-5</c:v>
                </c:pt>
                <c:pt idx="4">
                  <c:v>1.1175858834044927E-4</c:v>
                </c:pt>
                <c:pt idx="5">
                  <c:v>1.4390830030475144E-4</c:v>
                </c:pt>
                <c:pt idx="6">
                  <c:v>1.7792550067097235E-4</c:v>
                </c:pt>
                <c:pt idx="7">
                  <c:v>2.1385900357162591E-4</c:v>
                </c:pt>
                <c:pt idx="8">
                  <c:v>2.5173316197713014E-4</c:v>
                </c:pt>
                <c:pt idx="9">
                  <c:v>2.9154764613015249E-4</c:v>
                </c:pt>
                <c:pt idx="10">
                  <c:v>3.332777755321592E-4</c:v>
                </c:pt>
                <c:pt idx="11">
                  <c:v>3.7687431333766064E-4</c:v>
                </c:pt>
                <c:pt idx="12">
                  <c:v>4.2226355240293501E-4</c:v>
                </c:pt>
                <c:pt idx="13">
                  <c:v>4.6934720802360719E-4</c:v>
                </c:pt>
                <c:pt idx="14">
                  <c:v>5.1800264338131008E-4</c:v>
                </c:pt>
                <c:pt idx="15">
                  <c:v>5.6808256821649916E-4</c:v>
                </c:pt>
                <c:pt idx="16">
                  <c:v>6.1941538756715708E-4</c:v>
                </c:pt>
                <c:pt idx="17">
                  <c:v>6.7180497201313472E-4</c:v>
                </c:pt>
                <c:pt idx="18">
                  <c:v>7.2503071530338747E-4</c:v>
                </c:pt>
                <c:pt idx="19">
                  <c:v>7.7884762887536763E-4</c:v>
                </c:pt>
                <c:pt idx="20">
                  <c:v>8.329862470898286E-4</c:v>
                </c:pt>
                <c:pt idx="21">
                  <c:v>8.871950818737373E-4</c:v>
                </c:pt>
                <c:pt idx="22">
                  <c:v>9.413841439652737E-4</c:v>
                </c:pt>
                <c:pt idx="23">
                  <c:v>9.9552570079830538E-4</c:v>
                </c:pt>
                <c:pt idx="24">
                  <c:v>1.049616026958855E-3</c:v>
                </c:pt>
                <c:pt idx="25">
                  <c:v>1.1036754761766243E-3</c:v>
                </c:pt>
                <c:pt idx="26">
                  <c:v>1.1577484025984131E-3</c:v>
                </c:pt>
                <c:pt idx="27">
                  <c:v>1.2119029504286116E-3</c:v>
                </c:pt>
                <c:pt idx="28">
                  <c:v>1.2662314853275625E-3</c:v>
                </c:pt>
                <c:pt idx="29">
                  <c:v>1.3208501478403356E-3</c:v>
                </c:pt>
                <c:pt idx="30">
                  <c:v>1.3758990214052247E-3</c:v>
                </c:pt>
                <c:pt idx="31">
                  <c:v>1.4315423187792886E-3</c:v>
                </c:pt>
                <c:pt idx="32">
                  <c:v>1.487968056327782E-3</c:v>
                </c:pt>
                <c:pt idx="33">
                  <c:v>1.5453882140507025E-3</c:v>
                </c:pt>
                <c:pt idx="34">
                  <c:v>1.6040387053489757E-3</c:v>
                </c:pt>
                <c:pt idx="35">
                  <c:v>1.6641793493621382E-3</c:v>
                </c:pt>
                <c:pt idx="36">
                  <c:v>1.7260938804920523E-3</c:v>
                </c:pt>
                <c:pt idx="37">
                  <c:v>1.7900899204130738E-3</c:v>
                </c:pt>
                <c:pt idx="38">
                  <c:v>1.8564989710788682E-3</c:v>
                </c:pt>
                <c:pt idx="39">
                  <c:v>1.9256764018565908E-3</c:v>
                </c:pt>
                <c:pt idx="40">
                  <c:v>1.9980014274720848E-3</c:v>
                </c:pt>
                <c:pt idx="41">
                  <c:v>2.0738420423190851E-3</c:v>
                </c:pt>
                <c:pt idx="42">
                  <c:v>2.1534429341225625E-3</c:v>
                </c:pt>
                <c:pt idx="43">
                  <c:v>2.2370187874130032E-3</c:v>
                </c:pt>
                <c:pt idx="44">
                  <c:v>2.3247874633174348E-3</c:v>
                </c:pt>
                <c:pt idx="45">
                  <c:v>2.4169704897026856E-3</c:v>
                </c:pt>
                <c:pt idx="46">
                  <c:v>2.5137923648256288E-3</c:v>
                </c:pt>
                <c:pt idx="47">
                  <c:v>2.6154808644668348E-3</c:v>
                </c:pt>
                <c:pt idx="48">
                  <c:v>2.7222674946660863E-3</c:v>
                </c:pt>
                <c:pt idx="49">
                  <c:v>2.8343862174288192E-3</c:v>
                </c:pt>
                <c:pt idx="50">
                  <c:v>2.9520750564258069E-3</c:v>
                </c:pt>
                <c:pt idx="51">
                  <c:v>3.0755748001352057E-3</c:v>
                </c:pt>
                <c:pt idx="52">
                  <c:v>3.2051295034216665E-3</c:v>
                </c:pt>
                <c:pt idx="53">
                  <c:v>3.3409866167790625E-3</c:v>
                </c:pt>
                <c:pt idx="54">
                  <c:v>3.4833965740007633E-3</c:v>
                </c:pt>
                <c:pt idx="55">
                  <c:v>3.6326129829128417E-3</c:v>
                </c:pt>
                <c:pt idx="56">
                  <c:v>3.7888927441330766E-3</c:v>
                </c:pt>
                <c:pt idx="57">
                  <c:v>3.9524957946114325E-3</c:v>
                </c:pt>
                <c:pt idx="58">
                  <c:v>4.1236850847348183E-3</c:v>
                </c:pt>
                <c:pt idx="59">
                  <c:v>4.3027268031207155E-3</c:v>
                </c:pt>
                <c:pt idx="60">
                  <c:v>4.4898900934766672E-3</c:v>
                </c:pt>
                <c:pt idx="61">
                  <c:v>4.6854060714029977E-3</c:v>
                </c:pt>
                <c:pt idx="62">
                  <c:v>4.8893387862136706E-3</c:v>
                </c:pt>
                <c:pt idx="63">
                  <c:v>5.1017007791144264E-3</c:v>
                </c:pt>
                <c:pt idx="64">
                  <c:v>5.3224897634798207E-3</c:v>
                </c:pt>
                <c:pt idx="65">
                  <c:v>5.5516917770784824E-3</c:v>
                </c:pt>
                <c:pt idx="66">
                  <c:v>5.7892792805748217E-3</c:v>
                </c:pt>
                <c:pt idx="67">
                  <c:v>6.0352127685917578E-3</c:v>
                </c:pt>
                <c:pt idx="68">
                  <c:v>6.2894392219422501E-3</c:v>
                </c:pt>
                <c:pt idx="69">
                  <c:v>6.5518917375373409E-3</c:v>
                </c:pt>
                <c:pt idx="70">
                  <c:v>6.8224925346781484E-3</c:v>
                </c:pt>
                <c:pt idx="71">
                  <c:v>7.1011495118139534E-3</c:v>
                </c:pt>
                <c:pt idx="72">
                  <c:v>7.3877587645457821E-3</c:v>
                </c:pt>
                <c:pt idx="73">
                  <c:v>7.6822024195447591E-3</c:v>
                </c:pt>
                <c:pt idx="74">
                  <c:v>7.9843512123977112E-3</c:v>
                </c:pt>
                <c:pt idx="75">
                  <c:v>8.2940617738279654E-3</c:v>
                </c:pt>
                <c:pt idx="76">
                  <c:v>8.6111792522886033E-3</c:v>
                </c:pt>
                <c:pt idx="77">
                  <c:v>8.935535434783981E-3</c:v>
                </c:pt>
                <c:pt idx="78">
                  <c:v>9.2669495583909134E-3</c:v>
                </c:pt>
                <c:pt idx="79">
                  <c:v>9.6052284862697679E-3</c:v>
                </c:pt>
                <c:pt idx="80">
                  <c:v>9.950166336890498E-3</c:v>
                </c:pt>
                <c:pt idx="81">
                  <c:v>1.0301580103617813E-2</c:v>
                </c:pt>
                <c:pt idx="82">
                  <c:v>1.0659417805001792E-2</c:v>
                </c:pt>
                <c:pt idx="83">
                  <c:v>1.1023662794956479E-2</c:v>
                </c:pt>
                <c:pt idx="84">
                  <c:v>1.1394291368024834E-2</c:v>
                </c:pt>
                <c:pt idx="85">
                  <c:v>1.1771279850279925E-2</c:v>
                </c:pt>
                <c:pt idx="86">
                  <c:v>1.2154603898795413E-2</c:v>
                </c:pt>
                <c:pt idx="87">
                  <c:v>1.2544234438279789E-2</c:v>
                </c:pt>
                <c:pt idx="88">
                  <c:v>1.2940141320389897E-2</c:v>
                </c:pt>
                <c:pt idx="89">
                  <c:v>1.3342290841418469E-2</c:v>
                </c:pt>
                <c:pt idx="90">
                  <c:v>1.3750647836370922E-2</c:v>
                </c:pt>
                <c:pt idx="91">
                  <c:v>1.4165175292851218E-2</c:v>
                </c:pt>
                <c:pt idx="92">
                  <c:v>1.4585834380687834E-2</c:v>
                </c:pt>
                <c:pt idx="93">
                  <c:v>1.5012581375574041E-2</c:v>
                </c:pt>
                <c:pt idx="94">
                  <c:v>1.5445373581400079E-2</c:v>
                </c:pt>
                <c:pt idx="95">
                  <c:v>1.5884163397109519E-2</c:v>
                </c:pt>
                <c:pt idx="96">
                  <c:v>1.6328902756590713E-2</c:v>
                </c:pt>
                <c:pt idx="97">
                  <c:v>1.67795403449571E-2</c:v>
                </c:pt>
                <c:pt idx="98">
                  <c:v>1.723602306985772E-2</c:v>
                </c:pt>
                <c:pt idx="99">
                  <c:v>1.7698295501480388E-2</c:v>
                </c:pt>
                <c:pt idx="100">
                  <c:v>1.8166299996509427E-2</c:v>
                </c:pt>
                <c:pt idx="101">
                  <c:v>1.8639969614675289E-2</c:v>
                </c:pt>
                <c:pt idx="102">
                  <c:v>1.9119201886986903E-2</c:v>
                </c:pt>
                <c:pt idx="103">
                  <c:v>1.9603891279513563E-2</c:v>
                </c:pt>
                <c:pt idx="104">
                  <c:v>2.0093914760246245E-2</c:v>
                </c:pt>
                <c:pt idx="105">
                  <c:v>2.0589159135861568E-2</c:v>
                </c:pt>
                <c:pt idx="106">
                  <c:v>2.1089499537472856E-2</c:v>
                </c:pt>
                <c:pt idx="107">
                  <c:v>2.1594808224470352E-2</c:v>
                </c:pt>
                <c:pt idx="108">
                  <c:v>2.2104956699037781E-2</c:v>
                </c:pt>
                <c:pt idx="109">
                  <c:v>2.2619808612192482E-2</c:v>
                </c:pt>
                <c:pt idx="110">
                  <c:v>2.3139227952094887E-2</c:v>
                </c:pt>
                <c:pt idx="111">
                  <c:v>2.3663071871099617E-2</c:v>
                </c:pt>
                <c:pt idx="112">
                  <c:v>2.4191193753940188E-2</c:v>
                </c:pt>
                <c:pt idx="113">
                  <c:v>2.4723446443824515E-2</c:v>
                </c:pt>
                <c:pt idx="114">
                  <c:v>2.525967484165581E-2</c:v>
                </c:pt>
                <c:pt idx="115">
                  <c:v>2.579972444542622E-2</c:v>
                </c:pt>
                <c:pt idx="116">
                  <c:v>2.6343433870801181E-2</c:v>
                </c:pt>
                <c:pt idx="117">
                  <c:v>2.6890638051022764E-2</c:v>
                </c:pt>
                <c:pt idx="118">
                  <c:v>2.7441171593555636E-2</c:v>
                </c:pt>
                <c:pt idx="119">
                  <c:v>2.7994861074058242E-2</c:v>
                </c:pt>
                <c:pt idx="120">
                  <c:v>2.8551533923972472E-2</c:v>
                </c:pt>
                <c:pt idx="121">
                  <c:v>2.9111009506711416E-2</c:v>
                </c:pt>
                <c:pt idx="122">
                  <c:v>2.9673108144999905E-2</c:v>
                </c:pt>
                <c:pt idx="123">
                  <c:v>3.0237643212381426E-2</c:v>
                </c:pt>
                <c:pt idx="124">
                  <c:v>3.0804425100138477E-2</c:v>
                </c:pt>
                <c:pt idx="125">
                  <c:v>3.1373261840484168E-2</c:v>
                </c:pt>
                <c:pt idx="126">
                  <c:v>3.1943957392157718E-2</c:v>
                </c:pt>
                <c:pt idx="127">
                  <c:v>3.2516312229799338E-2</c:v>
                </c:pt>
                <c:pt idx="128">
                  <c:v>3.3090123958863238E-2</c:v>
                </c:pt>
                <c:pt idx="129">
                  <c:v>3.3665184935792514E-2</c:v>
                </c:pt>
                <c:pt idx="130">
                  <c:v>3.4241285868107485E-2</c:v>
                </c:pt>
                <c:pt idx="131">
                  <c:v>3.4818213442452395E-2</c:v>
                </c:pt>
                <c:pt idx="132">
                  <c:v>3.5395751242222717E-2</c:v>
                </c:pt>
                <c:pt idx="133">
                  <c:v>3.5973678529243491E-2</c:v>
                </c:pt>
                <c:pt idx="134">
                  <c:v>3.6551772413574435E-2</c:v>
                </c:pt>
                <c:pt idx="135">
                  <c:v>3.7129805389789161E-2</c:v>
                </c:pt>
                <c:pt idx="136">
                  <c:v>3.7707547683518805E-2</c:v>
                </c:pt>
                <c:pt idx="137">
                  <c:v>3.8284765544944754E-2</c:v>
                </c:pt>
                <c:pt idx="138">
                  <c:v>3.886122196100561E-2</c:v>
                </c:pt>
                <c:pt idx="139">
                  <c:v>3.9436676789456282E-2</c:v>
                </c:pt>
                <c:pt idx="140">
                  <c:v>4.0010886408802904E-2</c:v>
                </c:pt>
                <c:pt idx="141">
                  <c:v>4.0583641032602258E-2</c:v>
                </c:pt>
                <c:pt idx="142">
                  <c:v>4.1154882518878111E-2</c:v>
                </c:pt>
                <c:pt idx="143">
                  <c:v>4.1724593524273157E-2</c:v>
                </c:pt>
                <c:pt idx="144">
                  <c:v>4.2292752408201295E-2</c:v>
                </c:pt>
                <c:pt idx="145">
                  <c:v>4.2859347681199811E-2</c:v>
                </c:pt>
                <c:pt idx="146">
                  <c:v>4.3424368062443652E-2</c:v>
                </c:pt>
                <c:pt idx="147">
                  <c:v>4.3987806688881581E-2</c:v>
                </c:pt>
                <c:pt idx="148">
                  <c:v>4.4549651969274406E-2</c:v>
                </c:pt>
                <c:pt idx="149">
                  <c:v>4.5109902702137106E-2</c:v>
                </c:pt>
                <c:pt idx="150">
                  <c:v>4.5668557732681081E-2</c:v>
                </c:pt>
                <c:pt idx="151">
                  <c:v>4.6225620552114322E-2</c:v>
                </c:pt>
                <c:pt idx="152">
                  <c:v>4.678108949916826E-2</c:v>
                </c:pt>
                <c:pt idx="153">
                  <c:v>4.7334973539546854E-2</c:v>
                </c:pt>
                <c:pt idx="154">
                  <c:v>4.7887281527099201E-2</c:v>
                </c:pt>
                <c:pt idx="155">
                  <c:v>4.8438027184423915E-2</c:v>
                </c:pt>
                <c:pt idx="156">
                  <c:v>4.8987218665280663E-2</c:v>
                </c:pt>
                <c:pt idx="157">
                  <c:v>4.9534875100530784E-2</c:v>
                </c:pt>
                <c:pt idx="158">
                  <c:v>5.0081014895517417E-2</c:v>
                </c:pt>
                <c:pt idx="159">
                  <c:v>5.0625659299865844E-2</c:v>
                </c:pt>
                <c:pt idx="160">
                  <c:v>5.1168834843521083E-2</c:v>
                </c:pt>
                <c:pt idx="161">
                  <c:v>5.1710561751763251E-2</c:v>
                </c:pt>
                <c:pt idx="162">
                  <c:v>5.225087131568007E-2</c:v>
                </c:pt>
                <c:pt idx="163">
                  <c:v>5.2789794542923874E-2</c:v>
                </c:pt>
                <c:pt idx="164">
                  <c:v>5.3327367818480909E-2</c:v>
                </c:pt>
                <c:pt idx="165">
                  <c:v>5.386362094188657E-2</c:v>
                </c:pt>
                <c:pt idx="166">
                  <c:v>5.4398595113303361E-2</c:v>
                </c:pt>
                <c:pt idx="167">
                  <c:v>5.4932332525096217E-2</c:v>
                </c:pt>
                <c:pt idx="168">
                  <c:v>5.5464874716814827E-2</c:v>
                </c:pt>
                <c:pt idx="169">
                  <c:v>5.5996264005854557E-2</c:v>
                </c:pt>
                <c:pt idx="170">
                  <c:v>5.6526554500407999E-2</c:v>
                </c:pt>
                <c:pt idx="171">
                  <c:v>5.7055791736384087E-2</c:v>
                </c:pt>
                <c:pt idx="172">
                  <c:v>5.7584031527842416E-2</c:v>
                </c:pt>
                <c:pt idx="173">
                  <c:v>5.8111325672958514E-2</c:v>
                </c:pt>
                <c:pt idx="174">
                  <c:v>5.8637734791121887E-2</c:v>
                </c:pt>
                <c:pt idx="175">
                  <c:v>5.9163315362189772E-2</c:v>
                </c:pt>
                <c:pt idx="176">
                  <c:v>5.968813278396079E-2</c:v>
                </c:pt>
                <c:pt idx="177">
                  <c:v>6.0212248193409978E-2</c:v>
                </c:pt>
                <c:pt idx="178">
                  <c:v>6.0735731739741561E-2</c:v>
                </c:pt>
                <c:pt idx="179">
                  <c:v>6.1258649192459047E-2</c:v>
                </c:pt>
                <c:pt idx="180">
                  <c:v>6.1781075424997112E-2</c:v>
                </c:pt>
                <c:pt idx="181">
                  <c:v>6.2303080814681389E-2</c:v>
                </c:pt>
                <c:pt idx="182">
                  <c:v>6.2824744931732512E-2</c:v>
                </c:pt>
                <c:pt idx="183">
                  <c:v>6.3346142736374844E-2</c:v>
                </c:pt>
                <c:pt idx="184">
                  <c:v>6.3867358467799895E-2</c:v>
                </c:pt>
                <c:pt idx="185">
                  <c:v>6.4388471643884726E-2</c:v>
                </c:pt>
                <c:pt idx="186">
                  <c:v>6.4909570249124915E-2</c:v>
                </c:pt>
                <c:pt idx="187">
                  <c:v>6.5430741019481542E-2</c:v>
                </c:pt>
                <c:pt idx="188">
                  <c:v>6.5952073853798199E-2</c:v>
                </c:pt>
                <c:pt idx="189">
                  <c:v>6.6473660923112132E-2</c:v>
                </c:pt>
                <c:pt idx="190">
                  <c:v>6.6995596663540491E-2</c:v>
                </c:pt>
                <c:pt idx="191">
                  <c:v>6.7517977769062543E-2</c:v>
                </c:pt>
                <c:pt idx="192">
                  <c:v>6.804090318419076E-2</c:v>
                </c:pt>
                <c:pt idx="193">
                  <c:v>6.8564473629890266E-2</c:v>
                </c:pt>
                <c:pt idx="194">
                  <c:v>6.908879346002339E-2</c:v>
                </c:pt>
                <c:pt idx="195">
                  <c:v>6.9613967861404169E-2</c:v>
                </c:pt>
                <c:pt idx="196">
                  <c:v>7.0140104704848993E-2</c:v>
                </c:pt>
                <c:pt idx="197">
                  <c:v>7.066731383492364E-2</c:v>
                </c:pt>
                <c:pt idx="198">
                  <c:v>7.1195708013239267E-2</c:v>
                </c:pt>
                <c:pt idx="199">
                  <c:v>7.1725401364404084E-2</c:v>
                </c:pt>
                <c:pt idx="200">
                  <c:v>7.2256510676148689E-2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44-4BCE-BC92-6AA8C8B12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060656"/>
        <c:axId val="821061312"/>
      </c:scatterChart>
      <c:valAx>
        <c:axId val="821060656"/>
        <c:scaling>
          <c:orientation val="minMax"/>
          <c:max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061312"/>
        <c:crosses val="autoZero"/>
        <c:crossBetween val="midCat"/>
      </c:valAx>
      <c:valAx>
        <c:axId val="8210613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Cummulative default 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060656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t"/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CDSCalibration!$H$20</c:f>
              <c:strCache>
                <c:ptCount val="1"/>
                <c:pt idx="0">
                  <c:v>Hazard 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CDSCalibration!$E$21:$E$221</c:f>
              <c:numCache>
                <c:formatCode>0.00</c:formatCode>
                <c:ptCount val="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1.1500000000000001</c:v>
                </c:pt>
                <c:pt idx="24">
                  <c:v>1.2000000000000002</c:v>
                </c:pt>
                <c:pt idx="25">
                  <c:v>1.2500000000000002</c:v>
                </c:pt>
                <c:pt idx="26">
                  <c:v>1.3000000000000003</c:v>
                </c:pt>
                <c:pt idx="27">
                  <c:v>1.3500000000000003</c:v>
                </c:pt>
                <c:pt idx="28">
                  <c:v>1.4000000000000004</c:v>
                </c:pt>
                <c:pt idx="29">
                  <c:v>1.4500000000000004</c:v>
                </c:pt>
                <c:pt idx="30">
                  <c:v>1.5000000000000004</c:v>
                </c:pt>
                <c:pt idx="31">
                  <c:v>1.5500000000000005</c:v>
                </c:pt>
                <c:pt idx="32">
                  <c:v>1.6000000000000005</c:v>
                </c:pt>
                <c:pt idx="33">
                  <c:v>1.6500000000000006</c:v>
                </c:pt>
                <c:pt idx="34">
                  <c:v>1.7000000000000006</c:v>
                </c:pt>
                <c:pt idx="35">
                  <c:v>1.7500000000000007</c:v>
                </c:pt>
                <c:pt idx="36">
                  <c:v>1.8000000000000007</c:v>
                </c:pt>
                <c:pt idx="37">
                  <c:v>1.8500000000000008</c:v>
                </c:pt>
                <c:pt idx="38">
                  <c:v>1.9000000000000008</c:v>
                </c:pt>
                <c:pt idx="39">
                  <c:v>1.9500000000000008</c:v>
                </c:pt>
                <c:pt idx="40">
                  <c:v>2</c:v>
                </c:pt>
                <c:pt idx="41">
                  <c:v>2.0499999999999998</c:v>
                </c:pt>
                <c:pt idx="42">
                  <c:v>2.0999999999999996</c:v>
                </c:pt>
                <c:pt idx="43">
                  <c:v>2.1499999999999995</c:v>
                </c:pt>
                <c:pt idx="44">
                  <c:v>2.1999999999999993</c:v>
                </c:pt>
                <c:pt idx="45">
                  <c:v>2.2499999999999991</c:v>
                </c:pt>
                <c:pt idx="46">
                  <c:v>2.2999999999999989</c:v>
                </c:pt>
                <c:pt idx="47">
                  <c:v>2.3499999999999988</c:v>
                </c:pt>
                <c:pt idx="48">
                  <c:v>2.3999999999999986</c:v>
                </c:pt>
                <c:pt idx="49">
                  <c:v>2.4499999999999984</c:v>
                </c:pt>
                <c:pt idx="50">
                  <c:v>2.4999999999999982</c:v>
                </c:pt>
                <c:pt idx="51">
                  <c:v>2.549999999999998</c:v>
                </c:pt>
                <c:pt idx="52">
                  <c:v>2.5999999999999979</c:v>
                </c:pt>
                <c:pt idx="53">
                  <c:v>2.6499999999999977</c:v>
                </c:pt>
                <c:pt idx="54">
                  <c:v>2.6999999999999975</c:v>
                </c:pt>
                <c:pt idx="55">
                  <c:v>2.7499999999999973</c:v>
                </c:pt>
                <c:pt idx="56">
                  <c:v>2.7999999999999972</c:v>
                </c:pt>
                <c:pt idx="57">
                  <c:v>2.849999999999997</c:v>
                </c:pt>
                <c:pt idx="58">
                  <c:v>2.8999999999999968</c:v>
                </c:pt>
                <c:pt idx="59">
                  <c:v>2.9499999999999966</c:v>
                </c:pt>
                <c:pt idx="60">
                  <c:v>3</c:v>
                </c:pt>
                <c:pt idx="61">
                  <c:v>3.05</c:v>
                </c:pt>
                <c:pt idx="62">
                  <c:v>3.0999999999999996</c:v>
                </c:pt>
                <c:pt idx="63">
                  <c:v>3.1499999999999995</c:v>
                </c:pt>
                <c:pt idx="64">
                  <c:v>3.1999999999999993</c:v>
                </c:pt>
                <c:pt idx="65">
                  <c:v>3.2499999999999991</c:v>
                </c:pt>
                <c:pt idx="66">
                  <c:v>3.2999999999999989</c:v>
                </c:pt>
                <c:pt idx="67">
                  <c:v>3.3499999999999988</c:v>
                </c:pt>
                <c:pt idx="68">
                  <c:v>3.3999999999999986</c:v>
                </c:pt>
                <c:pt idx="69">
                  <c:v>3.4499999999999984</c:v>
                </c:pt>
                <c:pt idx="70">
                  <c:v>3.4999999999999982</c:v>
                </c:pt>
                <c:pt idx="71">
                  <c:v>3.549999999999998</c:v>
                </c:pt>
                <c:pt idx="72">
                  <c:v>3.5999999999999979</c:v>
                </c:pt>
                <c:pt idx="73">
                  <c:v>3.6499999999999977</c:v>
                </c:pt>
                <c:pt idx="74">
                  <c:v>3.6999999999999975</c:v>
                </c:pt>
                <c:pt idx="75">
                  <c:v>3.7499999999999973</c:v>
                </c:pt>
                <c:pt idx="76">
                  <c:v>3.7999999999999972</c:v>
                </c:pt>
                <c:pt idx="77">
                  <c:v>3.849999999999997</c:v>
                </c:pt>
                <c:pt idx="78">
                  <c:v>3.8999999999999968</c:v>
                </c:pt>
                <c:pt idx="79">
                  <c:v>3.9499999999999966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4.1499999999999995</c:v>
                </c:pt>
                <c:pt idx="84">
                  <c:v>4.1999999999999993</c:v>
                </c:pt>
                <c:pt idx="85">
                  <c:v>4.2499999999999991</c:v>
                </c:pt>
                <c:pt idx="86">
                  <c:v>4.2999999999999989</c:v>
                </c:pt>
                <c:pt idx="87">
                  <c:v>4.3499999999999988</c:v>
                </c:pt>
                <c:pt idx="88">
                  <c:v>4.3999999999999986</c:v>
                </c:pt>
                <c:pt idx="89">
                  <c:v>4.4499999999999984</c:v>
                </c:pt>
                <c:pt idx="90">
                  <c:v>4.4999999999999982</c:v>
                </c:pt>
                <c:pt idx="91">
                  <c:v>4.549999999999998</c:v>
                </c:pt>
                <c:pt idx="92">
                  <c:v>4.5999999999999979</c:v>
                </c:pt>
                <c:pt idx="93">
                  <c:v>4.6499999999999977</c:v>
                </c:pt>
                <c:pt idx="94">
                  <c:v>4.6999999999999975</c:v>
                </c:pt>
                <c:pt idx="95">
                  <c:v>4.7499999999999973</c:v>
                </c:pt>
                <c:pt idx="96">
                  <c:v>4.7999999999999972</c:v>
                </c:pt>
                <c:pt idx="97">
                  <c:v>4.849999999999997</c:v>
                </c:pt>
                <c:pt idx="98">
                  <c:v>4.8999999999999968</c:v>
                </c:pt>
                <c:pt idx="99">
                  <c:v>4.9499999999999966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5.1499999999999995</c:v>
                </c:pt>
                <c:pt idx="104">
                  <c:v>5.1999999999999993</c:v>
                </c:pt>
                <c:pt idx="105">
                  <c:v>5.2499999999999991</c:v>
                </c:pt>
                <c:pt idx="106">
                  <c:v>5.2999999999999989</c:v>
                </c:pt>
                <c:pt idx="107">
                  <c:v>5.3499999999999988</c:v>
                </c:pt>
                <c:pt idx="108">
                  <c:v>5.3999999999999986</c:v>
                </c:pt>
                <c:pt idx="109">
                  <c:v>5.4499999999999984</c:v>
                </c:pt>
                <c:pt idx="110">
                  <c:v>5.4999999999999982</c:v>
                </c:pt>
                <c:pt idx="111">
                  <c:v>5.549999999999998</c:v>
                </c:pt>
                <c:pt idx="112">
                  <c:v>5.5999999999999979</c:v>
                </c:pt>
                <c:pt idx="113">
                  <c:v>5.6499999999999977</c:v>
                </c:pt>
                <c:pt idx="114">
                  <c:v>5.6999999999999975</c:v>
                </c:pt>
                <c:pt idx="115">
                  <c:v>5.7499999999999973</c:v>
                </c:pt>
                <c:pt idx="116">
                  <c:v>5.7999999999999972</c:v>
                </c:pt>
                <c:pt idx="117">
                  <c:v>5.849999999999997</c:v>
                </c:pt>
                <c:pt idx="118">
                  <c:v>5.8999999999999968</c:v>
                </c:pt>
                <c:pt idx="119">
                  <c:v>5.9499999999999966</c:v>
                </c:pt>
                <c:pt idx="120">
                  <c:v>5.9999999999999964</c:v>
                </c:pt>
                <c:pt idx="121">
                  <c:v>6.0499999999999963</c:v>
                </c:pt>
                <c:pt idx="122">
                  <c:v>6.0999999999999961</c:v>
                </c:pt>
                <c:pt idx="123">
                  <c:v>6.1499999999999959</c:v>
                </c:pt>
                <c:pt idx="124">
                  <c:v>6.1999999999999957</c:v>
                </c:pt>
                <c:pt idx="125">
                  <c:v>6.2499999999999956</c:v>
                </c:pt>
                <c:pt idx="126">
                  <c:v>6.2999999999999954</c:v>
                </c:pt>
                <c:pt idx="127">
                  <c:v>6.3499999999999952</c:v>
                </c:pt>
                <c:pt idx="128">
                  <c:v>6.399999999999995</c:v>
                </c:pt>
                <c:pt idx="129">
                  <c:v>6.4499999999999948</c:v>
                </c:pt>
                <c:pt idx="130">
                  <c:v>6.4999999999999947</c:v>
                </c:pt>
                <c:pt idx="131">
                  <c:v>6.5499999999999945</c:v>
                </c:pt>
                <c:pt idx="132">
                  <c:v>6.5999999999999943</c:v>
                </c:pt>
                <c:pt idx="133">
                  <c:v>6.6499999999999941</c:v>
                </c:pt>
                <c:pt idx="134">
                  <c:v>6.699999999999994</c:v>
                </c:pt>
                <c:pt idx="135">
                  <c:v>6.7499999999999938</c:v>
                </c:pt>
                <c:pt idx="136">
                  <c:v>6.7999999999999936</c:v>
                </c:pt>
                <c:pt idx="137">
                  <c:v>6.8499999999999934</c:v>
                </c:pt>
                <c:pt idx="138">
                  <c:v>6.8999999999999932</c:v>
                </c:pt>
                <c:pt idx="139">
                  <c:v>6.9499999999999931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7.1499999999999995</c:v>
                </c:pt>
                <c:pt idx="144">
                  <c:v>7.1999999999999993</c:v>
                </c:pt>
                <c:pt idx="145">
                  <c:v>7.2499999999999991</c:v>
                </c:pt>
                <c:pt idx="146">
                  <c:v>7.2999999999999989</c:v>
                </c:pt>
                <c:pt idx="147">
                  <c:v>7.3499999999999988</c:v>
                </c:pt>
                <c:pt idx="148">
                  <c:v>7.3999999999999986</c:v>
                </c:pt>
                <c:pt idx="149">
                  <c:v>7.4499999999999984</c:v>
                </c:pt>
                <c:pt idx="150">
                  <c:v>7.4999999999999982</c:v>
                </c:pt>
                <c:pt idx="151">
                  <c:v>7.549999999999998</c:v>
                </c:pt>
                <c:pt idx="152">
                  <c:v>7.5999999999999979</c:v>
                </c:pt>
                <c:pt idx="153">
                  <c:v>7.6499999999999977</c:v>
                </c:pt>
                <c:pt idx="154">
                  <c:v>7.6999999999999975</c:v>
                </c:pt>
                <c:pt idx="155">
                  <c:v>7.7499999999999973</c:v>
                </c:pt>
                <c:pt idx="156">
                  <c:v>7.7999999999999972</c:v>
                </c:pt>
                <c:pt idx="157">
                  <c:v>7.849999999999997</c:v>
                </c:pt>
                <c:pt idx="158">
                  <c:v>7.8999999999999968</c:v>
                </c:pt>
                <c:pt idx="159">
                  <c:v>7.9499999999999966</c:v>
                </c:pt>
                <c:pt idx="160">
                  <c:v>7.9999999999999964</c:v>
                </c:pt>
                <c:pt idx="161">
                  <c:v>8.0499999999999972</c:v>
                </c:pt>
                <c:pt idx="162">
                  <c:v>8.0999999999999979</c:v>
                </c:pt>
                <c:pt idx="163">
                  <c:v>8.1499999999999986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8.3500000000000014</c:v>
                </c:pt>
                <c:pt idx="168">
                  <c:v>8.4000000000000021</c:v>
                </c:pt>
                <c:pt idx="169">
                  <c:v>8.4500000000000028</c:v>
                </c:pt>
                <c:pt idx="170">
                  <c:v>8.5000000000000036</c:v>
                </c:pt>
                <c:pt idx="171">
                  <c:v>8.5500000000000043</c:v>
                </c:pt>
                <c:pt idx="172">
                  <c:v>8.600000000000005</c:v>
                </c:pt>
                <c:pt idx="173">
                  <c:v>8.6500000000000057</c:v>
                </c:pt>
                <c:pt idx="174">
                  <c:v>8.7000000000000064</c:v>
                </c:pt>
                <c:pt idx="175">
                  <c:v>8.7500000000000071</c:v>
                </c:pt>
                <c:pt idx="176">
                  <c:v>8.8000000000000078</c:v>
                </c:pt>
                <c:pt idx="177">
                  <c:v>8.8500000000000085</c:v>
                </c:pt>
                <c:pt idx="178">
                  <c:v>8.9000000000000092</c:v>
                </c:pt>
                <c:pt idx="179">
                  <c:v>8.9500000000000099</c:v>
                </c:pt>
                <c:pt idx="180">
                  <c:v>9.0000000000000107</c:v>
                </c:pt>
                <c:pt idx="181">
                  <c:v>9.0500000000000114</c:v>
                </c:pt>
                <c:pt idx="182">
                  <c:v>9.1000000000000121</c:v>
                </c:pt>
                <c:pt idx="183">
                  <c:v>9.1500000000000128</c:v>
                </c:pt>
                <c:pt idx="184">
                  <c:v>9.2000000000000135</c:v>
                </c:pt>
                <c:pt idx="185">
                  <c:v>9.2500000000000142</c:v>
                </c:pt>
                <c:pt idx="186">
                  <c:v>9.3000000000000149</c:v>
                </c:pt>
                <c:pt idx="187">
                  <c:v>9.3500000000000156</c:v>
                </c:pt>
                <c:pt idx="188">
                  <c:v>9.4000000000000163</c:v>
                </c:pt>
                <c:pt idx="189">
                  <c:v>9.4500000000000171</c:v>
                </c:pt>
                <c:pt idx="190">
                  <c:v>9.5000000000000178</c:v>
                </c:pt>
                <c:pt idx="191">
                  <c:v>9.5500000000000185</c:v>
                </c:pt>
                <c:pt idx="192">
                  <c:v>9.6000000000000192</c:v>
                </c:pt>
                <c:pt idx="193">
                  <c:v>9.6500000000000199</c:v>
                </c:pt>
                <c:pt idx="194">
                  <c:v>9.7000000000000206</c:v>
                </c:pt>
                <c:pt idx="195">
                  <c:v>9.7500000000000213</c:v>
                </c:pt>
                <c:pt idx="196">
                  <c:v>9.800000000000022</c:v>
                </c:pt>
                <c:pt idx="197">
                  <c:v>9.8500000000000227</c:v>
                </c:pt>
                <c:pt idx="198">
                  <c:v>9.9000000000000234</c:v>
                </c:pt>
                <c:pt idx="199">
                  <c:v>9.9500000000000242</c:v>
                </c:pt>
                <c:pt idx="200">
                  <c:v>10.000000000000025</c:v>
                </c:pt>
              </c:numCache>
            </c:numRef>
          </c:xVal>
          <c:yVal>
            <c:numRef>
              <c:f>CDSCalibration!$H$21:$H$221</c:f>
              <c:numCache>
                <c:formatCode>0.00%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C7-459F-969C-D35F6624B7A0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CDSCalibration!$E$11:$E$18</c:f>
              <c:numCache>
                <c:formatCode>General</c:formatCode>
                <c:ptCount val="8"/>
                <c:pt idx="0">
                  <c:v>0.5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</c:numCache>
            </c:numRef>
          </c:xVal>
          <c:yVal>
            <c:numRef>
              <c:f>CDSCalibration!$H$11:$H$18</c:f>
              <c:numCache>
                <c:formatCode>0.000%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C7-459F-969C-D35F6624B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011472"/>
        <c:axId val="560010160"/>
      </c:scatterChart>
      <c:valAx>
        <c:axId val="560011472"/>
        <c:scaling>
          <c:orientation val="minMax"/>
          <c:max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010160"/>
        <c:crosses val="autoZero"/>
        <c:crossBetween val="midCat"/>
      </c:valAx>
      <c:valAx>
        <c:axId val="5600101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Hazard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011472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CDSCalibration!$F$10</c:f>
              <c:strCache>
                <c:ptCount val="1"/>
                <c:pt idx="0">
                  <c:v>Running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CDSCalibration!$E$11:$E$18</c:f>
              <c:numCache>
                <c:formatCode>General</c:formatCode>
                <c:ptCount val="8"/>
                <c:pt idx="0">
                  <c:v>0.5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</c:numCache>
            </c:numRef>
          </c:xVal>
          <c:yVal>
            <c:numRef>
              <c:f>CDSCalibration!$F$11:$F$18</c:f>
              <c:numCache>
                <c:formatCode>0.00%</c:formatCode>
                <c:ptCount val="8"/>
                <c:pt idx="0">
                  <c:v>4.0000000000000002E-4</c:v>
                </c:pt>
                <c:pt idx="1">
                  <c:v>5.0000000000000001E-4</c:v>
                </c:pt>
                <c:pt idx="2">
                  <c:v>5.9999999999999995E-4</c:v>
                </c:pt>
                <c:pt idx="3">
                  <c:v>8.9999999999999998E-4</c:v>
                </c:pt>
                <c:pt idx="4">
                  <c:v>1.5E-3</c:v>
                </c:pt>
                <c:pt idx="5">
                  <c:v>2.2000000000000001E-3</c:v>
                </c:pt>
                <c:pt idx="6">
                  <c:v>3.5000000000000001E-3</c:v>
                </c:pt>
                <c:pt idx="7">
                  <c:v>4.4999999999999997E-3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B5-4807-8128-6B6224DBE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011472"/>
        <c:axId val="560010160"/>
      </c:scatterChart>
      <c:valAx>
        <c:axId val="560011472"/>
        <c:scaling>
          <c:orientation val="minMax"/>
          <c:max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010160"/>
        <c:crosses val="autoZero"/>
        <c:crossBetween val="midCat"/>
      </c:valAx>
      <c:valAx>
        <c:axId val="5600101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Spread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011472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115525866368431"/>
          <c:y val="0.15036905169462514"/>
          <c:w val="0.80105218613508244"/>
          <c:h val="0.683998630605956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CIR!$C$18</c:f>
              <c:strCache>
                <c:ptCount val="1"/>
                <c:pt idx="0">
                  <c:v>Cntpr Spd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CIR!$B$19:$B$181</c:f>
              <c:numCache>
                <c:formatCode>0.00</c:formatCode>
                <c:ptCount val="16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CIR!$C$19:$C$181</c:f>
              <c:numCache>
                <c:formatCode>0.00%</c:formatCode>
                <c:ptCount val="163"/>
                <c:pt idx="0">
                  <c:v>0.15344165090937167</c:v>
                </c:pt>
                <c:pt idx="1">
                  <c:v>0.15143421864013362</c:v>
                </c:pt>
                <c:pt idx="2">
                  <c:v>0.1493385218345793</c:v>
                </c:pt>
                <c:pt idx="3">
                  <c:v>0.14718397207070666</c:v>
                </c:pt>
                <c:pt idx="4">
                  <c:v>0.14499999582767487</c:v>
                </c:pt>
                <c:pt idx="5">
                  <c:v>0.14281601958464307</c:v>
                </c:pt>
                <c:pt idx="6">
                  <c:v>0.14066146982077044</c:v>
                </c:pt>
                <c:pt idx="7">
                  <c:v>0.13856576556463551</c:v>
                </c:pt>
                <c:pt idx="8">
                  <c:v>0.13655834819655865</c:v>
                </c:pt>
                <c:pt idx="9">
                  <c:v>0.13466863674511842</c:v>
                </c:pt>
                <c:pt idx="10">
                  <c:v>0.13292605396418367</c:v>
                </c:pt>
                <c:pt idx="11">
                  <c:v>0.131360031920849</c:v>
                </c:pt>
                <c:pt idx="12">
                  <c:v>0.12999999523162842</c:v>
                </c:pt>
                <c:pt idx="13">
                  <c:v>0.12886547513969049</c:v>
                </c:pt>
                <c:pt idx="14">
                  <c:v>0.12793642204974276</c:v>
                </c:pt>
                <c:pt idx="15">
                  <c:v>0.12718289113050218</c:v>
                </c:pt>
                <c:pt idx="16">
                  <c:v>0.12657493755068572</c:v>
                </c:pt>
                <c:pt idx="17">
                  <c:v>0.12608261647901031</c:v>
                </c:pt>
                <c:pt idx="18">
                  <c:v>0.12567598308419292</c:v>
                </c:pt>
                <c:pt idx="19">
                  <c:v>0.1253250925349505</c:v>
                </c:pt>
                <c:pt idx="20">
                  <c:v>0.125</c:v>
                </c:pt>
                <c:pt idx="21">
                  <c:v>0.12467616180563823</c:v>
                </c:pt>
                <c:pt idx="22">
                  <c:v>0.12435063892303333</c:v>
                </c:pt>
                <c:pt idx="23">
                  <c:v>0.12402589348093329</c:v>
                </c:pt>
                <c:pt idx="24">
                  <c:v>0.12370438760808611</c:v>
                </c:pt>
                <c:pt idx="25">
                  <c:v>0.12338858343323977</c:v>
                </c:pt>
                <c:pt idx="26">
                  <c:v>0.12308094308514228</c:v>
                </c:pt>
                <c:pt idx="27">
                  <c:v>0.12278392869254162</c:v>
                </c:pt>
                <c:pt idx="28">
                  <c:v>0.12250000238418579</c:v>
                </c:pt>
                <c:pt idx="29">
                  <c:v>0.12223104432026327</c:v>
                </c:pt>
                <c:pt idx="30">
                  <c:v>0.12197658425942794</c:v>
                </c:pt>
                <c:pt idx="31">
                  <c:v>0.12173559243203158</c:v>
                </c:pt>
                <c:pt idx="32">
                  <c:v>0.12150701662585141</c:v>
                </c:pt>
                <c:pt idx="33">
                  <c:v>0.12128980466203176</c:v>
                </c:pt>
                <c:pt idx="34">
                  <c:v>0.12108292672087373</c:v>
                </c:pt>
                <c:pt idx="35">
                  <c:v>0.12088532689660933</c:v>
                </c:pt>
                <c:pt idx="36">
                  <c:v>0.12069596790343405</c:v>
                </c:pt>
                <c:pt idx="37">
                  <c:v>0.12051379757477321</c:v>
                </c:pt>
                <c:pt idx="38">
                  <c:v>0.12033777675893309</c:v>
                </c:pt>
                <c:pt idx="39">
                  <c:v>0.12016685793986935</c:v>
                </c:pt>
                <c:pt idx="40">
                  <c:v>0.11999999731779099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B7-41A9-B052-AE520087A4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846720"/>
        <c:axId val="407826752"/>
      </c:scatterChart>
      <c:scatterChart>
        <c:scatterStyle val="lineMarker"/>
        <c:varyColors val="0"/>
        <c:ser>
          <c:idx val="1"/>
          <c:order val="1"/>
          <c:tx>
            <c:v>Market data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CIR!$B$10:$B$15</c:f>
              <c:numCache>
                <c:formatCode>General</c:formatCode>
                <c:ptCount val="6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10</c:v>
                </c:pt>
                <c:pt idx="5">
                  <c:v>20</c:v>
                </c:pt>
              </c:numCache>
            </c:numRef>
          </c:xVal>
          <c:yVal>
            <c:numRef>
              <c:f>CIR!$C$10:$C$15</c:f>
              <c:numCache>
                <c:formatCode>0.00%</c:formatCode>
                <c:ptCount val="6"/>
                <c:pt idx="0">
                  <c:v>0.14499999999999999</c:v>
                </c:pt>
                <c:pt idx="1">
                  <c:v>0.13</c:v>
                </c:pt>
                <c:pt idx="2">
                  <c:v>0.125</c:v>
                </c:pt>
                <c:pt idx="3">
                  <c:v>0.1225</c:v>
                </c:pt>
                <c:pt idx="4">
                  <c:v>0.12</c:v>
                </c:pt>
                <c:pt idx="5">
                  <c:v>0.115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B7-41A9-B052-AE520087A4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846720"/>
        <c:axId val="407826752"/>
      </c:scatterChart>
      <c:valAx>
        <c:axId val="407846720"/>
        <c:scaling>
          <c:orientation val="minMax"/>
          <c:max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Tenor (years)</a:t>
                </a:r>
              </a:p>
            </c:rich>
          </c:tx>
          <c:layout>
            <c:manualLayout>
              <c:xMode val="edge"/>
              <c:yMode val="edge"/>
              <c:x val="0.45538076193902827"/>
              <c:y val="0.92020267031838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826752"/>
        <c:crosses val="autoZero"/>
        <c:crossBetween val="midCat"/>
      </c:valAx>
      <c:valAx>
        <c:axId val="4078267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Credit spread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846720"/>
        <c:crosses val="autoZero"/>
        <c:crossBetween val="midCat"/>
      </c:valAx>
      <c:spPr>
        <a:noFill/>
        <a:ln w="6350">
          <a:solidFill>
            <a:schemeClr val="tx1">
              <a:lumMod val="50000"/>
              <a:lumOff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492736559681012"/>
          <c:y val="0.16199554820840764"/>
          <c:w val="0.79040893234649168"/>
          <c:h val="0.6618686648975508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CIR!$D$18</c:f>
              <c:strCache>
                <c:ptCount val="1"/>
                <c:pt idx="0">
                  <c:v>Cntr Surv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CIR!$B$19:$B$181</c:f>
              <c:numCache>
                <c:formatCode>0.00</c:formatCode>
                <c:ptCount val="16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CIR!$D$19:$D$181</c:f>
              <c:numCache>
                <c:formatCode>0.00%</c:formatCode>
                <c:ptCount val="163"/>
                <c:pt idx="0">
                  <c:v>1</c:v>
                </c:pt>
                <c:pt idx="1">
                  <c:v>0.9388518456337599</c:v>
                </c:pt>
                <c:pt idx="2">
                  <c:v>0.88298349704553813</c:v>
                </c:pt>
                <c:pt idx="3">
                  <c:v>0.83195247175394182</c:v>
                </c:pt>
                <c:pt idx="4">
                  <c:v>0.78531791202442802</c:v>
                </c:pt>
                <c:pt idx="5">
                  <c:v>0.74264779757957378</c:v>
                </c:pt>
                <c:pt idx="6">
                  <c:v>0.7035237279607468</c:v>
                </c:pt>
                <c:pt idx="7">
                  <c:v>0.66754388232113893</c:v>
                </c:pt>
                <c:pt idx="8">
                  <c:v>0.63432458363157074</c:v>
                </c:pt>
                <c:pt idx="9">
                  <c:v>0.60350111686852381</c:v>
                </c:pt>
                <c:pt idx="10">
                  <c:v>0.57472790539938345</c:v>
                </c:pt>
                <c:pt idx="11">
                  <c:v>0.5476785164626935</c:v>
                </c:pt>
                <c:pt idx="12">
                  <c:v>0.5220457892075574</c:v>
                </c:pt>
                <c:pt idx="13">
                  <c:v>0.49756885812313545</c:v>
                </c:pt>
                <c:pt idx="14">
                  <c:v>0.47411953985759914</c:v>
                </c:pt>
                <c:pt idx="15">
                  <c:v>0.45162952528200051</c:v>
                </c:pt>
                <c:pt idx="16">
                  <c:v>0.43005897995923698</c:v>
                </c:pt>
                <c:pt idx="17">
                  <c:v>0.40939074999615144</c:v>
                </c:pt>
                <c:pt idx="18">
                  <c:v>0.38962526017731935</c:v>
                </c:pt>
                <c:pt idx="19">
                  <c:v>0.37077607034953236</c:v>
                </c:pt>
                <c:pt idx="20">
                  <c:v>0.3528660814588489</c:v>
                </c:pt>
                <c:pt idx="21">
                  <c:v>0.33590852073710464</c:v>
                </c:pt>
                <c:pt idx="22">
                  <c:v>0.31985712834977403</c:v>
                </c:pt>
                <c:pt idx="23">
                  <c:v>0.30465311448192006</c:v>
                </c:pt>
                <c:pt idx="24">
                  <c:v>0.29024093921075972</c:v>
                </c:pt>
                <c:pt idx="25">
                  <c:v>0.27656822481550764</c:v>
                </c:pt>
                <c:pt idx="26">
                  <c:v>0.26358565868685768</c:v>
                </c:pt>
                <c:pt idx="27">
                  <c:v>0.2512468900009599</c:v>
                </c:pt>
                <c:pt idx="28">
                  <c:v>0.23950842280003953</c:v>
                </c:pt>
                <c:pt idx="29">
                  <c:v>0.22833111330133099</c:v>
                </c:pt>
                <c:pt idx="30">
                  <c:v>0.21768476316572405</c:v>
                </c:pt>
                <c:pt idx="31">
                  <c:v>0.20754272250500955</c:v>
                </c:pt>
                <c:pt idx="32">
                  <c:v>0.19788018553460648</c:v>
                </c:pt>
                <c:pt idx="33">
                  <c:v>0.18867396355602922</c:v>
                </c:pt>
                <c:pt idx="34">
                  <c:v>0.1799022804532279</c:v>
                </c:pt>
                <c:pt idx="35">
                  <c:v>0.17154476650713393</c:v>
                </c:pt>
                <c:pt idx="36">
                  <c:v>0.16358222357830357</c:v>
                </c:pt>
                <c:pt idx="37">
                  <c:v>0.15599660325993681</c:v>
                </c:pt>
                <c:pt idx="38">
                  <c:v>0.14877084171277297</c:v>
                </c:pt>
                <c:pt idx="39">
                  <c:v>0.14188882628226651</c:v>
                </c:pt>
                <c:pt idx="40">
                  <c:v>0.13533528928657143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14-40E8-8109-FEBBD6150042}"/>
            </c:ext>
          </c:extLst>
        </c:ser>
        <c:ser>
          <c:idx val="1"/>
          <c:order val="1"/>
          <c:tx>
            <c:strRef>
              <c:f>CIR!$E$18</c:f>
              <c:strCache>
                <c:ptCount val="1"/>
                <c:pt idx="0">
                  <c:v>CIR surv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CIR!$B$19:$B$181</c:f>
              <c:numCache>
                <c:formatCode>0.00</c:formatCode>
                <c:ptCount val="16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CIR!$E$19:$E$181</c:f>
              <c:numCache>
                <c:formatCode>0.00%</c:formatCode>
                <c:ptCount val="163"/>
                <c:pt idx="0">
                  <c:v>1</c:v>
                </c:pt>
                <c:pt idx="1">
                  <c:v>0.93786586350084489</c:v>
                </c:pt>
                <c:pt idx="2">
                  <c:v>0.88185533756614909</c:v>
                </c:pt>
                <c:pt idx="3">
                  <c:v>0.83129311420275964</c:v>
                </c:pt>
                <c:pt idx="4">
                  <c:v>0.78540461576053766</c:v>
                </c:pt>
                <c:pt idx="5">
                  <c:v>0.74346370171652321</c:v>
                </c:pt>
                <c:pt idx="6">
                  <c:v>0.70484922559496643</c:v>
                </c:pt>
                <c:pt idx="7">
                  <c:v>0.66905486732701969</c:v>
                </c:pt>
                <c:pt idx="8">
                  <c:v>0.63567828603129295</c:v>
                </c:pt>
                <c:pt idx="9">
                  <c:v>0.60440336362615288</c:v>
                </c:pt>
                <c:pt idx="10">
                  <c:v>0.57498208317108257</c:v>
                </c:pt>
                <c:pt idx="11">
                  <c:v>0.54721869583653504</c:v>
                </c:pt>
                <c:pt idx="12">
                  <c:v>0.52095690436883668</c:v>
                </c:pt>
                <c:pt idx="13">
                  <c:v>0.49606993337486255</c:v>
                </c:pt>
                <c:pt idx="14">
                  <c:v>0.47245304205961314</c:v>
                </c:pt>
                <c:pt idx="15">
                  <c:v>0.45001797545818628</c:v>
                </c:pt>
                <c:pt idx="16">
                  <c:v>0.42868889701097707</c:v>
                </c:pt>
                <c:pt idx="17">
                  <c:v>0.40839942621359859</c:v>
                </c:pt>
                <c:pt idx="18">
                  <c:v>0.38909048763591336</c:v>
                </c:pt>
                <c:pt idx="19">
                  <c:v>0.37070874932967474</c:v>
                </c:pt>
                <c:pt idx="20">
                  <c:v>0.35320548632414389</c:v>
                </c:pt>
                <c:pt idx="21">
                  <c:v>0.3365357492996221</c:v>
                </c:pt>
                <c:pt idx="22">
                  <c:v>0.32065775176880462</c:v>
                </c:pt>
                <c:pt idx="23">
                  <c:v>0.30553241354145744</c:v>
                </c:pt>
                <c:pt idx="24">
                  <c:v>0.29112301600654733</c:v>
                </c:pt>
                <c:pt idx="25">
                  <c:v>0.27739493755703076</c:v>
                </c:pt>
                <c:pt idx="26">
                  <c:v>0.26431544664017481</c:v>
                </c:pt>
                <c:pt idx="27">
                  <c:v>0.25185353644463049</c:v>
                </c:pt>
                <c:pt idx="28">
                  <c:v>0.23997978987527283</c:v>
                </c:pt>
                <c:pt idx="29">
                  <c:v>0.2286662667573704</c:v>
                </c:pt>
                <c:pt idx="30">
                  <c:v>0.21788640754190283</c:v>
                </c:pt>
                <c:pt idx="31">
                  <c:v>0.20761494943252715</c:v>
                </c:pt>
                <c:pt idx="32">
                  <c:v>0.19782785202056674</c:v>
                </c:pt>
                <c:pt idx="33">
                  <c:v>0.18850223033877458</c:v>
                </c:pt>
                <c:pt idx="34">
                  <c:v>0.17961629382765426</c:v>
                </c:pt>
                <c:pt idx="35">
                  <c:v>0.17114929012075161</c:v>
                </c:pt>
                <c:pt idx="36">
                  <c:v>0.16308145284767414</c:v>
                </c:pt>
                <c:pt idx="37">
                  <c:v>0.15539395286102639</c:v>
                </c:pt>
                <c:pt idx="38">
                  <c:v>0.1480688524409966</c:v>
                </c:pt>
                <c:pt idx="39">
                  <c:v>0.14108906213658418</c:v>
                </c:pt>
                <c:pt idx="40">
                  <c:v>0.13443829997785625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14-40E8-8109-FEBBD6150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089184"/>
        <c:axId val="726090824"/>
      </c:scatterChart>
      <c:valAx>
        <c:axId val="726089184"/>
        <c:scaling>
          <c:orientation val="minMax"/>
          <c:max val="1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Time (years)</a:t>
                </a:r>
              </a:p>
            </c:rich>
          </c:tx>
          <c:layout>
            <c:manualLayout>
              <c:xMode val="edge"/>
              <c:yMode val="edge"/>
              <c:x val="0.47881281376792884"/>
              <c:y val="0.9060479836429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090824"/>
        <c:crosses val="autoZero"/>
        <c:crossBetween val="midCat"/>
      </c:valAx>
      <c:valAx>
        <c:axId val="7260908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Survival 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089184"/>
        <c:crosses val="autoZero"/>
        <c:crossBetween val="midCat"/>
      </c:valAx>
      <c:spPr>
        <a:noFill/>
        <a:ln w="6350"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t"/>
      <c:overlay val="0"/>
      <c:spPr>
        <a:noFill/>
        <a:ln w="6350"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hyperlink" Target="http://www.oftraining.com/" TargetMode="Externa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oftraining.com/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oftraining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0</xdr:colOff>
      <xdr:row>7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0" y="9525"/>
          <a:ext cx="8534400" cy="1163955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Calculating </a:t>
          </a:r>
          <a:r>
            <a:rPr lang="en-GB" sz="2800" b="0" i="0" u="none" strike="noStrike" baseline="0">
              <a:solidFill>
                <a:srgbClr val="0000FF"/>
              </a:solidFill>
              <a:latin typeface="Arial"/>
              <a:ea typeface="+mn-ea"/>
              <a:cs typeface="Arial"/>
            </a:rPr>
            <a:t>Risk-Neutral</a:t>
          </a: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 Default Probabilities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alculation of implied default probability and calculation via piecewise constant hazard rates. The accurate calculation and approximation (equation 12.1) are shown.</a:t>
          </a:r>
        </a:p>
      </xdr:txBody>
    </xdr:sp>
    <xdr:clientData/>
  </xdr:twoCellAnchor>
  <xdr:twoCellAnchor>
    <xdr:from>
      <xdr:col>12</xdr:col>
      <xdr:colOff>99060</xdr:colOff>
      <xdr:row>2</xdr:row>
      <xdr:rowOff>99060</xdr:rowOff>
    </xdr:from>
    <xdr:to>
      <xdr:col>13</xdr:col>
      <xdr:colOff>702945</xdr:colOff>
      <xdr:row>5</xdr:row>
      <xdr:rowOff>51435</xdr:rowOff>
    </xdr:to>
    <xdr:sp macro="" textlink="">
      <xdr:nvSpPr>
        <xdr:cNvPr id="3" name="Text Box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8633460" y="434340"/>
          <a:ext cx="1381125" cy="4552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7</xdr:row>
          <xdr:rowOff>83820</xdr:rowOff>
        </xdr:from>
        <xdr:to>
          <xdr:col>8</xdr:col>
          <xdr:colOff>15240</xdr:colOff>
          <xdr:row>8</xdr:row>
          <xdr:rowOff>121920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13</xdr:col>
      <xdr:colOff>99060</xdr:colOff>
      <xdr:row>18</xdr:row>
      <xdr:rowOff>167640</xdr:rowOff>
    </xdr:from>
    <xdr:to>
      <xdr:col>19</xdr:col>
      <xdr:colOff>7620</xdr:colOff>
      <xdr:row>34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304800</xdr:colOff>
      <xdr:row>18</xdr:row>
      <xdr:rowOff>167640</xdr:rowOff>
    </xdr:from>
    <xdr:to>
      <xdr:col>13</xdr:col>
      <xdr:colOff>99060</xdr:colOff>
      <xdr:row>34</xdr:row>
      <xdr:rowOff>37380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266700</xdr:colOff>
      <xdr:row>18</xdr:row>
      <xdr:rowOff>167640</xdr:rowOff>
    </xdr:from>
    <xdr:to>
      <xdr:col>7</xdr:col>
      <xdr:colOff>304800</xdr:colOff>
      <xdr:row>34</xdr:row>
      <xdr:rowOff>37380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7</xdr:col>
      <xdr:colOff>400050</xdr:colOff>
      <xdr:row>6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0" y="9525"/>
          <a:ext cx="5187950" cy="981075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CIR Model Calibration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Global optimisation of CIR parameters to fit to survival probability curve</a:t>
          </a:r>
        </a:p>
      </xdr:txBody>
    </xdr:sp>
    <xdr:clientData/>
  </xdr:twoCellAnchor>
  <xdr:twoCellAnchor>
    <xdr:from>
      <xdr:col>6</xdr:col>
      <xdr:colOff>83185</xdr:colOff>
      <xdr:row>4</xdr:row>
      <xdr:rowOff>45085</xdr:rowOff>
    </xdr:from>
    <xdr:to>
      <xdr:col>7</xdr:col>
      <xdr:colOff>654050</xdr:colOff>
      <xdr:row>6</xdr:row>
      <xdr:rowOff>140970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4185285" y="705485"/>
          <a:ext cx="1256665" cy="4260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</xdr:txBody>
    </xdr:sp>
    <xdr:clientData/>
  </xdr:twoCellAnchor>
  <xdr:twoCellAnchor>
    <xdr:from>
      <xdr:col>7</xdr:col>
      <xdr:colOff>463550</xdr:colOff>
      <xdr:row>0</xdr:row>
      <xdr:rowOff>25400</xdr:rowOff>
    </xdr:from>
    <xdr:to>
      <xdr:col>12</xdr:col>
      <xdr:colOff>742500</xdr:colOff>
      <xdr:row>13</xdr:row>
      <xdr:rowOff>13700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466090</xdr:colOff>
      <xdr:row>13</xdr:row>
      <xdr:rowOff>0</xdr:rowOff>
    </xdr:from>
    <xdr:to>
      <xdr:col>12</xdr:col>
      <xdr:colOff>745040</xdr:colOff>
      <xdr:row>25</xdr:row>
      <xdr:rowOff>128000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60960</xdr:colOff>
      <xdr:row>6</xdr:row>
      <xdr:rowOff>158115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3528060" cy="1163955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Index Basis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Estimation of the CDS index basis</a:t>
          </a:r>
          <a:endParaRPr lang="en-GB" sz="1000" b="0" i="1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502920</xdr:colOff>
      <xdr:row>2</xdr:row>
      <xdr:rowOff>91440</xdr:rowOff>
    </xdr:from>
    <xdr:to>
      <xdr:col>7</xdr:col>
      <xdr:colOff>634365</xdr:colOff>
      <xdr:row>5</xdr:row>
      <xdr:rowOff>43815</xdr:rowOff>
    </xdr:to>
    <xdr:sp macro="" textlink="">
      <xdr:nvSpPr>
        <xdr:cNvPr id="3" name="Text Box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3970020" y="426720"/>
          <a:ext cx="1381125" cy="4552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220980</xdr:colOff>
      <xdr:row>7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0" y="9525"/>
          <a:ext cx="9433560" cy="1163955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Example Cross Sectional Methodology for Credit Spreads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Example of proxy regression using a given single maturity of CDS spreads. </a:t>
          </a:r>
          <a:endParaRPr lang="en-GB" sz="1000" b="0" i="1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137160</xdr:colOff>
      <xdr:row>4</xdr:row>
      <xdr:rowOff>53340</xdr:rowOff>
    </xdr:from>
    <xdr:to>
      <xdr:col>11</xdr:col>
      <xdr:colOff>619125</xdr:colOff>
      <xdr:row>7</xdr:row>
      <xdr:rowOff>5715</xdr:rowOff>
    </xdr:to>
    <xdr:sp macro="" textlink="">
      <xdr:nvSpPr>
        <xdr:cNvPr id="3" name="Text Box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>
          <a:spLocks noChangeArrowheads="1"/>
        </xdr:cNvSpPr>
      </xdr:nvSpPr>
      <xdr:spPr bwMode="auto">
        <a:xfrm>
          <a:off x="7825740" y="723900"/>
          <a:ext cx="1228725" cy="4552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502eee3437eb7218/Documents/TrainingCourses/LFSCounterpartyRisk/Course%20Exercises%20Master/New%20XVA%20Exercises/Exposure%20Simulation%20and%20xVA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QF%20CDS%20and%20Structural%20Mode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X Simulation"/>
      <sheetName val="IRCalibration"/>
      <sheetName val="SemiAnalytical"/>
      <sheetName val="SimulationPath"/>
      <sheetName val="FullSimulation"/>
      <sheetName val="Sheet1"/>
      <sheetName val="Curves"/>
      <sheetName val="xVA Calc"/>
    </sheetNames>
    <sheetDataSet>
      <sheetData sheetId="0">
        <row r="8">
          <cell r="C8">
            <v>100</v>
          </cell>
        </row>
        <row r="9">
          <cell r="C9">
            <v>0.03</v>
          </cell>
        </row>
        <row r="10">
          <cell r="C10">
            <v>0.01</v>
          </cell>
        </row>
        <row r="11">
          <cell r="C11">
            <v>110.51709180756475</v>
          </cell>
        </row>
        <row r="12">
          <cell r="C12">
            <v>110.51709180756475</v>
          </cell>
        </row>
        <row r="14">
          <cell r="C14">
            <v>1.9999999999999976E-2</v>
          </cell>
        </row>
        <row r="15">
          <cell r="C15">
            <v>1.9999999999999976E-2</v>
          </cell>
        </row>
        <row r="16">
          <cell r="C16">
            <v>0.1</v>
          </cell>
        </row>
        <row r="17">
          <cell r="C17">
            <v>0.9</v>
          </cell>
        </row>
      </sheetData>
      <sheetData sheetId="1">
        <row r="9">
          <cell r="B9">
            <v>0.25</v>
          </cell>
          <cell r="C9">
            <v>8.0000000000000002E-3</v>
          </cell>
          <cell r="G9">
            <v>1</v>
          </cell>
          <cell r="H9">
            <v>7.5000002980232239E-3</v>
          </cell>
          <cell r="L9">
            <v>0</v>
          </cell>
        </row>
        <row r="10">
          <cell r="B10">
            <v>0.5</v>
          </cell>
          <cell r="C10">
            <v>8.5000000000000006E-3</v>
          </cell>
        </row>
        <row r="11">
          <cell r="B11">
            <v>1</v>
          </cell>
          <cell r="C11">
            <v>9.1999999999999998E-3</v>
          </cell>
        </row>
        <row r="12">
          <cell r="B12">
            <v>2</v>
          </cell>
          <cell r="C12">
            <v>0.01</v>
          </cell>
        </row>
        <row r="13">
          <cell r="B13">
            <v>3</v>
          </cell>
          <cell r="C13">
            <v>1.06E-2</v>
          </cell>
        </row>
        <row r="14">
          <cell r="B14">
            <v>5</v>
          </cell>
          <cell r="C14">
            <v>1.1899999999999999E-2</v>
          </cell>
        </row>
        <row r="15">
          <cell r="B15">
            <v>7</v>
          </cell>
          <cell r="C15">
            <v>1.32E-2</v>
          </cell>
        </row>
        <row r="16">
          <cell r="B16">
            <v>10</v>
          </cell>
          <cell r="C16">
            <v>1.4999999999999999E-2</v>
          </cell>
        </row>
        <row r="17">
          <cell r="B17">
            <v>20</v>
          </cell>
          <cell r="C17">
            <v>0.02</v>
          </cell>
        </row>
        <row r="18">
          <cell r="C18">
            <v>0</v>
          </cell>
        </row>
        <row r="21">
          <cell r="C21">
            <v>0.1</v>
          </cell>
        </row>
        <row r="22">
          <cell r="C22">
            <v>0.01</v>
          </cell>
        </row>
        <row r="24">
          <cell r="C24">
            <v>1.4874407318246937E-2</v>
          </cell>
        </row>
      </sheetData>
      <sheetData sheetId="2" refreshError="1"/>
      <sheetData sheetId="3">
        <row r="8">
          <cell r="C8" t="str">
            <v>PAY</v>
          </cell>
        </row>
        <row r="54">
          <cell r="B54">
            <v>0.97530991202833262</v>
          </cell>
        </row>
        <row r="55">
          <cell r="B55">
            <v>0.49381461855278236</v>
          </cell>
        </row>
      </sheetData>
      <sheetData sheetId="4">
        <row r="10">
          <cell r="C10" t="str">
            <v>SWAP</v>
          </cell>
          <cell r="F10">
            <v>0</v>
          </cell>
          <cell r="G10">
            <v>-1.1761180160569033E-3</v>
          </cell>
          <cell r="H10">
            <v>-1.1761180160569033E-3</v>
          </cell>
        </row>
        <row r="11">
          <cell r="E11">
            <v>0.25</v>
          </cell>
        </row>
        <row r="12">
          <cell r="C12">
            <v>1.4999999999999999E-2</v>
          </cell>
        </row>
        <row r="13">
          <cell r="C13">
            <v>0</v>
          </cell>
        </row>
        <row r="14">
          <cell r="C14">
            <v>10</v>
          </cell>
        </row>
        <row r="15">
          <cell r="C15" t="str">
            <v>Q</v>
          </cell>
        </row>
        <row r="16">
          <cell r="C16" t="str">
            <v>Q</v>
          </cell>
        </row>
        <row r="17">
          <cell r="C17" t="str">
            <v>NO</v>
          </cell>
        </row>
        <row r="18">
          <cell r="C18">
            <v>10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 t="str">
            <v>NO</v>
          </cell>
        </row>
        <row r="23">
          <cell r="C23">
            <v>10000</v>
          </cell>
        </row>
        <row r="26">
          <cell r="C26">
            <v>77777777</v>
          </cell>
        </row>
        <row r="29">
          <cell r="C29" t="b">
            <v>1</v>
          </cell>
        </row>
      </sheetData>
      <sheetData sheetId="5" refreshError="1"/>
      <sheetData sheetId="6">
        <row r="10">
          <cell r="D10" t="str">
            <v xml:space="preserve">Own </v>
          </cell>
        </row>
      </sheetData>
      <sheetData sheetId="7">
        <row r="8">
          <cell r="C8" t="str">
            <v>NO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DSCalibration"/>
      <sheetName val="CDSCntrptyRisk"/>
      <sheetName val="IndexBasis"/>
      <sheetName val="Sheet1"/>
      <sheetName val="BasketPricer"/>
      <sheetName val="BaseCorrelation"/>
    </sheetNames>
    <sheetDataSet>
      <sheetData sheetId="0">
        <row r="11">
          <cell r="E11">
            <v>0.5</v>
          </cell>
          <cell r="F11">
            <v>4.0000000000000002E-4</v>
          </cell>
          <cell r="H11">
            <v>5.8324828042661406E-3</v>
          </cell>
        </row>
        <row r="12">
          <cell r="E12">
            <v>1</v>
          </cell>
          <cell r="F12">
            <v>5.0000000000000001E-4</v>
          </cell>
          <cell r="H12">
            <v>1.0879092723110148E-2</v>
          </cell>
        </row>
        <row r="13">
          <cell r="C13" t="str">
            <v>PWC</v>
          </cell>
          <cell r="E13">
            <v>2</v>
          </cell>
          <cell r="F13">
            <v>5.9999999999999995E-4</v>
          </cell>
          <cell r="H13">
            <v>2.0259408007468182E-2</v>
          </cell>
        </row>
        <row r="14">
          <cell r="E14">
            <v>3</v>
          </cell>
          <cell r="F14">
            <v>8.9999999999999998E-4</v>
          </cell>
          <cell r="H14">
            <v>3.2605881679399235E-2</v>
          </cell>
        </row>
        <row r="15">
          <cell r="E15">
            <v>4</v>
          </cell>
          <cell r="F15">
            <v>1.5E-3</v>
          </cell>
          <cell r="H15">
            <v>3.8213128546682962E-2</v>
          </cell>
        </row>
        <row r="16">
          <cell r="E16">
            <v>5</v>
          </cell>
          <cell r="F16">
            <v>2.2000000000000001E-3</v>
          </cell>
          <cell r="H16">
            <v>4.7912448942414199E-2</v>
          </cell>
        </row>
        <row r="17">
          <cell r="E17">
            <v>7</v>
          </cell>
          <cell r="F17">
            <v>3.5000000000000001E-3</v>
          </cell>
          <cell r="H17">
            <v>4.5786104169330051E-2</v>
          </cell>
        </row>
        <row r="18">
          <cell r="E18">
            <v>10</v>
          </cell>
          <cell r="F18">
            <v>4.4999999999999997E-3</v>
          </cell>
          <cell r="H18">
            <v>4.1174004714567287E-2</v>
          </cell>
        </row>
      </sheetData>
      <sheetData sheetId="1" refreshError="1"/>
      <sheetData sheetId="2"/>
      <sheetData sheetId="3" refreshError="1"/>
      <sheetData sheetId="4">
        <row r="14">
          <cell r="C14">
            <v>5</v>
          </cell>
        </row>
        <row r="15">
          <cell r="C15">
            <v>10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79DC3-DD8F-4FD4-90DF-F6FFBA9936B8}">
  <sheetPr codeName="Sheet4"/>
  <dimension ref="B1:DF731"/>
  <sheetViews>
    <sheetView showGridLines="0" tabSelected="1" workbookViewId="0">
      <pane ySplit="7" topLeftCell="A8" activePane="bottomLeft" state="frozen"/>
      <selection activeCell="F12" sqref="F12"/>
      <selection pane="bottomLeft" activeCell="C16" sqref="C16"/>
    </sheetView>
  </sheetViews>
  <sheetFormatPr defaultRowHeight="13.2" x14ac:dyDescent="0.25"/>
  <cols>
    <col min="1" max="1" width="5.44140625" style="88" customWidth="1"/>
    <col min="2" max="2" width="13" style="88" customWidth="1"/>
    <col min="3" max="3" width="10.77734375" style="88" bestFit="1" customWidth="1"/>
    <col min="4" max="4" width="7.5546875" style="88" customWidth="1"/>
    <col min="5" max="5" width="9.5546875" style="88" customWidth="1"/>
    <col min="6" max="6" width="9.33203125" style="88" customWidth="1"/>
    <col min="7" max="7" width="10.44140625" style="88" bestFit="1" customWidth="1"/>
    <col min="8" max="8" width="11.5546875" style="88" customWidth="1"/>
    <col min="9" max="9" width="11.6640625" style="88" bestFit="1" customWidth="1"/>
    <col min="10" max="10" width="12.109375" style="88" bestFit="1" customWidth="1"/>
    <col min="11" max="11" width="10.88671875" style="88" bestFit="1" customWidth="1"/>
    <col min="12" max="12" width="12.109375" style="88" bestFit="1" customWidth="1"/>
    <col min="13" max="13" width="11.33203125" style="88" customWidth="1"/>
    <col min="14" max="19" width="11.33203125" style="88" bestFit="1" customWidth="1"/>
    <col min="20" max="109" width="12.33203125" style="88" bestFit="1" customWidth="1"/>
    <col min="110" max="110" width="13.44140625" style="88" bestFit="1" customWidth="1"/>
    <col min="111" max="16384" width="8.88671875" style="88"/>
  </cols>
  <sheetData>
    <row r="1" spans="2:11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2:110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110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2:110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2:110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2:110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2:110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2:110" ht="13.8" thickBot="1" x14ac:dyDescent="0.3">
      <c r="B8" s="89"/>
      <c r="C8" s="89"/>
      <c r="E8" s="89"/>
      <c r="F8" s="237"/>
      <c r="G8" s="237"/>
      <c r="H8" s="89"/>
      <c r="I8" s="89"/>
      <c r="J8" s="89"/>
      <c r="K8" s="89"/>
      <c r="L8" s="89"/>
    </row>
    <row r="9" spans="2:110" ht="13.8" thickBot="1" x14ac:dyDescent="0.3">
      <c r="B9" s="89"/>
      <c r="C9" s="89"/>
      <c r="D9" s="89"/>
      <c r="E9" s="89"/>
      <c r="F9" s="238" t="s">
        <v>0</v>
      </c>
      <c r="G9" s="239"/>
      <c r="H9" s="89"/>
      <c r="I9" s="89"/>
      <c r="J9" s="238" t="s">
        <v>59</v>
      </c>
      <c r="K9" s="239"/>
      <c r="L9" s="238" t="s">
        <v>60</v>
      </c>
      <c r="M9" s="239"/>
      <c r="P9" s="233" t="s">
        <v>1</v>
      </c>
      <c r="Q9" s="234"/>
      <c r="R9" s="9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</row>
    <row r="10" spans="2:110" ht="13.8" thickBot="1" x14ac:dyDescent="0.3">
      <c r="B10" s="235" t="s">
        <v>2</v>
      </c>
      <c r="C10" s="236"/>
      <c r="D10" s="89"/>
      <c r="E10" s="91"/>
      <c r="F10" s="92" t="s">
        <v>3</v>
      </c>
      <c r="G10" s="93" t="s">
        <v>4</v>
      </c>
      <c r="H10" s="94" t="s">
        <v>5</v>
      </c>
      <c r="I10" s="95" t="s">
        <v>13</v>
      </c>
      <c r="J10" s="96" t="s">
        <v>6</v>
      </c>
      <c r="K10" s="95" t="s">
        <v>7</v>
      </c>
      <c r="L10" s="96" t="s">
        <v>6</v>
      </c>
      <c r="M10" s="95" t="s">
        <v>7</v>
      </c>
      <c r="N10" s="97" t="s">
        <v>8</v>
      </c>
      <c r="P10" s="98" t="s">
        <v>9</v>
      </c>
      <c r="Q10" s="99" t="s">
        <v>8</v>
      </c>
      <c r="R10" s="11"/>
      <c r="S10" s="12" t="s">
        <v>62</v>
      </c>
      <c r="T10" s="12" t="s">
        <v>63</v>
      </c>
      <c r="U10" s="12" t="s">
        <v>64</v>
      </c>
      <c r="V10" s="12" t="s">
        <v>65</v>
      </c>
      <c r="W10" s="10"/>
      <c r="X10" s="10"/>
      <c r="Y10" s="10"/>
      <c r="Z10" s="10"/>
      <c r="AA10" s="10"/>
      <c r="AB10" s="10"/>
      <c r="AC10" s="10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</row>
    <row r="11" spans="2:110" x14ac:dyDescent="0.25">
      <c r="B11" s="100" t="s">
        <v>10</v>
      </c>
      <c r="C11" s="19">
        <v>0.03</v>
      </c>
      <c r="D11" s="89"/>
      <c r="E11" s="101">
        <v>0.5</v>
      </c>
      <c r="F11" s="20" cm="1">
        <f t="array" aca="1" ref="F11:F18" ca="1">OFFSET(S11,0,MATCH(C14,S10:V10,0)-1,8,1)</f>
        <v>4.0000000000000002E-4</v>
      </c>
      <c r="G11" s="21">
        <v>0</v>
      </c>
      <c r="H11" s="24"/>
      <c r="I11" s="102">
        <f ca="1">EXP(-(H11+IRate)*E11)</f>
        <v>0.98511193960306265</v>
      </c>
      <c r="J11" s="103" cm="1">
        <f t="array" aca="1" ref="J11" ca="1">SUMPRODUCT(--($E$22:$E$221&lt;=E11),$I$22:$I$221,$F$22:$F$221)*0.05</f>
        <v>0.49589657143836174</v>
      </c>
      <c r="K11" s="104" cm="1">
        <f t="array" aca="1" ref="K11" ca="1">SUMPRODUCT(--($E$22:$E$221&lt;=E11),$K$22:$K$221,$F$22:$F$221)*(1-Recovery)</f>
        <v>0</v>
      </c>
      <c r="L11" s="103">
        <f ca="1">1/(H11+IRate)*(1-I11)</f>
        <v>0.49626867989791179</v>
      </c>
      <c r="M11" s="104">
        <f ca="1">H11/(H11+IRate)*(1-I11)*(1-Recovery)</f>
        <v>0</v>
      </c>
      <c r="N11" s="25">
        <f t="shared" ref="N11:N18" ca="1" si="0">K11-J11*F11-G11</f>
        <v>-1.983586285753447E-4</v>
      </c>
      <c r="P11" s="28">
        <v>0.01</v>
      </c>
      <c r="Q11" s="30">
        <f ca="1">K11-P11*J11</f>
        <v>-4.9589657143836174E-3</v>
      </c>
      <c r="R11" s="11"/>
      <c r="S11" s="127">
        <v>4.0000000000000002E-4</v>
      </c>
      <c r="T11" s="11">
        <v>3.5000000000000001E-3</v>
      </c>
      <c r="U11" s="11">
        <v>1.1999999999999999E-3</v>
      </c>
      <c r="V11" s="11">
        <v>0.16</v>
      </c>
      <c r="W11" s="10"/>
      <c r="X11" s="10"/>
      <c r="Y11" s="10"/>
      <c r="Z11" s="10"/>
      <c r="AA11" s="10"/>
      <c r="AB11" s="10"/>
      <c r="AC11" s="10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</row>
    <row r="12" spans="2:110" x14ac:dyDescent="0.25">
      <c r="B12" s="101" t="s">
        <v>11</v>
      </c>
      <c r="C12" s="107">
        <v>0.4</v>
      </c>
      <c r="D12" s="89"/>
      <c r="E12" s="101">
        <v>1</v>
      </c>
      <c r="F12" s="20">
        <f ca="1"/>
        <v>5.0000000000000001E-4</v>
      </c>
      <c r="G12" s="21">
        <v>0</v>
      </c>
      <c r="H12" s="24"/>
      <c r="I12" s="102">
        <f t="shared" ref="I12" ca="1" si="1">EXP(-(H12+IRate)*(E12-E11))</f>
        <v>0.98511193960306265</v>
      </c>
      <c r="J12" s="103" cm="1">
        <f t="array" aca="1" ref="J12" ca="1">SUMPRODUCT(--($E$22:$E$221&lt;=E12),$I$22:$I$221,$F$22:$F$221)*0.05</f>
        <v>0.98441020477051522</v>
      </c>
      <c r="K12" s="104" cm="1">
        <f t="array" aca="1" ref="K12" ca="1">SUMPRODUCT(--($E$22:$E$221&lt;=E12),$K$22:$K$221,$F$22:$F$221)*(1-Recovery)</f>
        <v>0</v>
      </c>
      <c r="L12" s="103">
        <f ca="1">1/(H12+IRate)*(1-I12)*PRODUCT($I$11:I11)+J11</f>
        <v>0.98477677325684509</v>
      </c>
      <c r="M12" s="104">
        <f ca="1">(1-EXP(-(IRate+H12)*(E12-E11)))*H12/(H12+IRate)*0.6*PRODUCT($I$11:I11)+K11</f>
        <v>0</v>
      </c>
      <c r="N12" s="25">
        <f t="shared" ca="1" si="0"/>
        <v>-4.9220510238525762E-4</v>
      </c>
      <c r="P12" s="28">
        <v>0.01</v>
      </c>
      <c r="Q12" s="30">
        <f ca="1">K12-P12*J12</f>
        <v>-9.8441020477051527E-3</v>
      </c>
      <c r="R12" s="11"/>
      <c r="S12" s="127">
        <v>5.0000000000000001E-4</v>
      </c>
      <c r="T12" s="11">
        <v>5.0000000000000001E-3</v>
      </c>
      <c r="U12" s="11">
        <v>1.8E-3</v>
      </c>
      <c r="V12" s="11">
        <v>0.14499999999999999</v>
      </c>
      <c r="W12" s="10"/>
      <c r="X12" s="10"/>
      <c r="Y12" s="10"/>
      <c r="Z12" s="10"/>
      <c r="AA12" s="10"/>
      <c r="AB12" s="10"/>
      <c r="AC12" s="10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</row>
    <row r="13" spans="2:110" x14ac:dyDescent="0.25">
      <c r="B13" s="101" t="s">
        <v>66</v>
      </c>
      <c r="C13" s="128" t="s">
        <v>68</v>
      </c>
      <c r="D13" s="89"/>
      <c r="E13" s="101">
        <v>2</v>
      </c>
      <c r="F13" s="20">
        <f ca="1"/>
        <v>5.9999999999999995E-4</v>
      </c>
      <c r="G13" s="21">
        <v>0</v>
      </c>
      <c r="H13" s="24"/>
      <c r="I13" s="102">
        <f t="shared" ref="I13" ca="1" si="2">EXP(-(H13+IRate)*(E13-E12))</f>
        <v>0.97044553354850815</v>
      </c>
      <c r="J13" s="103" cm="1">
        <f t="array" aca="1" ref="J13" ca="1">SUMPRODUCT(--($E$22:$E$221&lt;=E13),$I$22:$I$221,$F$22:$F$221)*0.05</f>
        <v>1.9397266911696338</v>
      </c>
      <c r="K13" s="104" cm="1">
        <f t="array" aca="1" ref="K13" ca="1">SUMPRODUCT(--($E$22:$E$221&lt;=E13),$K$22:$K$221,$F$22:$F$221)*(1-Recovery)</f>
        <v>0</v>
      </c>
      <c r="L13" s="103">
        <f ca="1">1/(H13+IRate)*(1-I13)*PRODUCT($I$11:I12)+J12</f>
        <v>1.9404435369124982</v>
      </c>
      <c r="M13" s="104">
        <f ca="1">(1-EXP(-(IRate+H13)*(E13-E12)))*H13/(H13+IRate)*0.6*PRODUCT($I$11:I12)+K12</f>
        <v>0</v>
      </c>
      <c r="N13" s="25">
        <f t="shared" ca="1" si="0"/>
        <v>-1.1638360147017803E-3</v>
      </c>
      <c r="P13" s="28">
        <v>0.01</v>
      </c>
      <c r="Q13" s="30">
        <f ca="1">K13-P13*J13</f>
        <v>-1.939726691169634E-2</v>
      </c>
      <c r="R13" s="11"/>
      <c r="S13" s="127">
        <v>5.9999999999999995E-4</v>
      </c>
      <c r="T13" s="11">
        <v>8.5000000000000006E-3</v>
      </c>
      <c r="U13" s="11">
        <v>3.2000000000000002E-3</v>
      </c>
      <c r="V13" s="11">
        <v>0.13500000000000001</v>
      </c>
      <c r="W13" s="10"/>
      <c r="X13" s="10"/>
      <c r="Y13" s="10"/>
      <c r="Z13" s="10"/>
      <c r="AA13" s="10"/>
      <c r="AB13" s="10"/>
      <c r="AC13" s="10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</row>
    <row r="14" spans="2:110" ht="13.8" thickBot="1" x14ac:dyDescent="0.3">
      <c r="B14" s="109" t="s">
        <v>67</v>
      </c>
      <c r="C14" s="110" t="s">
        <v>62</v>
      </c>
      <c r="D14" s="89"/>
      <c r="E14" s="101">
        <v>3</v>
      </c>
      <c r="F14" s="20">
        <f ca="1"/>
        <v>8.9999999999999998E-4</v>
      </c>
      <c r="G14" s="21">
        <v>0</v>
      </c>
      <c r="H14" s="24"/>
      <c r="I14" s="102">
        <f t="shared" ref="I14" ca="1" si="3">EXP(-(H14+IRate)*(E14-E13))</f>
        <v>0.97044553354850815</v>
      </c>
      <c r="J14" s="103" cm="1">
        <f t="array" aca="1" ref="J14" ca="1">SUMPRODUCT(--($E$22:$E$221&lt;=E14),$I$22:$I$221,$F$22:$F$221)*0.05</f>
        <v>2.8668093085209128</v>
      </c>
      <c r="K14" s="104" cm="1">
        <f t="array" aca="1" ref="K14" ca="1">SUMPRODUCT(--($E$22:$E$221&lt;=E14),$K$22:$K$221,$F$22:$F$221)*(1-Recovery)</f>
        <v>0</v>
      </c>
      <c r="L14" s="103">
        <f ca="1">1/(H14+IRate)*(1-I14)*PRODUCT($I$11:I13)+J13</f>
        <v>2.8675049682703184</v>
      </c>
      <c r="M14" s="104">
        <f ca="1">(1-EXP(-(IRate+H14)*(E14-E13)))*H14/(H14+IRate)*0.6*PRODUCT($I$11:I13)+K13</f>
        <v>0</v>
      </c>
      <c r="N14" s="25">
        <f t="shared" ca="1" si="0"/>
        <v>-2.5801283776688212E-3</v>
      </c>
      <c r="P14" s="28">
        <v>0.01</v>
      </c>
      <c r="Q14" s="30">
        <f ca="1">K14-P14*J14</f>
        <v>-2.8668093085209127E-2</v>
      </c>
      <c r="R14" s="11"/>
      <c r="S14" s="127">
        <v>8.9999999999999998E-4</v>
      </c>
      <c r="T14" s="11">
        <v>1.2E-2</v>
      </c>
      <c r="U14" s="11">
        <v>5.0000000000000001E-3</v>
      </c>
      <c r="V14" s="11">
        <v>0.13</v>
      </c>
      <c r="W14" s="10"/>
      <c r="X14" s="10"/>
      <c r="Y14" s="10"/>
      <c r="Z14" s="10"/>
      <c r="AA14" s="10"/>
      <c r="AB14" s="10"/>
      <c r="AC14" s="10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</row>
    <row r="15" spans="2:110" x14ac:dyDescent="0.25">
      <c r="D15" s="89"/>
      <c r="E15" s="101">
        <v>4</v>
      </c>
      <c r="F15" s="20">
        <f ca="1"/>
        <v>1.5E-3</v>
      </c>
      <c r="G15" s="21">
        <v>0</v>
      </c>
      <c r="H15" s="24"/>
      <c r="I15" s="102">
        <f t="shared" ref="I15" ca="1" si="4">EXP(-(H15+IRate)*(E15-E14))</f>
        <v>0.97044553354850815</v>
      </c>
      <c r="J15" s="103" cm="1">
        <f t="array" aca="1" ref="J15" ca="1">SUMPRODUCT(--($E$22:$E$221&lt;=E15),$I$22:$I$221,$F$22:$F$221)*0.05</f>
        <v>3.7664924937599218</v>
      </c>
      <c r="K15" s="104" cm="1">
        <f t="array" aca="1" ref="K15" ca="1">SUMPRODUCT(--($E$22:$E$221&lt;=E15),$K$22:$K$221,$F$22:$F$221)*(1-Recovery)</f>
        <v>0</v>
      </c>
      <c r="L15" s="103">
        <f ca="1">1/(H15+IRate)*(1-I15)*PRODUCT($I$11:I14)+J14</f>
        <v>3.7671675936566027</v>
      </c>
      <c r="M15" s="104">
        <f ca="1">(1-EXP(-(IRate+H15)*(E15-E14)))*H15/(H15+IRate)*0.6*PRODUCT($I$11:I14)+K14</f>
        <v>0</v>
      </c>
      <c r="N15" s="25">
        <f t="shared" ca="1" si="0"/>
        <v>-5.6497387406398824E-3</v>
      </c>
      <c r="P15" s="28">
        <v>0.01</v>
      </c>
      <c r="Q15" s="30">
        <f ca="1">K15-P15*J15</f>
        <v>-3.7664924937599216E-2</v>
      </c>
      <c r="R15" s="11"/>
      <c r="S15" s="127">
        <v>1.5E-3</v>
      </c>
      <c r="T15" s="11">
        <v>1.4500000000000001E-2</v>
      </c>
      <c r="U15" s="11">
        <v>7.4999999999999997E-3</v>
      </c>
      <c r="V15" s="11">
        <v>0.1275</v>
      </c>
      <c r="W15" s="10"/>
      <c r="X15" s="10"/>
      <c r="Y15" s="10"/>
      <c r="Z15" s="10"/>
      <c r="AA15" s="10"/>
      <c r="AB15" s="10"/>
      <c r="AC15" s="10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</row>
    <row r="16" spans="2:110" x14ac:dyDescent="0.25">
      <c r="B16" s="89"/>
      <c r="C16" s="192"/>
      <c r="D16" s="89"/>
      <c r="E16" s="101">
        <v>5</v>
      </c>
      <c r="F16" s="20">
        <f ca="1"/>
        <v>2.2000000000000001E-3</v>
      </c>
      <c r="G16" s="21">
        <v>0</v>
      </c>
      <c r="H16" s="24"/>
      <c r="I16" s="102">
        <f t="shared" ref="I16" ca="1" si="5">EXP(-(H16+IRate)*(E16-E15))</f>
        <v>0.97044553354850815</v>
      </c>
      <c r="J16" s="103" cm="1">
        <f t="array" aca="1" ref="J16" ca="1">SUMPRODUCT(--($E$22:$E$221&lt;=E16),$I$22:$I$221,$F$22:$F$221)*0.05</f>
        <v>4.6395860224838152</v>
      </c>
      <c r="K16" s="104" cm="1">
        <f t="array" aca="1" ref="K16" ca="1">SUMPRODUCT(--($E$22:$E$221&lt;=E16),$K$22:$K$221,$F$22:$F$221)*(1-Recovery)</f>
        <v>0</v>
      </c>
      <c r="L16" s="103">
        <f ca="1">1/(H16+IRate)*(1-I16)*PRODUCT($I$11:I15)+J15</f>
        <v>4.6402411701632458</v>
      </c>
      <c r="M16" s="104">
        <f ca="1">(1-EXP(-(IRate+H16)*(E16-E15)))*H16/(H16+IRate)*0.6*PRODUCT($I$11:I15)+K15</f>
        <v>0</v>
      </c>
      <c r="N16" s="25">
        <f t="shared" ca="1" si="0"/>
        <v>-1.0207089249464394E-2</v>
      </c>
      <c r="O16" s="11"/>
      <c r="P16" s="28">
        <v>0.01</v>
      </c>
      <c r="Q16" s="30">
        <f t="shared" ref="Q16:Q18" ca="1" si="6">K16-P16*J16</f>
        <v>-4.6395860224838152E-2</v>
      </c>
      <c r="R16" s="11"/>
      <c r="S16" s="127">
        <v>2.2000000000000001E-3</v>
      </c>
      <c r="T16" s="11">
        <v>1.7000000000000001E-2</v>
      </c>
      <c r="U16" s="11">
        <v>9.1999999999999998E-3</v>
      </c>
      <c r="V16" s="11">
        <v>0.125</v>
      </c>
      <c r="W16" s="10"/>
      <c r="X16" s="10"/>
      <c r="Y16" s="10"/>
      <c r="Z16" s="10"/>
      <c r="AA16" s="10"/>
      <c r="AB16" s="10"/>
      <c r="AC16" s="10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</row>
    <row r="17" spans="2:110" x14ac:dyDescent="0.25">
      <c r="B17" s="89"/>
      <c r="C17" s="191"/>
      <c r="D17" s="89"/>
      <c r="E17" s="101">
        <v>7</v>
      </c>
      <c r="F17" s="20">
        <f ca="1"/>
        <v>3.5000000000000001E-3</v>
      </c>
      <c r="G17" s="21">
        <v>0</v>
      </c>
      <c r="H17" s="24"/>
      <c r="I17" s="102">
        <f t="shared" ref="I17" ca="1" si="7">EXP(-(H17+IRate)*(E17-E16))</f>
        <v>0.94176453358424872</v>
      </c>
      <c r="J17" s="103" cm="1">
        <f t="array" aca="1" ref="J17" ca="1">SUMPRODUCT(--($E$22:$E$221&lt;=E17),$I$22:$I$221,$F$22:$F$221)*0.05</f>
        <v>6.3091242576581044</v>
      </c>
      <c r="K17" s="104" cm="1">
        <f t="array" aca="1" ref="K17" ca="1">SUMPRODUCT(--($E$22:$E$221&lt;=E17),$K$22:$K$221,$F$22:$F$221)*(1-Recovery)</f>
        <v>0</v>
      </c>
      <c r="L17" s="103">
        <f ca="1">1/(H17+IRate)*(1-I17)*PRODUCT($I$11:I16)+J16</f>
        <v>6.3103770376461714</v>
      </c>
      <c r="M17" s="104">
        <f ca="1">(1-EXP(-(IRate+H17)*(E17-E16)))*H17/(H17+IRate)*0.6*PRODUCT($I$11:I16)+K16</f>
        <v>0</v>
      </c>
      <c r="N17" s="25">
        <f t="shared" ca="1" si="0"/>
        <v>-2.2081934901803366E-2</v>
      </c>
      <c r="O17" s="11"/>
      <c r="P17" s="28">
        <v>0.01</v>
      </c>
      <c r="Q17" s="30">
        <f t="shared" ca="1" si="6"/>
        <v>-6.3091242576581039E-2</v>
      </c>
      <c r="R17" s="11"/>
      <c r="S17" s="127">
        <v>3.5000000000000001E-3</v>
      </c>
      <c r="T17" s="11">
        <v>1.95E-2</v>
      </c>
      <c r="U17" s="11">
        <v>1.2E-2</v>
      </c>
      <c r="V17" s="11">
        <v>0.1225</v>
      </c>
      <c r="W17" s="10"/>
      <c r="X17" s="10"/>
      <c r="Y17" s="10"/>
      <c r="Z17" s="10"/>
      <c r="AA17" s="10"/>
      <c r="AB17" s="10"/>
      <c r="AC17" s="10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</row>
    <row r="18" spans="2:110" ht="13.8" thickBot="1" x14ac:dyDescent="0.3">
      <c r="B18" s="89"/>
      <c r="C18" s="89"/>
      <c r="D18" s="89"/>
      <c r="E18" s="109">
        <v>10</v>
      </c>
      <c r="F18" s="23">
        <f ca="1"/>
        <v>4.4999999999999997E-3</v>
      </c>
      <c r="G18" s="22">
        <v>0</v>
      </c>
      <c r="H18" s="26"/>
      <c r="I18" s="111">
        <f t="shared" ref="I18" ca="1" si="8">EXP(-(H18+IRate)*(E18-E17))</f>
        <v>0.91393118527122819</v>
      </c>
      <c r="J18" s="112" cm="1">
        <f t="array" aca="1" ref="J18" ca="1">SUMPRODUCT(--($E$22:$E$221&lt;=E18),$I$22:$I$221,$F$22:$F$221)*0.05</f>
        <v>8.6329147193458464</v>
      </c>
      <c r="K18" s="113" cm="1">
        <f t="array" aca="1" ref="K18" ca="1">SUMPRODUCT(--($E$22:$E$221&lt;=E18),$K$22:$K$221,$F$22:$F$221)*(1-Recovery)</f>
        <v>0</v>
      </c>
      <c r="L18" s="112">
        <f ca="1">1/(H18+IRate)*(1-I18)*PRODUCT($I$11:I17)+J17</f>
        <v>8.6346584339404124</v>
      </c>
      <c r="M18" s="113">
        <f ca="1">(1-EXP(-(IRate+H18)*(E18-E17)))*H18/(H18+IRate)*0.6*PRODUCT($I$11:I17)+K17</f>
        <v>0</v>
      </c>
      <c r="N18" s="27">
        <f t="shared" ca="1" si="0"/>
        <v>-3.8848116237056307E-2</v>
      </c>
      <c r="O18" s="11"/>
      <c r="P18" s="29">
        <v>0.01</v>
      </c>
      <c r="Q18" s="31">
        <f t="shared" ca="1" si="6"/>
        <v>-8.6329147193458466E-2</v>
      </c>
      <c r="R18" s="11"/>
      <c r="S18" s="127">
        <v>4.4999999999999997E-3</v>
      </c>
      <c r="T18" s="11">
        <v>2.07E-2</v>
      </c>
      <c r="U18" s="11">
        <v>1.35E-2</v>
      </c>
      <c r="V18" s="11">
        <v>0.12</v>
      </c>
      <c r="W18" s="10"/>
      <c r="X18" s="10"/>
      <c r="Y18" s="10"/>
      <c r="Z18" s="10"/>
      <c r="AA18" s="10"/>
      <c r="AB18" s="10"/>
      <c r="AC18" s="10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</row>
    <row r="19" spans="2:110" ht="13.8" thickBot="1" x14ac:dyDescent="0.3">
      <c r="B19" s="89"/>
      <c r="C19" s="89"/>
      <c r="D19" s="89"/>
      <c r="H19" s="114"/>
      <c r="M19" s="89"/>
      <c r="N19" s="11">
        <f ca="1">SUMPRODUCT(N11:N18,N11:N18)</f>
        <v>2.1411853916820517E-3</v>
      </c>
      <c r="O19" s="11"/>
      <c r="P19" s="11"/>
      <c r="Q19" s="11"/>
      <c r="R19" s="11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</row>
    <row r="20" spans="2:110" x14ac:dyDescent="0.25">
      <c r="B20" s="89"/>
      <c r="C20" s="89"/>
      <c r="D20" s="89"/>
      <c r="E20" s="105"/>
      <c r="F20" s="115" t="s">
        <v>61</v>
      </c>
      <c r="G20" s="116" t="s">
        <v>14</v>
      </c>
      <c r="H20" s="106" t="s">
        <v>15</v>
      </c>
      <c r="I20" s="116" t="s">
        <v>16</v>
      </c>
      <c r="J20" s="106" t="s">
        <v>18</v>
      </c>
      <c r="K20" s="116" t="s">
        <v>12</v>
      </c>
      <c r="L20" s="116" t="s">
        <v>17</v>
      </c>
      <c r="M20" s="117" t="s">
        <v>19</v>
      </c>
      <c r="N20" s="12"/>
      <c r="O20" s="12"/>
      <c r="P20" s="12"/>
      <c r="Q20" s="12"/>
      <c r="R20" s="12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</row>
    <row r="21" spans="2:110" x14ac:dyDescent="0.25">
      <c r="B21" s="89"/>
      <c r="C21" s="89"/>
      <c r="D21" s="89"/>
      <c r="E21" s="108">
        <v>0</v>
      </c>
      <c r="F21" s="118">
        <f t="shared" ref="F21" si="9">EXP(-IRate*E21)</f>
        <v>1</v>
      </c>
      <c r="G21" s="36" cm="1">
        <f t="array" aca="1" ref="G21" ca="1">CubicSpline(Tenors,Spreads,E21)</f>
        <v>2.9999995604157448E-4</v>
      </c>
      <c r="H21" s="32" cm="1">
        <f t="array" aca="1" ref="H21" ca="1">IF(Method="CubicSpline",CubicSpline(Tenors,HRs,E21),FindHR(E21,Tenors,HRs,Method))</f>
        <v>0</v>
      </c>
      <c r="I21" s="36">
        <f>100%</f>
        <v>1</v>
      </c>
      <c r="J21" s="32">
        <f>1-I21</f>
        <v>0</v>
      </c>
      <c r="K21" s="38"/>
      <c r="L21" s="38">
        <f t="shared" ref="L21" ca="1" si="10">EXP(-G21*E21/(1-Recovery))</f>
        <v>1</v>
      </c>
      <c r="M21" s="33">
        <f t="shared" ref="M21:M84" ca="1" si="11">1-L21</f>
        <v>0</v>
      </c>
      <c r="N21" s="12"/>
      <c r="O21" s="12"/>
      <c r="P21" s="12"/>
      <c r="Q21" s="12"/>
      <c r="R21" s="12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</row>
    <row r="22" spans="2:110" x14ac:dyDescent="0.25">
      <c r="B22" s="89"/>
      <c r="C22" s="89"/>
      <c r="D22" s="89"/>
      <c r="E22" s="108">
        <f>E21+0.05</f>
        <v>0.05</v>
      </c>
      <c r="F22" s="118">
        <f t="shared" ref="F22" si="12">EXP(-IRate*E22)</f>
        <v>0.99850112443771089</v>
      </c>
      <c r="G22" s="36" cm="1">
        <f t="array" aca="1" ref="G22" ca="1">CubicSpline(Tenors,Spreads,E22)</f>
        <v>3.0790454107045663E-4</v>
      </c>
      <c r="H22" s="32" cm="1">
        <f t="array" aca="1" ref="H22" ca="1">IF(Method="CubicSpline",CubicSpline(Tenors,HRs,E22),FindHR(E22,Tenors,HRs,Method))</f>
        <v>0</v>
      </c>
      <c r="I22" s="36">
        <f t="shared" ref="I22:I85" ca="1" si="13">EXP(-H22*(E22-E21))*I21</f>
        <v>1</v>
      </c>
      <c r="J22" s="32">
        <f t="shared" ref="J22:J85" ca="1" si="14">1-I22</f>
        <v>0</v>
      </c>
      <c r="K22" s="38">
        <f t="shared" ref="K22:K85" ca="1" si="15">I21-I22</f>
        <v>0</v>
      </c>
      <c r="L22" s="38">
        <f t="shared" ref="L22" ca="1" si="16">EXP(-G22*E22/(1-Recovery))</f>
        <v>0.99997434161742604</v>
      </c>
      <c r="M22" s="33">
        <f t="shared" ca="1" si="11"/>
        <v>2.5658382573956473E-5</v>
      </c>
      <c r="N22" s="12"/>
      <c r="O22" s="12"/>
      <c r="P22" s="12"/>
      <c r="Q22" s="12"/>
      <c r="R22" s="12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</row>
    <row r="23" spans="2:110" x14ac:dyDescent="0.25">
      <c r="B23" s="120"/>
      <c r="C23" s="14"/>
      <c r="D23" s="14"/>
      <c r="E23" s="108">
        <f t="shared" ref="E23:E40" si="17">E22+0.05</f>
        <v>0.1</v>
      </c>
      <c r="F23" s="118">
        <f t="shared" ref="F23" si="18">EXP(-IRate*E23)</f>
        <v>0.997004495503373</v>
      </c>
      <c r="G23" s="36" cm="1">
        <f t="array" aca="1" ref="G23" ca="1">CubicSpline(Tenors,Spreads,E23)</f>
        <v>3.1647083256393669E-4</v>
      </c>
      <c r="H23" s="32" cm="1">
        <f t="array" aca="1" ref="H23" ca="1">IF(Method="CubicSpline",CubicSpline(Tenors,HRs,E23),FindHR(E23,Tenors,HRs,Method))</f>
        <v>0</v>
      </c>
      <c r="I23" s="36">
        <f t="shared" ca="1" si="13"/>
        <v>1</v>
      </c>
      <c r="J23" s="32">
        <f t="shared" ca="1" si="14"/>
        <v>0</v>
      </c>
      <c r="K23" s="38">
        <f t="shared" ca="1" si="15"/>
        <v>0</v>
      </c>
      <c r="L23" s="38">
        <f t="shared" ref="L23" ca="1" si="19">EXP(-G23*E23/(1-Recovery))</f>
        <v>0.99994725625223968</v>
      </c>
      <c r="M23" s="33">
        <f t="shared" ca="1" si="11"/>
        <v>5.274374776031987E-5</v>
      </c>
      <c r="N23" s="12"/>
      <c r="O23" s="12"/>
      <c r="P23" s="12"/>
      <c r="Q23" s="12"/>
      <c r="R23" s="12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</row>
    <row r="24" spans="2:110" x14ac:dyDescent="0.25">
      <c r="B24" s="120"/>
      <c r="C24" s="14"/>
      <c r="D24" s="14"/>
      <c r="E24" s="108">
        <f t="shared" si="17"/>
        <v>0.15000000000000002</v>
      </c>
      <c r="F24" s="118">
        <f t="shared" ref="F24" si="20">EXP(-IRate*E24)</f>
        <v>0.99551010982957056</v>
      </c>
      <c r="G24" s="36" cm="1">
        <f t="array" aca="1" ref="G24" ca="1">CubicSpline(Tenors,Spreads,E24)</f>
        <v>3.2562536578916481E-4</v>
      </c>
      <c r="H24" s="32" cm="1">
        <f t="array" aca="1" ref="H24" ca="1">IF(Method="CubicSpline",CubicSpline(Tenors,HRs,E24),FindHR(E24,Tenors,HRs,Method))</f>
        <v>0</v>
      </c>
      <c r="I24" s="36">
        <f t="shared" ca="1" si="13"/>
        <v>1</v>
      </c>
      <c r="J24" s="32">
        <f t="shared" ca="1" si="14"/>
        <v>0</v>
      </c>
      <c r="K24" s="38">
        <f t="shared" ca="1" si="15"/>
        <v>0</v>
      </c>
      <c r="L24" s="38">
        <f t="shared" ref="L24" ca="1" si="21">EXP(-G24*E24/(1-Recovery))</f>
        <v>0.99991859697195906</v>
      </c>
      <c r="M24" s="33">
        <f t="shared" ca="1" si="11"/>
        <v>8.1403028040938352E-5</v>
      </c>
      <c r="N24" s="12"/>
      <c r="O24" s="12"/>
      <c r="P24" s="12"/>
      <c r="Q24" s="12"/>
      <c r="R24" s="12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</row>
    <row r="25" spans="2:110" x14ac:dyDescent="0.25">
      <c r="B25" s="120"/>
      <c r="C25" s="14"/>
      <c r="D25" s="14"/>
      <c r="E25" s="108">
        <f t="shared" si="17"/>
        <v>0.2</v>
      </c>
      <c r="F25" s="118">
        <f t="shared" ref="F25" si="22">EXP(-IRate*E25)</f>
        <v>0.99401796405393528</v>
      </c>
      <c r="G25" s="36" cm="1">
        <f t="array" aca="1" ref="G25" ca="1">CubicSpline(Tenors,Spreads,E25)</f>
        <v>3.3529450139030816E-4</v>
      </c>
      <c r="H25" s="32" cm="1">
        <f t="array" aca="1" ref="H25" ca="1">IF(Method="CubicSpline",CubicSpline(Tenors,HRs,E25),FindHR(E25,Tenors,HRs,Method))</f>
        <v>0</v>
      </c>
      <c r="I25" s="36">
        <f t="shared" ca="1" si="13"/>
        <v>1</v>
      </c>
      <c r="J25" s="32">
        <f t="shared" ca="1" si="14"/>
        <v>0</v>
      </c>
      <c r="K25" s="38">
        <f t="shared" ca="1" si="15"/>
        <v>0</v>
      </c>
      <c r="L25" s="38">
        <f t="shared" ref="L25" ca="1" si="23">EXP(-G25*E25/(1-Recovery))</f>
        <v>0.99988824141165955</v>
      </c>
      <c r="M25" s="33">
        <f t="shared" ca="1" si="11"/>
        <v>1.1175858834044927E-4</v>
      </c>
      <c r="N25" s="12"/>
      <c r="O25" s="12"/>
      <c r="P25" s="12"/>
      <c r="Q25" s="12"/>
      <c r="R25" s="12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</row>
    <row r="26" spans="2:110" x14ac:dyDescent="0.25">
      <c r="B26" s="119"/>
      <c r="C26" s="11"/>
      <c r="D26" s="11"/>
      <c r="E26" s="108">
        <f t="shared" si="17"/>
        <v>0.25</v>
      </c>
      <c r="F26" s="118">
        <f t="shared" ref="F26" si="24">EXP(-IRate*E26)</f>
        <v>0.99252805481913842</v>
      </c>
      <c r="G26" s="36" cm="1">
        <f t="array" aca="1" ref="G26" ca="1">CubicSpline(Tenors,Spreads,E26)</f>
        <v>3.454047746345168E-4</v>
      </c>
      <c r="H26" s="32" cm="1">
        <f t="array" aca="1" ref="H26" ca="1">IF(Method="CubicSpline",CubicSpline(Tenors,HRs,E26),FindHR(E26,Tenors,HRs,Method))</f>
        <v>0</v>
      </c>
      <c r="I26" s="36">
        <f t="shared" ca="1" si="13"/>
        <v>1</v>
      </c>
      <c r="J26" s="32">
        <f t="shared" ca="1" si="14"/>
        <v>0</v>
      </c>
      <c r="K26" s="38">
        <f t="shared" ca="1" si="15"/>
        <v>0</v>
      </c>
      <c r="L26" s="38">
        <f t="shared" ref="L26" ca="1" si="25">EXP(-G26*E26/(1-Recovery))</f>
        <v>0.99985609169969525</v>
      </c>
      <c r="M26" s="33">
        <f t="shared" ca="1" si="11"/>
        <v>1.4390830030475144E-4</v>
      </c>
      <c r="N26" s="12"/>
      <c r="O26" s="12"/>
      <c r="P26" s="12"/>
      <c r="Q26" s="12"/>
      <c r="R26" s="12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</row>
    <row r="27" spans="2:110" x14ac:dyDescent="0.25">
      <c r="B27" s="120"/>
      <c r="C27" s="120"/>
      <c r="D27" s="120"/>
      <c r="E27" s="108">
        <f t="shared" si="17"/>
        <v>0.3</v>
      </c>
      <c r="F27" s="118">
        <f t="shared" ref="F27" si="26">EXP(-IRate*E27)</f>
        <v>0.99104037877288365</v>
      </c>
      <c r="G27" s="36" cm="1">
        <f t="array" aca="1" ref="G27" ca="1">CubicSpline(Tenors,Spreads,E27)</f>
        <v>3.558826625812799E-4</v>
      </c>
      <c r="H27" s="32" cm="1">
        <f t="array" aca="1" ref="H27" ca="1">IF(Method="CubicSpline",CubicSpline(Tenors,HRs,E27),FindHR(E27,Tenors,HRs,Method))</f>
        <v>0</v>
      </c>
      <c r="I27" s="36">
        <f t="shared" ca="1" si="13"/>
        <v>1</v>
      </c>
      <c r="J27" s="32">
        <f t="shared" ca="1" si="14"/>
        <v>0</v>
      </c>
      <c r="K27" s="38">
        <f t="shared" ca="1" si="15"/>
        <v>0</v>
      </c>
      <c r="L27" s="38">
        <f t="shared" ref="L27" ca="1" si="27">EXP(-G27*E27/(1-Recovery))</f>
        <v>0.99982207449932903</v>
      </c>
      <c r="M27" s="33">
        <f t="shared" ca="1" si="11"/>
        <v>1.7792550067097235E-4</v>
      </c>
      <c r="N27" s="12"/>
      <c r="O27" s="12"/>
      <c r="P27" s="12"/>
      <c r="Q27" s="12"/>
      <c r="R27" s="12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</row>
    <row r="28" spans="2:110" x14ac:dyDescent="0.25">
      <c r="B28" s="120"/>
      <c r="C28" s="14"/>
      <c r="D28" s="14"/>
      <c r="E28" s="108">
        <f t="shared" si="17"/>
        <v>0.35</v>
      </c>
      <c r="F28" s="118">
        <f t="shared" ref="F28" si="28">EXP(-IRate*E28)</f>
        <v>0.98955493256789928</v>
      </c>
      <c r="G28" s="36" cm="1">
        <f t="array" aca="1" ref="G28" ca="1">CubicSpline(Tenors,Spreads,E28)</f>
        <v>3.6665464229008646E-4</v>
      </c>
      <c r="H28" s="32" cm="1">
        <f t="array" aca="1" ref="H28" ca="1">IF(Method="CubicSpline",CubicSpline(Tenors,HRs,E28),FindHR(E28,Tenors,HRs,Method))</f>
        <v>0</v>
      </c>
      <c r="I28" s="36">
        <f t="shared" ca="1" si="13"/>
        <v>1</v>
      </c>
      <c r="J28" s="32">
        <f t="shared" ca="1" si="14"/>
        <v>0</v>
      </c>
      <c r="K28" s="38">
        <f t="shared" ca="1" si="15"/>
        <v>0</v>
      </c>
      <c r="L28" s="38">
        <f t="shared" ref="L28" ca="1" si="29">EXP(-G28*E28/(1-Recovery))</f>
        <v>0.99978614099642837</v>
      </c>
      <c r="M28" s="33">
        <f t="shared" ca="1" si="11"/>
        <v>2.1385900357162591E-4</v>
      </c>
      <c r="N28" s="12"/>
      <c r="O28" s="12"/>
      <c r="P28" s="12"/>
      <c r="Q28" s="12"/>
      <c r="R28" s="12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</row>
    <row r="29" spans="2:110" x14ac:dyDescent="0.25">
      <c r="B29" s="89"/>
      <c r="C29" s="89"/>
      <c r="D29" s="89"/>
      <c r="E29" s="108">
        <f t="shared" si="17"/>
        <v>0.39999999999999997</v>
      </c>
      <c r="F29" s="118">
        <f t="shared" ref="F29" si="30">EXP(-IRate*E29)</f>
        <v>0.98807171286193052</v>
      </c>
      <c r="G29" s="36" cm="1">
        <f t="array" aca="1" ref="G29" ca="1">CubicSpline(Tenors,Spreads,E29)</f>
        <v>3.7764727813191713E-4</v>
      </c>
      <c r="H29" s="32" cm="1">
        <f t="array" aca="1" ref="H29" ca="1">IF(Method="CubicSpline",CubicSpline(Tenors,HRs,E29),FindHR(E29,Tenors,HRs,Method))</f>
        <v>0</v>
      </c>
      <c r="I29" s="36">
        <f t="shared" ca="1" si="13"/>
        <v>1</v>
      </c>
      <c r="J29" s="32">
        <f t="shared" ca="1" si="14"/>
        <v>0</v>
      </c>
      <c r="K29" s="38">
        <f t="shared" ca="1" si="15"/>
        <v>0</v>
      </c>
      <c r="L29" s="38">
        <f t="shared" ref="L29" ca="1" si="31">EXP(-G29*E29/(1-Recovery))</f>
        <v>0.99974826683802287</v>
      </c>
      <c r="M29" s="33">
        <f t="shared" ca="1" si="11"/>
        <v>2.5173316197713014E-4</v>
      </c>
      <c r="N29" s="12"/>
      <c r="O29" s="12"/>
      <c r="P29" s="12"/>
      <c r="Q29" s="12"/>
      <c r="R29" s="12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</row>
    <row r="30" spans="2:110" x14ac:dyDescent="0.25">
      <c r="B30" s="121"/>
      <c r="C30" s="122"/>
      <c r="D30" s="122"/>
      <c r="E30" s="108">
        <f t="shared" si="17"/>
        <v>0.44999999999999996</v>
      </c>
      <c r="F30" s="118">
        <f t="shared" ref="F30" si="32">EXP(-IRate*E30)</f>
        <v>0.98659071631773265</v>
      </c>
      <c r="G30" s="36" cm="1">
        <f t="array" aca="1" ref="G30" ca="1">CubicSpline(Tenors,Spreads,E30)</f>
        <v>3.887868725432781E-4</v>
      </c>
      <c r="H30" s="32" cm="1">
        <f t="array" aca="1" ref="H30" ca="1">IF(Method="CubicSpline",CubicSpline(Tenors,HRs,E30),FindHR(E30,Tenors,HRs,Method))</f>
        <v>0</v>
      </c>
      <c r="I30" s="36">
        <f t="shared" ca="1" si="13"/>
        <v>1</v>
      </c>
      <c r="J30" s="32">
        <f t="shared" ca="1" si="14"/>
        <v>0</v>
      </c>
      <c r="K30" s="38">
        <f t="shared" ca="1" si="15"/>
        <v>0</v>
      </c>
      <c r="L30" s="38">
        <f t="shared" ref="L30" ca="1" si="33">EXP(-G30*E30/(1-Recovery))</f>
        <v>0.99970845235386985</v>
      </c>
      <c r="M30" s="33">
        <f t="shared" ca="1" si="11"/>
        <v>2.9154764613015249E-4</v>
      </c>
      <c r="N30" s="12"/>
      <c r="O30" s="12"/>
      <c r="P30" s="12"/>
      <c r="Q30" s="12"/>
      <c r="R30" s="12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</row>
    <row r="31" spans="2:110" x14ac:dyDescent="0.25">
      <c r="B31" s="121"/>
      <c r="C31" s="122"/>
      <c r="D31" s="122"/>
      <c r="E31" s="108">
        <f t="shared" si="17"/>
        <v>0.49999999999999994</v>
      </c>
      <c r="F31" s="118">
        <f t="shared" ref="F31" si="34">EXP(-IRate*E31)</f>
        <v>0.98511193960306265</v>
      </c>
      <c r="G31" s="36" cm="1">
        <f t="array" aca="1" ref="G31" ca="1">CubicSpline(Tenors,Spreads,E31)</f>
        <v>3.9999998989515001E-4</v>
      </c>
      <c r="H31" s="32" cm="1">
        <f t="array" aca="1" ref="H31" ca="1">IF(Method="CubicSpline",CubicSpline(Tenors,HRs,E31),FindHR(E31,Tenors,HRs,Method))</f>
        <v>0</v>
      </c>
      <c r="I31" s="36">
        <f t="shared" ca="1" si="13"/>
        <v>1</v>
      </c>
      <c r="J31" s="32">
        <f t="shared" ca="1" si="14"/>
        <v>0</v>
      </c>
      <c r="K31" s="38">
        <f t="shared" ca="1" si="15"/>
        <v>0</v>
      </c>
      <c r="L31" s="38">
        <f t="shared" ref="L31" ca="1" si="35">EXP(-G31*E31/(1-Recovery))</f>
        <v>0.99966672222446784</v>
      </c>
      <c r="M31" s="33">
        <f t="shared" ca="1" si="11"/>
        <v>3.332777755321592E-4</v>
      </c>
      <c r="N31" s="12"/>
      <c r="O31" s="12"/>
      <c r="P31" s="12"/>
      <c r="Q31" s="12"/>
      <c r="R31" s="12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</row>
    <row r="32" spans="2:110" x14ac:dyDescent="0.25">
      <c r="B32" s="121"/>
      <c r="C32" s="122"/>
      <c r="D32" s="122"/>
      <c r="E32" s="108">
        <f t="shared" si="17"/>
        <v>0.54999999999999993</v>
      </c>
      <c r="F32" s="118">
        <f t="shared" ref="F32" si="36">EXP(-IRate*E32)</f>
        <v>0.98363537939067236</v>
      </c>
      <c r="G32" s="36" cm="1">
        <f t="array" aca="1" ref="G32" ca="1">CubicSpline(Tenors,Spreads,E32)</f>
        <v>4.1121310724702193E-4</v>
      </c>
      <c r="H32" s="32" cm="1">
        <f t="array" aca="1" ref="H32" ca="1">IF(Method="CubicSpline",CubicSpline(Tenors,HRs,E32),FindHR(E32,Tenors,HRs,Method))</f>
        <v>0</v>
      </c>
      <c r="I32" s="36">
        <f t="shared" ca="1" si="13"/>
        <v>1</v>
      </c>
      <c r="J32" s="32">
        <f t="shared" ca="1" si="14"/>
        <v>0</v>
      </c>
      <c r="K32" s="38">
        <f t="shared" ca="1" si="15"/>
        <v>0</v>
      </c>
      <c r="L32" s="38">
        <f t="shared" ref="L32" ca="1" si="37">EXP(-G32*E32/(1-Recovery))</f>
        <v>0.99962312568666234</v>
      </c>
      <c r="M32" s="33">
        <f t="shared" ca="1" si="11"/>
        <v>3.7687431333766064E-4</v>
      </c>
      <c r="N32" s="12"/>
      <c r="O32" s="12"/>
      <c r="P32" s="12"/>
      <c r="Q32" s="12"/>
      <c r="R32" s="12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</row>
    <row r="33" spans="2:110" x14ac:dyDescent="0.25">
      <c r="B33" s="121"/>
      <c r="C33" s="122"/>
      <c r="D33" s="122"/>
      <c r="E33" s="108">
        <f t="shared" si="17"/>
        <v>0.6</v>
      </c>
      <c r="F33" s="118">
        <f t="shared" ref="F33" si="38">EXP(-IRate*E33)</f>
        <v>0.98216103235830077</v>
      </c>
      <c r="G33" s="36" cm="1">
        <f t="array" aca="1" ref="G33" ca="1">CubicSpline(Tenors,Spreads,E33)</f>
        <v>4.2235273076221346E-4</v>
      </c>
      <c r="H33" s="32" cm="1">
        <f t="array" aca="1" ref="H33" ca="1">IF(Method="CubicSpline",CubicSpline(Tenors,HRs,E33),FindHR(E33,Tenors,HRs,Method))</f>
        <v>0</v>
      </c>
      <c r="I33" s="36">
        <f t="shared" ca="1" si="13"/>
        <v>1</v>
      </c>
      <c r="J33" s="32">
        <f t="shared" ca="1" si="14"/>
        <v>0</v>
      </c>
      <c r="K33" s="38">
        <f t="shared" ca="1" si="15"/>
        <v>0</v>
      </c>
      <c r="L33" s="38">
        <f t="shared" ref="L33" ca="1" si="39">EXP(-G33*E33/(1-Recovery))</f>
        <v>0.99957773644759706</v>
      </c>
      <c r="M33" s="33">
        <f t="shared" ca="1" si="11"/>
        <v>4.2226355240293501E-4</v>
      </c>
      <c r="N33" s="12"/>
      <c r="O33" s="12"/>
      <c r="P33" s="12"/>
      <c r="Q33" s="12"/>
      <c r="R33" s="12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</row>
    <row r="34" spans="2:110" x14ac:dyDescent="0.25">
      <c r="B34" s="121"/>
      <c r="C34" s="122"/>
      <c r="D34" s="122"/>
      <c r="E34" s="108">
        <f t="shared" si="17"/>
        <v>0.65</v>
      </c>
      <c r="F34" s="118">
        <f t="shared" ref="F34" si="40">EXP(-IRate*E34)</f>
        <v>0.9806888951886662</v>
      </c>
      <c r="G34" s="36" cm="1">
        <f t="array" aca="1" ref="G34" ca="1">CubicSpline(Tenors,Spreads,E34)</f>
        <v>4.3334527929255275E-4</v>
      </c>
      <c r="H34" s="32" cm="1">
        <f t="array" aca="1" ref="H34" ca="1">IF(Method="CubicSpline",CubicSpline(Tenors,HRs,E34),FindHR(E34,Tenors,HRs,Method))</f>
        <v>0</v>
      </c>
      <c r="I34" s="36">
        <f t="shared" ca="1" si="13"/>
        <v>1</v>
      </c>
      <c r="J34" s="32">
        <f t="shared" ca="1" si="14"/>
        <v>0</v>
      </c>
      <c r="K34" s="38">
        <f t="shared" ca="1" si="15"/>
        <v>0</v>
      </c>
      <c r="L34" s="38">
        <f t="shared" ref="L34" ca="1" si="41">EXP(-G34*E34/(1-Recovery))</f>
        <v>0.99953065279197639</v>
      </c>
      <c r="M34" s="33">
        <f t="shared" ca="1" si="11"/>
        <v>4.6934720802360719E-4</v>
      </c>
      <c r="N34" s="12"/>
      <c r="O34" s="12"/>
      <c r="P34" s="12"/>
      <c r="Q34" s="12"/>
      <c r="R34" s="12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</row>
    <row r="35" spans="2:110" x14ac:dyDescent="0.25">
      <c r="B35" s="121"/>
      <c r="C35" s="122"/>
      <c r="D35" s="122"/>
      <c r="E35" s="108">
        <f t="shared" si="17"/>
        <v>0.70000000000000007</v>
      </c>
      <c r="F35" s="118">
        <f t="shared" ref="F35" si="42">EXP(-IRate*E35)</f>
        <v>0.97921896456945956</v>
      </c>
      <c r="G35" s="36" cm="1">
        <f t="array" aca="1" ref="G35" ca="1">CubicSpline(Tenors,Spreads,E35)</f>
        <v>4.4411730265710511E-4</v>
      </c>
      <c r="H35" s="32" cm="1">
        <f t="array" aca="1" ref="H35" ca="1">IF(Method="CubicSpline",CubicSpline(Tenors,HRs,E35),FindHR(E35,Tenors,HRs,Method))</f>
        <v>0</v>
      </c>
      <c r="I35" s="36">
        <f t="shared" ca="1" si="13"/>
        <v>1</v>
      </c>
      <c r="J35" s="32">
        <f t="shared" ca="1" si="14"/>
        <v>0</v>
      </c>
      <c r="K35" s="38">
        <f t="shared" ca="1" si="15"/>
        <v>0</v>
      </c>
      <c r="L35" s="38">
        <f t="shared" ref="L35" ca="1" si="43">EXP(-G35*E35/(1-Recovery))</f>
        <v>0.99948199735661869</v>
      </c>
      <c r="M35" s="33">
        <f t="shared" ca="1" si="11"/>
        <v>5.1800264338131008E-4</v>
      </c>
      <c r="N35" s="12"/>
      <c r="O35" s="12"/>
      <c r="P35" s="12"/>
      <c r="Q35" s="12"/>
      <c r="R35" s="12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</row>
    <row r="36" spans="2:110" x14ac:dyDescent="0.25">
      <c r="B36" s="121"/>
      <c r="C36" s="122"/>
      <c r="D36" s="122"/>
      <c r="E36" s="108">
        <f t="shared" si="17"/>
        <v>0.75000000000000011</v>
      </c>
      <c r="F36" s="118">
        <f t="shared" ref="F36" si="44">EXP(-IRate*E36)</f>
        <v>0.97775123719333634</v>
      </c>
      <c r="G36" s="36" cm="1">
        <f t="array" aca="1" ref="G36" ca="1">CubicSpline(Tenors,Spreads,E36)</f>
        <v>4.5459519060386821E-4</v>
      </c>
      <c r="H36" s="32" cm="1">
        <f t="array" aca="1" ref="H36" ca="1">IF(Method="CubicSpline",CubicSpline(Tenors,HRs,E36),FindHR(E36,Tenors,HRs,Method))</f>
        <v>0</v>
      </c>
      <c r="I36" s="36">
        <f t="shared" ca="1" si="13"/>
        <v>1</v>
      </c>
      <c r="J36" s="32">
        <f t="shared" ca="1" si="14"/>
        <v>0</v>
      </c>
      <c r="K36" s="38">
        <f t="shared" ca="1" si="15"/>
        <v>0</v>
      </c>
      <c r="L36" s="38">
        <f t="shared" ref="L36" ca="1" si="45">EXP(-G36*E36/(1-Recovery))</f>
        <v>0.9994319174317835</v>
      </c>
      <c r="M36" s="33">
        <f t="shared" ca="1" si="11"/>
        <v>5.6808256821649916E-4</v>
      </c>
      <c r="N36" s="12"/>
      <c r="O36" s="12"/>
      <c r="P36" s="12"/>
      <c r="Q36" s="12"/>
      <c r="R36" s="12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</row>
    <row r="37" spans="2:110" x14ac:dyDescent="0.25">
      <c r="B37" s="121"/>
      <c r="C37" s="122"/>
      <c r="D37" s="122"/>
      <c r="E37" s="108">
        <f t="shared" si="17"/>
        <v>0.80000000000000016</v>
      </c>
      <c r="F37" s="118">
        <f t="shared" ref="F37" si="46">EXP(-IRate*E37)</f>
        <v>0.97628570975790929</v>
      </c>
      <c r="G37" s="36" cm="1">
        <f t="array" aca="1" ref="G37" ca="1">CubicSpline(Tenors,Spreads,E37)</f>
        <v>4.6470547839999214E-4</v>
      </c>
      <c r="H37" s="32" cm="1">
        <f t="array" aca="1" ref="H37" ca="1">IF(Method="CubicSpline",CubicSpline(Tenors,HRs,E37),FindHR(E37,Tenors,HRs,Method))</f>
        <v>0</v>
      </c>
      <c r="I37" s="36">
        <f t="shared" ca="1" si="13"/>
        <v>1</v>
      </c>
      <c r="J37" s="32">
        <f t="shared" ca="1" si="14"/>
        <v>0</v>
      </c>
      <c r="K37" s="38">
        <f t="shared" ca="1" si="15"/>
        <v>0</v>
      </c>
      <c r="L37" s="38">
        <f t="shared" ref="L37" ca="1" si="47">EXP(-G37*E37/(1-Recovery))</f>
        <v>0.99938058461243284</v>
      </c>
      <c r="M37" s="33">
        <f t="shared" ca="1" si="11"/>
        <v>6.1941538756715708E-4</v>
      </c>
      <c r="N37" s="12"/>
      <c r="O37" s="12"/>
      <c r="P37" s="12"/>
      <c r="Q37" s="12"/>
      <c r="R37" s="12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</row>
    <row r="38" spans="2:110" x14ac:dyDescent="0.25">
      <c r="B38" s="121"/>
      <c r="C38" s="122"/>
      <c r="D38" s="122"/>
      <c r="E38" s="108">
        <f t="shared" si="17"/>
        <v>0.8500000000000002</v>
      </c>
      <c r="F38" s="118">
        <f t="shared" ref="F38" si="48">EXP(-IRate*E38)</f>
        <v>0.97482237896574109</v>
      </c>
      <c r="G38" s="36" cm="1">
        <f t="array" aca="1" ref="G38" ca="1">CubicSpline(Tenors,Spreads,E38)</f>
        <v>4.7437463582900838E-4</v>
      </c>
      <c r="H38" s="32" cm="1">
        <f t="array" aca="1" ref="H38" ca="1">IF(Method="CubicSpline",CubicSpline(Tenors,HRs,E38),FindHR(E38,Tenors,HRs,Method))</f>
        <v>0</v>
      </c>
      <c r="I38" s="36">
        <f t="shared" ca="1" si="13"/>
        <v>1</v>
      </c>
      <c r="J38" s="32">
        <f t="shared" ca="1" si="14"/>
        <v>0</v>
      </c>
      <c r="K38" s="38">
        <f t="shared" ca="1" si="15"/>
        <v>0</v>
      </c>
      <c r="L38" s="38">
        <f t="shared" ref="L38" ca="1" si="49">EXP(-G38*E38/(1-Recovery))</f>
        <v>0.99932819502798687</v>
      </c>
      <c r="M38" s="33">
        <f t="shared" ca="1" si="11"/>
        <v>6.7180497201313472E-4</v>
      </c>
      <c r="N38" s="12"/>
      <c r="O38" s="12"/>
      <c r="P38" s="12"/>
      <c r="Q38" s="12"/>
      <c r="R38" s="12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</row>
    <row r="39" spans="2:110" x14ac:dyDescent="0.25">
      <c r="B39" s="121"/>
      <c r="C39" s="122"/>
      <c r="D39" s="122"/>
      <c r="E39" s="108">
        <f t="shared" si="17"/>
        <v>0.90000000000000024</v>
      </c>
      <c r="F39" s="118">
        <f t="shared" ref="F39" si="50">EXP(-IRate*E39)</f>
        <v>0.97336124152433678</v>
      </c>
      <c r="G39" s="36" cm="1">
        <f t="array" aca="1" ref="G39" ca="1">CubicSpline(Tenors,Spreads,E39)</f>
        <v>4.8352911812253325E-4</v>
      </c>
      <c r="H39" s="32" cm="1">
        <f t="array" aca="1" ref="H39" ca="1">IF(Method="CubicSpline",CubicSpline(Tenors,HRs,E39),FindHR(E39,Tenors,HRs,Method))</f>
        <v>0</v>
      </c>
      <c r="I39" s="36">
        <f t="shared" ca="1" si="13"/>
        <v>1</v>
      </c>
      <c r="J39" s="32">
        <f t="shared" ca="1" si="14"/>
        <v>0</v>
      </c>
      <c r="K39" s="38">
        <f t="shared" ca="1" si="15"/>
        <v>0</v>
      </c>
      <c r="L39" s="38">
        <f t="shared" ref="L39" ca="1" si="51">EXP(-G39*E39/(1-Recovery))</f>
        <v>0.99927496928469661</v>
      </c>
      <c r="M39" s="33">
        <f t="shared" ca="1" si="11"/>
        <v>7.2503071530338747E-4</v>
      </c>
      <c r="N39" s="12"/>
      <c r="O39" s="12"/>
      <c r="P39" s="12"/>
      <c r="Q39" s="12"/>
      <c r="R39" s="12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</row>
    <row r="40" spans="2:110" x14ac:dyDescent="0.25">
      <c r="B40" s="121"/>
      <c r="C40" s="122"/>
      <c r="D40" s="122"/>
      <c r="E40" s="108">
        <f t="shared" si="17"/>
        <v>0.95000000000000029</v>
      </c>
      <c r="F40" s="118">
        <f t="shared" ref="F40" si="52">EXP(-IRate*E40)</f>
        <v>0.9719022941461366</v>
      </c>
      <c r="G40" s="36" cm="1">
        <f t="array" aca="1" ref="G40" ca="1">CubicSpline(Tenors,Spreads,E40)</f>
        <v>4.9209542416792844E-4</v>
      </c>
      <c r="H40" s="32" cm="1">
        <f t="array" aca="1" ref="H40" ca="1">IF(Method="CubicSpline",CubicSpline(Tenors,HRs,E40),FindHR(E40,Tenors,HRs,Method))</f>
        <v>0</v>
      </c>
      <c r="I40" s="36">
        <f t="shared" ca="1" si="13"/>
        <v>1</v>
      </c>
      <c r="J40" s="32">
        <f t="shared" ca="1" si="14"/>
        <v>0</v>
      </c>
      <c r="K40" s="38">
        <f t="shared" ca="1" si="15"/>
        <v>0</v>
      </c>
      <c r="L40" s="38">
        <f t="shared" ref="L40" ca="1" si="53">EXP(-G40*E40/(1-Recovery))</f>
        <v>0.99922115237112463</v>
      </c>
      <c r="M40" s="33">
        <f t="shared" ca="1" si="11"/>
        <v>7.7884762887536763E-4</v>
      </c>
      <c r="N40" s="12"/>
      <c r="O40" s="12"/>
      <c r="P40" s="12"/>
      <c r="Q40" s="12"/>
      <c r="R40" s="12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</row>
    <row r="41" spans="2:110" x14ac:dyDescent="0.25">
      <c r="B41" s="121"/>
      <c r="C41" s="122"/>
      <c r="D41" s="122"/>
      <c r="E41" s="108">
        <v>1</v>
      </c>
      <c r="F41" s="118">
        <f t="shared" ref="F41" si="54">EXP(-IRate*E41)</f>
        <v>0.97044553354850815</v>
      </c>
      <c r="G41" s="36" cm="1">
        <f t="array" aca="1" ref="G41" ca="1">CubicSpline(Tenors,Spreads,E41)</f>
        <v>5.0000002374872565E-4</v>
      </c>
      <c r="H41" s="32" cm="1">
        <f t="array" aca="1" ref="H41" ca="1">IF(Method="CubicSpline",CubicSpline(Tenors,HRs,E41),FindHR(E41,Tenors,HRs,Method))</f>
        <v>0</v>
      </c>
      <c r="I41" s="36">
        <f t="shared" ca="1" si="13"/>
        <v>1</v>
      </c>
      <c r="J41" s="32">
        <f t="shared" ca="1" si="14"/>
        <v>0</v>
      </c>
      <c r="K41" s="38">
        <f t="shared" ca="1" si="15"/>
        <v>0</v>
      </c>
      <c r="L41" s="38">
        <f t="shared" ref="L41" ca="1" si="55">EXP(-G41*E41/(1-Recovery))</f>
        <v>0.99916701375291017</v>
      </c>
      <c r="M41" s="33">
        <f t="shared" ca="1" si="11"/>
        <v>8.329862470898286E-4</v>
      </c>
      <c r="N41" s="12"/>
      <c r="O41" s="12"/>
      <c r="P41" s="12"/>
      <c r="Q41" s="12"/>
      <c r="R41" s="12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</row>
    <row r="42" spans="2:110" x14ac:dyDescent="0.25">
      <c r="B42" s="121"/>
      <c r="C42" s="122"/>
      <c r="D42" s="122"/>
      <c r="E42" s="108">
        <f t="shared" ref="E42:E60" si="56">E41+0.05</f>
        <v>1.05</v>
      </c>
      <c r="F42" s="118">
        <f t="shared" ref="F42" si="57">EXP(-IRate*E42)</f>
        <v>0.96899095645373967</v>
      </c>
      <c r="G42" s="36" cm="1">
        <f t="array" aca="1" ref="G42" ca="1">CubicSpline(Tenors,Spreads,E42)</f>
        <v>5.0719364134873917E-4</v>
      </c>
      <c r="H42" s="32" cm="1">
        <f t="array" aca="1" ref="H42" ca="1">IF(Method="CubicSpline",CubicSpline(Tenors,HRs,E42),FindHR(E42,Tenors,HRs,Method))</f>
        <v>0</v>
      </c>
      <c r="I42" s="36">
        <f t="shared" ca="1" si="13"/>
        <v>1</v>
      </c>
      <c r="J42" s="32">
        <f t="shared" ca="1" si="14"/>
        <v>0</v>
      </c>
      <c r="K42" s="38">
        <f t="shared" ca="1" si="15"/>
        <v>0</v>
      </c>
      <c r="L42" s="38">
        <f t="shared" ref="L42" ca="1" si="58">EXP(-G42*E42/(1-Recovery))</f>
        <v>0.99911280491812626</v>
      </c>
      <c r="M42" s="33">
        <f t="shared" ca="1" si="11"/>
        <v>8.871950818737373E-4</v>
      </c>
      <c r="N42" s="12"/>
      <c r="O42" s="12"/>
      <c r="P42" s="12"/>
      <c r="Q42" s="12"/>
      <c r="R42" s="12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</row>
    <row r="43" spans="2:110" x14ac:dyDescent="0.25">
      <c r="B43" s="121"/>
      <c r="C43" s="122"/>
      <c r="D43" s="122"/>
      <c r="E43" s="108">
        <f t="shared" si="56"/>
        <v>1.1000000000000001</v>
      </c>
      <c r="F43" s="118">
        <f t="shared" ref="F43" si="59">EXP(-IRate*E43)</f>
        <v>0.96753855958903201</v>
      </c>
      <c r="G43" s="36" cm="1">
        <f t="array" aca="1" ref="G43" ca="1">CubicSpline(Tenors,Spreads,E43)</f>
        <v>5.1372410416426306E-4</v>
      </c>
      <c r="H43" s="32" cm="1">
        <f t="array" aca="1" ref="H43" ca="1">IF(Method="CubicSpline",CubicSpline(Tenors,HRs,E43),FindHR(E43,Tenors,HRs,Method))</f>
        <v>0</v>
      </c>
      <c r="I43" s="36">
        <f t="shared" ca="1" si="13"/>
        <v>1</v>
      </c>
      <c r="J43" s="32">
        <f t="shared" ca="1" si="14"/>
        <v>0</v>
      </c>
      <c r="K43" s="38">
        <f t="shared" ca="1" si="15"/>
        <v>0</v>
      </c>
      <c r="L43" s="38">
        <f t="shared" ref="L43" ca="1" si="60">EXP(-G43*E43/(1-Recovery))</f>
        <v>0.99905861585603473</v>
      </c>
      <c r="M43" s="33">
        <f t="shared" ca="1" si="11"/>
        <v>9.413841439652737E-4</v>
      </c>
      <c r="N43" s="12"/>
      <c r="O43" s="12"/>
      <c r="P43" s="12"/>
      <c r="Q43" s="12"/>
      <c r="R43" s="12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</row>
    <row r="44" spans="2:110" x14ac:dyDescent="0.25">
      <c r="B44" s="121"/>
      <c r="C44" s="122"/>
      <c r="D44" s="122"/>
      <c r="E44" s="108">
        <f t="shared" si="56"/>
        <v>1.1500000000000001</v>
      </c>
      <c r="F44" s="118">
        <f t="shared" ref="F44" si="61">EXP(-IRate*E44)</f>
        <v>0.96608833968649155</v>
      </c>
      <c r="G44" s="36" cm="1">
        <f t="array" aca="1" ref="G44" ca="1">CubicSpline(Tenors,Spreads,E44)</f>
        <v>5.1966342554794352E-4</v>
      </c>
      <c r="H44" s="32" cm="1">
        <f t="array" aca="1" ref="H44" ca="1">IF(Method="CubicSpline",CubicSpline(Tenors,HRs,E44),FindHR(E44,Tenors,HRs,Method))</f>
        <v>0</v>
      </c>
      <c r="I44" s="36">
        <f t="shared" ca="1" si="13"/>
        <v>1</v>
      </c>
      <c r="J44" s="32">
        <f t="shared" ca="1" si="14"/>
        <v>0</v>
      </c>
      <c r="K44" s="38">
        <f t="shared" ca="1" si="15"/>
        <v>0</v>
      </c>
      <c r="L44" s="38">
        <f t="shared" ref="L44" ca="1" si="62">EXP(-G44*E44/(1-Recovery))</f>
        <v>0.99900447429920169</v>
      </c>
      <c r="M44" s="33">
        <f t="shared" ca="1" si="11"/>
        <v>9.9552570079830538E-4</v>
      </c>
      <c r="N44" s="12"/>
      <c r="O44" s="12"/>
      <c r="P44" s="12"/>
      <c r="Q44" s="12"/>
      <c r="R44" s="12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</row>
    <row r="45" spans="2:110" x14ac:dyDescent="0.25">
      <c r="B45" s="121"/>
      <c r="C45" s="122"/>
      <c r="D45" s="122"/>
      <c r="E45" s="108">
        <f t="shared" si="56"/>
        <v>1.2000000000000002</v>
      </c>
      <c r="F45" s="118">
        <f t="shared" ref="F45" si="63">EXP(-IRate*E45)</f>
        <v>0.96464029348312308</v>
      </c>
      <c r="G45" s="36" cm="1">
        <f t="array" aca="1" ref="G45" ca="1">CubicSpline(Tenors,Spreads,E45)</f>
        <v>5.2508362980819862E-4</v>
      </c>
      <c r="H45" s="32" cm="1">
        <f t="array" aca="1" ref="H45" ca="1">IF(Method="CubicSpline",CubicSpline(Tenors,HRs,E45),FindHR(E45,Tenors,HRs,Method))</f>
        <v>0</v>
      </c>
      <c r="I45" s="36">
        <f t="shared" ca="1" si="13"/>
        <v>1</v>
      </c>
      <c r="J45" s="32">
        <f t="shared" ca="1" si="14"/>
        <v>0</v>
      </c>
      <c r="K45" s="38">
        <f t="shared" ca="1" si="15"/>
        <v>0</v>
      </c>
      <c r="L45" s="38">
        <f t="shared" ref="L45" ca="1" si="64">EXP(-G45*E45/(1-Recovery))</f>
        <v>0.99895038397304114</v>
      </c>
      <c r="M45" s="33">
        <f t="shared" ca="1" si="11"/>
        <v>1.049616026958855E-3</v>
      </c>
      <c r="N45" s="12"/>
      <c r="O45" s="12"/>
      <c r="P45" s="12"/>
      <c r="Q45" s="12"/>
      <c r="R45" s="12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</row>
    <row r="46" spans="2:110" x14ac:dyDescent="0.25">
      <c r="B46" s="121"/>
      <c r="C46" s="122"/>
      <c r="D46" s="122"/>
      <c r="E46" s="108">
        <f t="shared" si="56"/>
        <v>1.2500000000000002</v>
      </c>
      <c r="F46" s="118">
        <f t="shared" ref="F46" si="65">EXP(-IRate*E46)</f>
        <v>0.96319441772082182</v>
      </c>
      <c r="G46" s="36" cm="1">
        <f t="array" aca="1" ref="G46" ca="1">CubicSpline(Tenors,Spreads,E46)</f>
        <v>5.3005678773843112E-4</v>
      </c>
      <c r="H46" s="32" cm="1">
        <f t="array" aca="1" ref="H46" ca="1">IF(Method="CubicSpline",CubicSpline(Tenors,HRs,E46),FindHR(E46,Tenors,HRs,Method))</f>
        <v>0</v>
      </c>
      <c r="I46" s="36">
        <f t="shared" ca="1" si="13"/>
        <v>1</v>
      </c>
      <c r="J46" s="32">
        <f t="shared" ca="1" si="14"/>
        <v>0</v>
      </c>
      <c r="K46" s="38">
        <f t="shared" ca="1" si="15"/>
        <v>0</v>
      </c>
      <c r="L46" s="38">
        <f t="shared" ref="L46" ca="1" si="66">EXP(-G46*E46/(1-Recovery))</f>
        <v>0.99889632452382338</v>
      </c>
      <c r="M46" s="33">
        <f t="shared" ca="1" si="11"/>
        <v>1.1036754761766243E-3</v>
      </c>
      <c r="N46" s="12"/>
      <c r="O46" s="12"/>
      <c r="P46" s="12"/>
      <c r="Q46" s="12"/>
      <c r="R46" s="12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</row>
    <row r="47" spans="2:110" x14ac:dyDescent="0.25">
      <c r="B47" s="121"/>
      <c r="C47" s="122"/>
      <c r="D47" s="122"/>
      <c r="E47" s="108">
        <f t="shared" si="56"/>
        <v>1.3000000000000003</v>
      </c>
      <c r="F47" s="118">
        <f t="shared" ref="F47" si="67">EXP(-IRate*E47)</f>
        <v>0.96175070914636673</v>
      </c>
      <c r="G47" s="36" cm="1">
        <f t="array" aca="1" ref="G47" ca="1">CubicSpline(Tenors,Spreads,E47)</f>
        <v>5.3465497430984512E-4</v>
      </c>
      <c r="H47" s="32" cm="1">
        <f t="array" aca="1" ref="H47" ca="1">IF(Method="CubicSpline",CubicSpline(Tenors,HRs,E47),FindHR(E47,Tenors,HRs,Method))</f>
        <v>0</v>
      </c>
      <c r="I47" s="36">
        <f t="shared" ca="1" si="13"/>
        <v>1</v>
      </c>
      <c r="J47" s="32">
        <f t="shared" ca="1" si="14"/>
        <v>0</v>
      </c>
      <c r="K47" s="38">
        <f t="shared" ca="1" si="15"/>
        <v>0</v>
      </c>
      <c r="L47" s="38">
        <f t="shared" ref="L47" ca="1" si="68">EXP(-G47*E47/(1-Recovery))</f>
        <v>0.99884225159740159</v>
      </c>
      <c r="M47" s="33">
        <f t="shared" ca="1" si="11"/>
        <v>1.1577484025984131E-3</v>
      </c>
      <c r="N47" s="12"/>
      <c r="O47" s="12"/>
      <c r="P47" s="12"/>
      <c r="Q47" s="12"/>
      <c r="R47" s="12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</row>
    <row r="48" spans="2:110" x14ac:dyDescent="0.25">
      <c r="B48" s="121"/>
      <c r="C48" s="122"/>
      <c r="D48" s="122"/>
      <c r="E48" s="108">
        <f t="shared" si="56"/>
        <v>1.3500000000000003</v>
      </c>
      <c r="F48" s="118">
        <f t="shared" ref="F48" si="69">EXP(-IRate*E48)</f>
        <v>0.96030916451141302</v>
      </c>
      <c r="G48" s="36" cm="1">
        <f t="array" aca="1" ref="G48" ca="1">CubicSpline(Tenors,Spreads,E48)</f>
        <v>5.3895017718215291E-4</v>
      </c>
      <c r="H48" s="32" cm="1">
        <f t="array" aca="1" ref="H48" ca="1">IF(Method="CubicSpline",CubicSpline(Tenors,HRs,E48),FindHR(E48,Tenors,HRs,Method))</f>
        <v>0</v>
      </c>
      <c r="I48" s="36">
        <f t="shared" ca="1" si="13"/>
        <v>1</v>
      </c>
      <c r="J48" s="32">
        <f t="shared" ca="1" si="14"/>
        <v>0</v>
      </c>
      <c r="K48" s="38">
        <f t="shared" ca="1" si="15"/>
        <v>0</v>
      </c>
      <c r="L48" s="38">
        <f t="shared" ref="L48" ca="1" si="70">EXP(-G48*E48/(1-Recovery))</f>
        <v>0.99878809704957139</v>
      </c>
      <c r="M48" s="33">
        <f t="shared" ca="1" si="11"/>
        <v>1.2119029504286116E-3</v>
      </c>
      <c r="N48" s="12"/>
      <c r="O48" s="12"/>
      <c r="P48" s="12"/>
      <c r="Q48" s="12"/>
      <c r="R48" s="12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</row>
    <row r="49" spans="2:110" x14ac:dyDescent="0.25">
      <c r="B49" s="121"/>
      <c r="C49" s="122"/>
      <c r="D49" s="122"/>
      <c r="E49" s="108">
        <f t="shared" si="56"/>
        <v>1.4000000000000004</v>
      </c>
      <c r="F49" s="118">
        <f t="shared" ref="F49" si="71">EXP(-IRate*E49)</f>
        <v>0.95886978057248451</v>
      </c>
      <c r="G49" s="36" cm="1">
        <f t="array" aca="1" ref="G49" ca="1">CubicSpline(Tenors,Spreads,E49)</f>
        <v>5.430145001966664E-4</v>
      </c>
      <c r="H49" s="32" cm="1">
        <f t="array" aca="1" ref="H49" ca="1">IF(Method="CubicSpline",CubicSpline(Tenors,HRs,E49),FindHR(E49,Tenors,HRs,Method))</f>
        <v>0</v>
      </c>
      <c r="I49" s="36">
        <f t="shared" ca="1" si="13"/>
        <v>1</v>
      </c>
      <c r="J49" s="32">
        <f t="shared" ca="1" si="14"/>
        <v>0</v>
      </c>
      <c r="K49" s="38">
        <f t="shared" ca="1" si="15"/>
        <v>0</v>
      </c>
      <c r="L49" s="38">
        <f t="shared" ref="L49" ca="1" si="72">EXP(-G49*E49/(1-Recovery))</f>
        <v>0.99873376851467244</v>
      </c>
      <c r="M49" s="33">
        <f t="shared" ca="1" si="11"/>
        <v>1.2662314853275625E-3</v>
      </c>
      <c r="N49" s="12"/>
      <c r="O49" s="12"/>
      <c r="P49" s="12"/>
      <c r="Q49" s="12"/>
      <c r="R49" s="12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</row>
    <row r="50" spans="2:110" x14ac:dyDescent="0.25">
      <c r="B50" s="121"/>
      <c r="C50" s="122"/>
      <c r="D50" s="122"/>
      <c r="E50" s="108">
        <f t="shared" si="56"/>
        <v>1.4500000000000004</v>
      </c>
      <c r="F50" s="118">
        <f t="shared" ref="F50" si="73">EXP(-IRate*E50)</f>
        <v>0.95743255409096695</v>
      </c>
      <c r="G50" s="36" cm="1">
        <f t="array" aca="1" ref="G50" ca="1">CubicSpline(Tenors,Spreads,E50)</f>
        <v>5.4691996108833987E-4</v>
      </c>
      <c r="H50" s="32" cm="1">
        <f t="array" aca="1" ref="H50" ca="1">IF(Method="CubicSpline",CubicSpline(Tenors,HRs,E50),FindHR(E50,Tenors,HRs,Method))</f>
        <v>0</v>
      </c>
      <c r="I50" s="36">
        <f t="shared" ca="1" si="13"/>
        <v>1</v>
      </c>
      <c r="J50" s="32">
        <f t="shared" ca="1" si="14"/>
        <v>0</v>
      </c>
      <c r="K50" s="38">
        <f t="shared" ca="1" si="15"/>
        <v>0</v>
      </c>
      <c r="L50" s="38">
        <f t="shared" ref="L50" ca="1" si="74">EXP(-G50*E50/(1-Recovery))</f>
        <v>0.99867914985215966</v>
      </c>
      <c r="M50" s="33">
        <f t="shared" ca="1" si="11"/>
        <v>1.3208501478403356E-3</v>
      </c>
      <c r="N50" s="12"/>
      <c r="O50" s="12"/>
      <c r="P50" s="12"/>
      <c r="Q50" s="12"/>
      <c r="R50" s="12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</row>
    <row r="51" spans="2:110" x14ac:dyDescent="0.25">
      <c r="B51" s="121"/>
      <c r="C51" s="122"/>
      <c r="D51" s="122"/>
      <c r="E51" s="108">
        <f t="shared" si="56"/>
        <v>1.5000000000000004</v>
      </c>
      <c r="F51" s="118">
        <f t="shared" ref="F51" si="75">EXP(-IRate*E51)</f>
        <v>0.95599748183309985</v>
      </c>
      <c r="G51" s="36" cm="1">
        <f t="array" aca="1" ref="G51" ca="1">CubicSpline(Tenors,Spreads,E51)</f>
        <v>5.5073857583920493E-4</v>
      </c>
      <c r="H51" s="32" cm="1">
        <f t="array" aca="1" ref="H51" ca="1">IF(Method="CubicSpline",CubicSpline(Tenors,HRs,E51),FindHR(E51,Tenors,HRs,Method))</f>
        <v>0</v>
      </c>
      <c r="I51" s="36">
        <f t="shared" ca="1" si="13"/>
        <v>1</v>
      </c>
      <c r="J51" s="32">
        <f t="shared" ca="1" si="14"/>
        <v>0</v>
      </c>
      <c r="K51" s="38">
        <f t="shared" ca="1" si="15"/>
        <v>0</v>
      </c>
      <c r="L51" s="38">
        <f t="shared" ref="L51" ca="1" si="76">EXP(-G51*E51/(1-Recovery))</f>
        <v>0.99862410097859478</v>
      </c>
      <c r="M51" s="33">
        <f t="shared" ca="1" si="11"/>
        <v>1.3758990214052247E-3</v>
      </c>
      <c r="N51" s="12"/>
      <c r="O51" s="12"/>
      <c r="P51" s="12"/>
      <c r="Q51" s="12"/>
      <c r="R51" s="12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</row>
    <row r="52" spans="2:110" x14ac:dyDescent="0.25">
      <c r="B52" s="121"/>
      <c r="C52" s="122"/>
      <c r="D52" s="122"/>
      <c r="E52" s="108">
        <f t="shared" si="56"/>
        <v>1.5500000000000005</v>
      </c>
      <c r="F52" s="118">
        <f t="shared" ref="F52" si="77">EXP(-IRate*E52)</f>
        <v>0.9545645605699703</v>
      </c>
      <c r="G52" s="36" cm="1">
        <f t="array" aca="1" ref="G52" ca="1">CubicSpline(Tenors,Spreads,E52)</f>
        <v>5.5454243397238081E-4</v>
      </c>
      <c r="H52" s="32" cm="1">
        <f t="array" aca="1" ref="H52" ca="1">IF(Method="CubicSpline",CubicSpline(Tenors,HRs,E52),FindHR(E52,Tenors,HRs,Method))</f>
        <v>0</v>
      </c>
      <c r="I52" s="36">
        <f t="shared" ca="1" si="13"/>
        <v>1</v>
      </c>
      <c r="J52" s="32">
        <f t="shared" ca="1" si="14"/>
        <v>0</v>
      </c>
      <c r="K52" s="38">
        <f t="shared" ca="1" si="15"/>
        <v>0</v>
      </c>
      <c r="L52" s="38">
        <f t="shared" ref="L52" ca="1" si="78">EXP(-G52*E52/(1-Recovery))</f>
        <v>0.99856845768122071</v>
      </c>
      <c r="M52" s="33">
        <f t="shared" ca="1" si="11"/>
        <v>1.4315423187792886E-3</v>
      </c>
      <c r="N52" s="12"/>
      <c r="O52" s="12"/>
      <c r="P52" s="12"/>
      <c r="Q52" s="12"/>
      <c r="R52" s="12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</row>
    <row r="53" spans="2:110" x14ac:dyDescent="0.25">
      <c r="B53" s="121"/>
      <c r="C53" s="122"/>
      <c r="D53" s="122"/>
      <c r="E53" s="108">
        <f t="shared" si="56"/>
        <v>1.6000000000000005</v>
      </c>
      <c r="F53" s="118">
        <f t="shared" ref="F53" si="79">EXP(-IRate*E53)</f>
        <v>0.95313378707750473</v>
      </c>
      <c r="G53" s="36" cm="1">
        <f t="array" aca="1" ref="G53" ca="1">CubicSpline(Tenors,Spreads,E53)</f>
        <v>5.5840356756292598E-4</v>
      </c>
      <c r="H53" s="32" cm="1">
        <f t="array" aca="1" ref="H53" ca="1">IF(Method="CubicSpline",CubicSpline(Tenors,HRs,E53),FindHR(E53,Tenors,HRs,Method))</f>
        <v>0</v>
      </c>
      <c r="I53" s="36">
        <f t="shared" ca="1" si="13"/>
        <v>1</v>
      </c>
      <c r="J53" s="32">
        <f t="shared" ca="1" si="14"/>
        <v>0</v>
      </c>
      <c r="K53" s="38">
        <f t="shared" ca="1" si="15"/>
        <v>0</v>
      </c>
      <c r="L53" s="38">
        <f t="shared" ref="L53" ca="1" si="80">EXP(-G53*E53/(1-Recovery))</f>
        <v>0.99851203194367222</v>
      </c>
      <c r="M53" s="33">
        <f t="shared" ca="1" si="11"/>
        <v>1.487968056327782E-3</v>
      </c>
      <c r="N53" s="12"/>
      <c r="O53" s="12"/>
      <c r="P53" s="12"/>
      <c r="Q53" s="12"/>
      <c r="R53" s="12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</row>
    <row r="54" spans="2:110" x14ac:dyDescent="0.25">
      <c r="B54" s="121"/>
      <c r="C54" s="122"/>
      <c r="D54" s="122"/>
      <c r="E54" s="108">
        <f t="shared" si="56"/>
        <v>1.6500000000000006</v>
      </c>
      <c r="F54" s="118">
        <f t="shared" ref="F54" si="81">EXP(-IRate*E54)</f>
        <v>0.95170515813646217</v>
      </c>
      <c r="G54" s="36" cm="1">
        <f t="array" aca="1" ref="G54" ca="1">CubicSpline(Tenors,Spreads,E54)</f>
        <v>5.6239402112334995E-4</v>
      </c>
      <c r="H54" s="32" cm="1">
        <f t="array" aca="1" ref="H54" ca="1">IF(Method="CubicSpline",CubicSpline(Tenors,HRs,E54),FindHR(E54,Tenors,HRs,Method))</f>
        <v>0</v>
      </c>
      <c r="I54" s="36">
        <f t="shared" ca="1" si="13"/>
        <v>1</v>
      </c>
      <c r="J54" s="32">
        <f t="shared" ca="1" si="14"/>
        <v>0</v>
      </c>
      <c r="K54" s="38">
        <f t="shared" ca="1" si="15"/>
        <v>0</v>
      </c>
      <c r="L54" s="38">
        <f t="shared" ref="L54" ca="1" si="82">EXP(-G54*E54/(1-Recovery))</f>
        <v>0.9984546117859493</v>
      </c>
      <c r="M54" s="33">
        <f t="shared" ca="1" si="11"/>
        <v>1.5453882140507025E-3</v>
      </c>
      <c r="N54" s="12"/>
      <c r="O54" s="12"/>
      <c r="P54" s="12"/>
      <c r="Q54" s="12"/>
      <c r="R54" s="12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</row>
    <row r="55" spans="2:110" x14ac:dyDescent="0.25">
      <c r="B55" s="121"/>
      <c r="C55" s="122"/>
      <c r="D55" s="122"/>
      <c r="E55" s="108">
        <f t="shared" si="56"/>
        <v>1.7000000000000006</v>
      </c>
      <c r="F55" s="118">
        <f t="shared" ref="F55" si="83">EXP(-IRate*E55)</f>
        <v>0.95027867053242687</v>
      </c>
      <c r="G55" s="36" cm="1">
        <f t="array" aca="1" ref="G55" ca="1">CubicSpline(Tenors,Spreads,E55)</f>
        <v>5.6658584216074022E-4</v>
      </c>
      <c r="H55" s="32" cm="1">
        <f t="array" aca="1" ref="H55" ca="1">IF(Method="CubicSpline",CubicSpline(Tenors,HRs,E55),FindHR(E55,Tenors,HRs,Method))</f>
        <v>0</v>
      </c>
      <c r="I55" s="36">
        <f t="shared" ca="1" si="13"/>
        <v>1</v>
      </c>
      <c r="J55" s="32">
        <f t="shared" ca="1" si="14"/>
        <v>0</v>
      </c>
      <c r="K55" s="38">
        <f t="shared" ca="1" si="15"/>
        <v>0</v>
      </c>
      <c r="L55" s="38">
        <f t="shared" ref="L55" ca="1" si="84">EXP(-G55*E55/(1-Recovery))</f>
        <v>0.99839596129465102</v>
      </c>
      <c r="M55" s="33">
        <f t="shared" ca="1" si="11"/>
        <v>1.6040387053489757E-3</v>
      </c>
      <c r="N55" s="12"/>
      <c r="O55" s="12"/>
      <c r="P55" s="12"/>
      <c r="Q55" s="12"/>
      <c r="R55" s="12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</row>
    <row r="56" spans="2:110" x14ac:dyDescent="0.25">
      <c r="B56" s="121"/>
      <c r="C56" s="122"/>
      <c r="D56" s="122"/>
      <c r="E56" s="108">
        <f t="shared" si="56"/>
        <v>1.7500000000000007</v>
      </c>
      <c r="F56" s="118">
        <f t="shared" ref="F56" si="85">EXP(-IRate*E56)</f>
        <v>0.94885432105580125</v>
      </c>
      <c r="G56" s="36" cm="1">
        <f t="array" aca="1" ref="G56" ca="1">CubicSpline(Tenors,Spreads,E56)</f>
        <v>5.7105107453026037E-4</v>
      </c>
      <c r="H56" s="32" cm="1">
        <f t="array" aca="1" ref="H56" ca="1">IF(Method="CubicSpline",CubicSpline(Tenors,HRs,E56),FindHR(E56,Tenors,HRs,Method))</f>
        <v>0</v>
      </c>
      <c r="I56" s="36">
        <f t="shared" ca="1" si="13"/>
        <v>1</v>
      </c>
      <c r="J56" s="32">
        <f t="shared" ca="1" si="14"/>
        <v>0</v>
      </c>
      <c r="K56" s="38">
        <f t="shared" ca="1" si="15"/>
        <v>0</v>
      </c>
      <c r="L56" s="38">
        <f t="shared" ref="L56" ca="1" si="86">EXP(-G56*E56/(1-Recovery))</f>
        <v>0.99833582065063786</v>
      </c>
      <c r="M56" s="33">
        <f t="shared" ca="1" si="11"/>
        <v>1.6641793493621382E-3</v>
      </c>
      <c r="N56" s="12"/>
      <c r="O56" s="12"/>
      <c r="P56" s="12"/>
      <c r="Q56" s="12"/>
      <c r="R56" s="12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</row>
    <row r="57" spans="2:110" x14ac:dyDescent="0.25">
      <c r="B57" s="121"/>
      <c r="C57" s="122"/>
      <c r="D57" s="122"/>
      <c r="E57" s="108">
        <f t="shared" si="56"/>
        <v>1.8000000000000007</v>
      </c>
      <c r="F57" s="118">
        <f t="shared" ref="F57" si="87">EXP(-IRate*E57)</f>
        <v>0.94743210650179832</v>
      </c>
      <c r="G57" s="36" cm="1">
        <f t="array" aca="1" ref="G57" ca="1">CubicSpline(Tenors,Spreads,E57)</f>
        <v>5.7586176566595912E-4</v>
      </c>
      <c r="H57" s="32" cm="1">
        <f t="array" aca="1" ref="H57" ca="1">IF(Method="CubicSpline",CubicSpline(Tenors,HRs,E57),FindHR(E57,Tenors,HRs,Method))</f>
        <v>0</v>
      </c>
      <c r="I57" s="36">
        <f t="shared" ca="1" si="13"/>
        <v>1</v>
      </c>
      <c r="J57" s="32">
        <f t="shared" ca="1" si="14"/>
        <v>0</v>
      </c>
      <c r="K57" s="38">
        <f t="shared" ca="1" si="15"/>
        <v>0</v>
      </c>
      <c r="L57" s="38">
        <f t="shared" ref="L57" ca="1" si="88">EXP(-G57*E57/(1-Recovery))</f>
        <v>0.99827390611950795</v>
      </c>
      <c r="M57" s="33">
        <f t="shared" ca="1" si="11"/>
        <v>1.7260938804920523E-3</v>
      </c>
      <c r="N57" s="12"/>
      <c r="O57" s="12"/>
      <c r="P57" s="12"/>
      <c r="Q57" s="12"/>
      <c r="R57" s="12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</row>
    <row r="58" spans="2:110" x14ac:dyDescent="0.25">
      <c r="B58" s="121"/>
      <c r="C58" s="122"/>
      <c r="D58" s="122"/>
      <c r="E58" s="108">
        <f t="shared" si="56"/>
        <v>1.8500000000000008</v>
      </c>
      <c r="F58" s="118">
        <f t="shared" ref="F58" si="89">EXP(-IRate*E58)</f>
        <v>0.94601202367043458</v>
      </c>
      <c r="G58" s="36" cm="1">
        <f t="array" aca="1" ref="G58" ca="1">CubicSpline(Tenors,Spreads,E58)</f>
        <v>5.8108996086916193E-4</v>
      </c>
      <c r="H58" s="32" cm="1">
        <f t="array" aca="1" ref="H58" ca="1">IF(Method="CubicSpline",CubicSpline(Tenors,HRs,E58),FindHR(E58,Tenors,HRs,Method))</f>
        <v>0</v>
      </c>
      <c r="I58" s="36">
        <f t="shared" ca="1" si="13"/>
        <v>1</v>
      </c>
      <c r="J58" s="32">
        <f t="shared" ca="1" si="14"/>
        <v>0</v>
      </c>
      <c r="K58" s="38">
        <f t="shared" ca="1" si="15"/>
        <v>0</v>
      </c>
      <c r="L58" s="38">
        <f t="shared" ref="L58" ca="1" si="90">EXP(-G58*E58/(1-Recovery))</f>
        <v>0.99820991007958693</v>
      </c>
      <c r="M58" s="33">
        <f t="shared" ca="1" si="11"/>
        <v>1.7900899204130738E-3</v>
      </c>
      <c r="N58" s="12"/>
      <c r="O58" s="12"/>
      <c r="P58" s="12"/>
      <c r="Q58" s="12"/>
      <c r="R58" s="12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</row>
    <row r="59" spans="2:110" x14ac:dyDescent="0.25">
      <c r="B59" s="121"/>
      <c r="C59" s="122"/>
      <c r="D59" s="122"/>
      <c r="E59" s="108">
        <f t="shared" si="56"/>
        <v>1.9000000000000008</v>
      </c>
      <c r="F59" s="118">
        <f t="shared" ref="F59" si="91">EXP(-IRate*E59)</f>
        <v>0.94459406936652335</v>
      </c>
      <c r="G59" s="36" cm="1">
        <f t="array" aca="1" ref="G59" ca="1">CubicSpline(Tenors,Spreads,E59)</f>
        <v>5.8680770562013823E-4</v>
      </c>
      <c r="H59" s="32" cm="1">
        <f t="array" aca="1" ref="H59" ca="1">IF(Method="CubicSpline",CubicSpline(Tenors,HRs,E59),FindHR(E59,Tenors,HRs,Method))</f>
        <v>0</v>
      </c>
      <c r="I59" s="36">
        <f t="shared" ca="1" si="13"/>
        <v>1</v>
      </c>
      <c r="J59" s="32">
        <f t="shared" ca="1" si="14"/>
        <v>0</v>
      </c>
      <c r="K59" s="38">
        <f t="shared" ca="1" si="15"/>
        <v>0</v>
      </c>
      <c r="L59" s="38">
        <f t="shared" ref="L59" ca="1" si="92">EXP(-G59*E59/(1-Recovery))</f>
        <v>0.99814350102892113</v>
      </c>
      <c r="M59" s="33">
        <f t="shared" ca="1" si="11"/>
        <v>1.8564989710788682E-3</v>
      </c>
      <c r="N59" s="12"/>
      <c r="O59" s="12"/>
      <c r="P59" s="12"/>
      <c r="Q59" s="12"/>
      <c r="R59" s="12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</row>
    <row r="60" spans="2:110" x14ac:dyDescent="0.25">
      <c r="B60" s="121"/>
      <c r="C60" s="122"/>
      <c r="D60" s="122"/>
      <c r="E60" s="108">
        <f t="shared" si="56"/>
        <v>1.9500000000000008</v>
      </c>
      <c r="F60" s="118">
        <f t="shared" ref="F60" si="93">EXP(-IRate*E60)</f>
        <v>0.94317824039966658</v>
      </c>
      <c r="G60" s="36" cm="1">
        <f t="array" aca="1" ref="G60" ca="1">CubicSpline(Tenors,Spreads,E60)</f>
        <v>5.93087046272424E-4</v>
      </c>
      <c r="H60" s="32" cm="1">
        <f t="array" aca="1" ref="H60" ca="1">IF(Method="CubicSpline",CubicSpline(Tenors,HRs,E60),FindHR(E60,Tenors,HRs,Method))</f>
        <v>0</v>
      </c>
      <c r="I60" s="36">
        <f t="shared" ca="1" si="13"/>
        <v>1</v>
      </c>
      <c r="J60" s="32">
        <f t="shared" ca="1" si="14"/>
        <v>0</v>
      </c>
      <c r="K60" s="38">
        <f t="shared" ca="1" si="15"/>
        <v>0</v>
      </c>
      <c r="L60" s="38">
        <f t="shared" ref="L60" ca="1" si="94">EXP(-G60*E60/(1-Recovery))</f>
        <v>0.99807432359814341</v>
      </c>
      <c r="M60" s="33">
        <f t="shared" ca="1" si="11"/>
        <v>1.9256764018565908E-3</v>
      </c>
      <c r="N60" s="12"/>
      <c r="O60" s="12"/>
      <c r="P60" s="12"/>
      <c r="Q60" s="12"/>
      <c r="R60" s="12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</row>
    <row r="61" spans="2:110" x14ac:dyDescent="0.25">
      <c r="B61" s="121"/>
      <c r="C61" s="122"/>
      <c r="D61" s="122"/>
      <c r="E61" s="108">
        <v>2</v>
      </c>
      <c r="F61" s="118">
        <f t="shared" ref="F61" si="95">EXP(-IRate*E61)</f>
        <v>0.94176453358424872</v>
      </c>
      <c r="G61" s="36" cm="1">
        <f t="array" aca="1" ref="G61" ca="1">CubicSpline(Tenors,Spreads,E61)</f>
        <v>6.0000002849847078E-4</v>
      </c>
      <c r="H61" s="32" cm="1">
        <f t="array" aca="1" ref="H61" ca="1">IF(Method="CubicSpline",CubicSpline(Tenors,HRs,E61),FindHR(E61,Tenors,HRs,Method))</f>
        <v>0</v>
      </c>
      <c r="I61" s="36">
        <f t="shared" ca="1" si="13"/>
        <v>1</v>
      </c>
      <c r="J61" s="32">
        <f t="shared" ca="1" si="14"/>
        <v>0</v>
      </c>
      <c r="K61" s="38">
        <f t="shared" ca="1" si="15"/>
        <v>0</v>
      </c>
      <c r="L61" s="38">
        <f t="shared" ref="L61" ca="1" si="96">EXP(-G61*E61/(1-Recovery))</f>
        <v>0.99800199857252792</v>
      </c>
      <c r="M61" s="33">
        <f t="shared" ca="1" si="11"/>
        <v>1.9980014274720848E-3</v>
      </c>
      <c r="N61" s="12"/>
      <c r="O61" s="12"/>
      <c r="P61" s="12"/>
      <c r="Q61" s="12"/>
      <c r="R61" s="12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</row>
    <row r="62" spans="2:110" x14ac:dyDescent="0.25">
      <c r="B62" s="121"/>
      <c r="C62" s="122"/>
      <c r="D62" s="122"/>
      <c r="E62" s="108">
        <f t="shared" ref="E62:E80" si="97">E61+0.05</f>
        <v>2.0499999999999998</v>
      </c>
      <c r="F62" s="118">
        <f t="shared" ref="F62" si="98">EXP(-IRate*E62)</f>
        <v>0.94035294573942863</v>
      </c>
      <c r="G62" s="36" cm="1">
        <f t="array" aca="1" ref="G62" ca="1">CubicSpline(Tenors,Spreads,E62)</f>
        <v>6.0760841866348402E-4</v>
      </c>
      <c r="H62" s="32" cm="1">
        <f t="array" aca="1" ref="H62" ca="1">IF(Method="CubicSpline",CubicSpline(Tenors,HRs,E62),FindHR(E62,Tenors,HRs,Method))</f>
        <v>0</v>
      </c>
      <c r="I62" s="36">
        <f t="shared" ca="1" si="13"/>
        <v>1</v>
      </c>
      <c r="J62" s="32">
        <f t="shared" ca="1" si="14"/>
        <v>0</v>
      </c>
      <c r="K62" s="38">
        <f t="shared" ca="1" si="15"/>
        <v>0</v>
      </c>
      <c r="L62" s="38">
        <f t="shared" ref="L62" ca="1" si="99">EXP(-G62*E62/(1-Recovery))</f>
        <v>0.99792615795768091</v>
      </c>
      <c r="M62" s="33">
        <f t="shared" ca="1" si="11"/>
        <v>2.0738420423190851E-3</v>
      </c>
      <c r="N62" s="12"/>
      <c r="O62" s="12"/>
      <c r="P62" s="12"/>
      <c r="Q62" s="12"/>
      <c r="R62" s="12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</row>
    <row r="63" spans="2:110" x14ac:dyDescent="0.25">
      <c r="B63" s="121"/>
      <c r="C63" s="122"/>
      <c r="D63" s="122"/>
      <c r="E63" s="108">
        <f t="shared" si="97"/>
        <v>2.0999999999999996</v>
      </c>
      <c r="F63" s="118">
        <f t="shared" ref="F63" si="100">EXP(-IRate*E63)</f>
        <v>0.93894347368913322</v>
      </c>
      <c r="G63" s="36" cm="1">
        <f t="array" aca="1" ref="G63" ca="1">CubicSpline(Tenors,Spreads,E63)</f>
        <v>6.1593283613584581E-4</v>
      </c>
      <c r="H63" s="32" cm="1">
        <f t="array" aca="1" ref="H63" ca="1">IF(Method="CubicSpline",CubicSpline(Tenors,HRs,E63),FindHR(E63,Tenors,HRs,Method))</f>
        <v>0</v>
      </c>
      <c r="I63" s="36">
        <f t="shared" ca="1" si="13"/>
        <v>1</v>
      </c>
      <c r="J63" s="32">
        <f t="shared" ca="1" si="14"/>
        <v>0</v>
      </c>
      <c r="K63" s="38">
        <f t="shared" ca="1" si="15"/>
        <v>0</v>
      </c>
      <c r="L63" s="38">
        <f t="shared" ref="L63" ca="1" si="101">EXP(-G63*E63/(1-Recovery))</f>
        <v>0.99784655706587744</v>
      </c>
      <c r="M63" s="33">
        <f t="shared" ca="1" si="11"/>
        <v>2.1534429341225625E-3</v>
      </c>
      <c r="N63" s="12"/>
      <c r="O63" s="12"/>
      <c r="P63" s="12"/>
      <c r="Q63" s="12"/>
      <c r="R63" s="12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</row>
    <row r="64" spans="2:110" x14ac:dyDescent="0.25">
      <c r="B64" s="121"/>
      <c r="C64" s="122"/>
      <c r="D64" s="122"/>
      <c r="E64" s="108">
        <f t="shared" si="97"/>
        <v>2.1499999999999995</v>
      </c>
      <c r="F64" s="118">
        <f t="shared" ref="F64" si="102">EXP(-IRate*E64)</f>
        <v>0.93753611426204975</v>
      </c>
      <c r="G64" s="36" cm="1">
        <f t="array" aca="1" ref="G64" ca="1">CubicSpline(Tenors,Spreads,E64)</f>
        <v>6.2498362374376645E-4</v>
      </c>
      <c r="H64" s="32" cm="1">
        <f t="array" aca="1" ref="H64" ca="1">IF(Method="CubicSpline",CubicSpline(Tenors,HRs,E64),FindHR(E64,Tenors,HRs,Method))</f>
        <v>0</v>
      </c>
      <c r="I64" s="36">
        <f t="shared" ca="1" si="13"/>
        <v>1</v>
      </c>
      <c r="J64" s="32">
        <f t="shared" ca="1" si="14"/>
        <v>0</v>
      </c>
      <c r="K64" s="38">
        <f t="shared" ca="1" si="15"/>
        <v>0</v>
      </c>
      <c r="L64" s="38">
        <f t="shared" ref="L64" ca="1" si="103">EXP(-G64*E64/(1-Recovery))</f>
        <v>0.997762981212587</v>
      </c>
      <c r="M64" s="33">
        <f t="shared" ca="1" si="11"/>
        <v>2.2370187874130032E-3</v>
      </c>
      <c r="N64" s="12"/>
      <c r="O64" s="12"/>
      <c r="P64" s="12"/>
      <c r="Q64" s="12"/>
      <c r="R64" s="12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</row>
    <row r="65" spans="2:110" x14ac:dyDescent="0.25">
      <c r="B65" s="121"/>
      <c r="C65" s="122"/>
      <c r="D65" s="122"/>
      <c r="E65" s="108">
        <f t="shared" si="97"/>
        <v>2.1999999999999993</v>
      </c>
      <c r="F65" s="118">
        <f t="shared" ref="F65" si="104">EXP(-IRate*E65)</f>
        <v>0.93613086429161885</v>
      </c>
      <c r="G65" s="36" cm="1">
        <f t="array" aca="1" ref="G65" ca="1">CubicSpline(Tenors,Spreads,E65)</f>
        <v>6.3477108469606473E-4</v>
      </c>
      <c r="H65" s="32" cm="1">
        <f t="array" aca="1" ref="H65" ca="1">IF(Method="CubicSpline",CubicSpline(Tenors,HRs,E65),FindHR(E65,Tenors,HRs,Method))</f>
        <v>0</v>
      </c>
      <c r="I65" s="36">
        <f t="shared" ca="1" si="13"/>
        <v>1</v>
      </c>
      <c r="J65" s="32">
        <f t="shared" ca="1" si="14"/>
        <v>0</v>
      </c>
      <c r="K65" s="38">
        <f t="shared" ca="1" si="15"/>
        <v>0</v>
      </c>
      <c r="L65" s="38">
        <f t="shared" ref="L65" ca="1" si="105">EXP(-G65*E65/(1-Recovery))</f>
        <v>0.99767521253668257</v>
      </c>
      <c r="M65" s="33">
        <f t="shared" ca="1" si="11"/>
        <v>2.3247874633174348E-3</v>
      </c>
      <c r="N65" s="12"/>
      <c r="O65" s="12"/>
      <c r="P65" s="12"/>
      <c r="Q65" s="12"/>
      <c r="R65" s="12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</row>
    <row r="66" spans="2:110" x14ac:dyDescent="0.25">
      <c r="B66" s="121"/>
      <c r="C66" s="122"/>
      <c r="D66" s="122"/>
      <c r="E66" s="108">
        <f t="shared" si="97"/>
        <v>2.2499999999999991</v>
      </c>
      <c r="F66" s="118">
        <f t="shared" ref="F66" si="106">EXP(-IRate*E66)</f>
        <v>0.9347277206160276</v>
      </c>
      <c r="G66" s="36" cm="1">
        <f t="array" aca="1" ref="G66" ca="1">CubicSpline(Tenors,Spreads,E66)</f>
        <v>6.4530562076470157E-4</v>
      </c>
      <c r="H66" s="32" cm="1">
        <f t="array" aca="1" ref="H66" ca="1">IF(Method="CubicSpline",CubicSpline(Tenors,HRs,E66),FindHR(E66,Tenors,HRs,Method))</f>
        <v>0</v>
      </c>
      <c r="I66" s="36">
        <f t="shared" ca="1" si="13"/>
        <v>1</v>
      </c>
      <c r="J66" s="32">
        <f t="shared" ca="1" si="14"/>
        <v>0</v>
      </c>
      <c r="K66" s="38">
        <f t="shared" ca="1" si="15"/>
        <v>0</v>
      </c>
      <c r="L66" s="38">
        <f t="shared" ref="L66" ca="1" si="107">EXP(-G66*E66/(1-Recovery))</f>
        <v>0.99758302951029731</v>
      </c>
      <c r="M66" s="33">
        <f t="shared" ca="1" si="11"/>
        <v>2.4169704897026856E-3</v>
      </c>
      <c r="N66" s="12"/>
      <c r="O66" s="12"/>
      <c r="P66" s="12"/>
      <c r="Q66" s="12"/>
      <c r="R66" s="12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</row>
    <row r="67" spans="2:110" x14ac:dyDescent="0.25">
      <c r="B67" s="121"/>
      <c r="C67" s="122"/>
      <c r="D67" s="122"/>
      <c r="E67" s="108">
        <f t="shared" si="97"/>
        <v>2.2999999999999989</v>
      </c>
      <c r="F67" s="118">
        <f t="shared" ref="F67" si="108">EXP(-IRate*E67)</f>
        <v>0.93332668007820196</v>
      </c>
      <c r="G67" s="36" cm="1">
        <f t="array" aca="1" ref="G67" ca="1">CubicSpline(Tenors,Spreads,E67)</f>
        <v>6.5659754240021228E-4</v>
      </c>
      <c r="H67" s="32" cm="1">
        <f t="array" aca="1" ref="H67" ca="1">IF(Method="CubicSpline",CubicSpline(Tenors,HRs,E67),FindHR(E67,Tenors,HRs,Method))</f>
        <v>0</v>
      </c>
      <c r="I67" s="36">
        <f t="shared" ca="1" si="13"/>
        <v>1</v>
      </c>
      <c r="J67" s="32">
        <f t="shared" ca="1" si="14"/>
        <v>0</v>
      </c>
      <c r="K67" s="38">
        <f t="shared" ca="1" si="15"/>
        <v>0</v>
      </c>
      <c r="L67" s="38">
        <f t="shared" ref="L67" ca="1" si="109">EXP(-G67*E67/(1-Recovery))</f>
        <v>0.99748620763517437</v>
      </c>
      <c r="M67" s="33">
        <f t="shared" ca="1" si="11"/>
        <v>2.5137923648256288E-3</v>
      </c>
      <c r="N67" s="12"/>
      <c r="O67" s="12"/>
      <c r="P67" s="12"/>
      <c r="Q67" s="12"/>
      <c r="R67" s="12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</row>
    <row r="68" spans="2:110" x14ac:dyDescent="0.25">
      <c r="B68" s="121"/>
      <c r="C68" s="122"/>
      <c r="D68" s="122"/>
      <c r="E68" s="108">
        <f t="shared" si="97"/>
        <v>2.3499999999999988</v>
      </c>
      <c r="F68" s="118">
        <f t="shared" ref="F68" si="110">EXP(-IRate*E68)</f>
        <v>0.93192773952580032</v>
      </c>
      <c r="G68" s="36" cm="1">
        <f t="array" aca="1" ref="G68" ca="1">CubicSpline(Tenors,Spreads,E68)</f>
        <v>6.6865716005313244E-4</v>
      </c>
      <c r="H68" s="32" cm="1">
        <f t="array" aca="1" ref="H68" ca="1">IF(Method="CubicSpline",CubicSpline(Tenors,HRs,E68),FindHR(E68,Tenors,HRs,Method))</f>
        <v>0</v>
      </c>
      <c r="I68" s="36">
        <f t="shared" ca="1" si="13"/>
        <v>1</v>
      </c>
      <c r="J68" s="32">
        <f t="shared" ca="1" si="14"/>
        <v>0</v>
      </c>
      <c r="K68" s="38">
        <f t="shared" ca="1" si="15"/>
        <v>0</v>
      </c>
      <c r="L68" s="38">
        <f t="shared" ref="L68" ca="1" si="111">EXP(-G68*E68/(1-Recovery))</f>
        <v>0.99738451913553317</v>
      </c>
      <c r="M68" s="33">
        <f t="shared" ca="1" si="11"/>
        <v>2.6154808644668348E-3</v>
      </c>
      <c r="N68" s="12"/>
      <c r="O68" s="12"/>
      <c r="P68" s="12"/>
      <c r="Q68" s="12"/>
      <c r="R68" s="12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</row>
    <row r="69" spans="2:110" x14ac:dyDescent="0.25">
      <c r="B69" s="121"/>
      <c r="C69" s="122"/>
      <c r="D69" s="122"/>
      <c r="E69" s="108">
        <f t="shared" si="97"/>
        <v>2.3999999999999986</v>
      </c>
      <c r="F69" s="118">
        <f t="shared" ref="F69" si="112">EXP(-IRate*E69)</f>
        <v>0.93053089581120574</v>
      </c>
      <c r="G69" s="36" cm="1">
        <f t="array" aca="1" ref="G69" ca="1">CubicSpline(Tenors,Spreads,E69)</f>
        <v>6.8149490081365093E-4</v>
      </c>
      <c r="H69" s="32" cm="1">
        <f t="array" aca="1" ref="H69" ca="1">IF(Method="CubicSpline",CubicSpline(Tenors,HRs,E69),FindHR(E69,Tenors,HRs,Method))</f>
        <v>0</v>
      </c>
      <c r="I69" s="36">
        <f t="shared" ca="1" si="13"/>
        <v>1</v>
      </c>
      <c r="J69" s="32">
        <f t="shared" ca="1" si="14"/>
        <v>0</v>
      </c>
      <c r="K69" s="38">
        <f t="shared" ca="1" si="15"/>
        <v>0</v>
      </c>
      <c r="L69" s="38">
        <f t="shared" ref="L69" ca="1" si="113">EXP(-G69*E69/(1-Recovery))</f>
        <v>0.99727773250533391</v>
      </c>
      <c r="M69" s="33">
        <f t="shared" ca="1" si="11"/>
        <v>2.7222674946660863E-3</v>
      </c>
      <c r="N69" s="12"/>
      <c r="O69" s="12"/>
      <c r="P69" s="12"/>
      <c r="Q69" s="12"/>
      <c r="R69" s="12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</row>
    <row r="70" spans="2:110" x14ac:dyDescent="0.25">
      <c r="B70" s="121"/>
      <c r="C70" s="122"/>
      <c r="D70" s="122"/>
      <c r="E70" s="108">
        <f t="shared" si="97"/>
        <v>2.4499999999999984</v>
      </c>
      <c r="F70" s="118">
        <f t="shared" ref="F70" si="114">EXP(-IRate*E70)</f>
        <v>0.92913614579151937</v>
      </c>
      <c r="G70" s="36" cm="1">
        <f t="array" aca="1" ref="G70" ca="1">CubicSpline(Tenors,Spreads,E70)</f>
        <v>6.95120986888432E-4</v>
      </c>
      <c r="H70" s="32" cm="1">
        <f t="array" aca="1" ref="H70" ca="1">IF(Method="CubicSpline",CubicSpline(Tenors,HRs,E70),FindHR(E70,Tenors,HRs,Method))</f>
        <v>0</v>
      </c>
      <c r="I70" s="36">
        <f t="shared" ca="1" si="13"/>
        <v>1</v>
      </c>
      <c r="J70" s="32">
        <f t="shared" ca="1" si="14"/>
        <v>0</v>
      </c>
      <c r="K70" s="38">
        <f t="shared" ca="1" si="15"/>
        <v>0</v>
      </c>
      <c r="L70" s="38">
        <f t="shared" ref="L70" ca="1" si="115">EXP(-G70*E70/(1-Recovery))</f>
        <v>0.99716561378257118</v>
      </c>
      <c r="M70" s="33">
        <f t="shared" ca="1" si="11"/>
        <v>2.8343862174288192E-3</v>
      </c>
      <c r="N70" s="12"/>
      <c r="O70" s="12"/>
      <c r="P70" s="12"/>
      <c r="Q70" s="12"/>
      <c r="R70" s="12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</row>
    <row r="71" spans="2:110" x14ac:dyDescent="0.25">
      <c r="B71" s="121"/>
      <c r="C71" s="122"/>
      <c r="D71" s="122"/>
      <c r="E71" s="108">
        <f t="shared" si="97"/>
        <v>2.4999999999999982</v>
      </c>
      <c r="F71" s="118">
        <f t="shared" ref="F71" si="116">EXP(-IRate*E71)</f>
        <v>0.92774348632855297</v>
      </c>
      <c r="G71" s="36" cm="1">
        <f t="array" aca="1" ref="G71" ca="1">CubicSpline(Tenors,Spreads,E71)</f>
        <v>7.0954584589344298E-4</v>
      </c>
      <c r="H71" s="32" cm="1">
        <f t="array" aca="1" ref="H71" ca="1">IF(Method="CubicSpline",CubicSpline(Tenors,HRs,E71),FindHR(E71,Tenors,HRs,Method))</f>
        <v>0</v>
      </c>
      <c r="I71" s="36">
        <f t="shared" ca="1" si="13"/>
        <v>1</v>
      </c>
      <c r="J71" s="32">
        <f t="shared" ca="1" si="14"/>
        <v>0</v>
      </c>
      <c r="K71" s="38">
        <f t="shared" ca="1" si="15"/>
        <v>0</v>
      </c>
      <c r="L71" s="38">
        <f t="shared" ref="L71" ca="1" si="117">EXP(-G71*E71/(1-Recovery))</f>
        <v>0.99704792494357419</v>
      </c>
      <c r="M71" s="33">
        <f t="shared" ca="1" si="11"/>
        <v>2.9520750564258069E-3</v>
      </c>
      <c r="N71" s="12"/>
      <c r="O71" s="12"/>
      <c r="P71" s="12"/>
      <c r="Q71" s="12"/>
      <c r="R71" s="12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</row>
    <row r="72" spans="2:110" x14ac:dyDescent="0.25">
      <c r="B72" s="121"/>
      <c r="C72" s="122"/>
      <c r="D72" s="122"/>
      <c r="E72" s="108">
        <f t="shared" si="97"/>
        <v>2.549999999999998</v>
      </c>
      <c r="F72" s="118">
        <f t="shared" ref="F72" si="118">EXP(-IRate*E72)</f>
        <v>0.92635291428882216</v>
      </c>
      <c r="G72" s="36" cm="1">
        <f t="array" aca="1" ref="G72" ca="1">CubicSpline(Tenors,Spreads,E72)</f>
        <v>7.2477978827921918E-4</v>
      </c>
      <c r="H72" s="32" cm="1">
        <f t="array" aca="1" ref="H72" ca="1">IF(Method="CubicSpline",CubicSpline(Tenors,HRs,E72),FindHR(E72,Tenors,HRs,Method))</f>
        <v>0</v>
      </c>
      <c r="I72" s="36">
        <f t="shared" ca="1" si="13"/>
        <v>1</v>
      </c>
      <c r="J72" s="32">
        <f t="shared" ca="1" si="14"/>
        <v>0</v>
      </c>
      <c r="K72" s="38">
        <f t="shared" ca="1" si="15"/>
        <v>0</v>
      </c>
      <c r="L72" s="38">
        <f t="shared" ref="L72" ca="1" si="119">EXP(-G72*E72/(1-Recovery))</f>
        <v>0.99692442519986479</v>
      </c>
      <c r="M72" s="33">
        <f t="shared" ca="1" si="11"/>
        <v>3.0755748001352057E-3</v>
      </c>
      <c r="N72" s="12"/>
      <c r="O72" s="12"/>
      <c r="P72" s="12"/>
      <c r="Q72" s="12"/>
      <c r="R72" s="12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</row>
    <row r="73" spans="2:110" x14ac:dyDescent="0.25">
      <c r="B73" s="121"/>
      <c r="C73" s="122"/>
      <c r="D73" s="122"/>
      <c r="E73" s="108">
        <f t="shared" si="97"/>
        <v>2.5999999999999979</v>
      </c>
      <c r="F73" s="118">
        <f t="shared" ref="F73" si="120">EXP(-IRate*E73)</f>
        <v>0.92496442654353939</v>
      </c>
      <c r="G73" s="36" cm="1">
        <f t="array" aca="1" ref="G73" ca="1">CubicSpline(Tenors,Spreads,E73)</f>
        <v>7.4083313831913239E-4</v>
      </c>
      <c r="H73" s="32" cm="1">
        <f t="array" aca="1" ref="H73" ca="1">IF(Method="CubicSpline",CubicSpline(Tenors,HRs,E73),FindHR(E73,Tenors,HRs,Method))</f>
        <v>0</v>
      </c>
      <c r="I73" s="36">
        <f t="shared" ca="1" si="13"/>
        <v>1</v>
      </c>
      <c r="J73" s="32">
        <f t="shared" ca="1" si="14"/>
        <v>0</v>
      </c>
      <c r="K73" s="38">
        <f t="shared" ca="1" si="15"/>
        <v>0</v>
      </c>
      <c r="L73" s="38">
        <f t="shared" ref="L73" ca="1" si="121">EXP(-G73*E73/(1-Recovery))</f>
        <v>0.99679487049657833</v>
      </c>
      <c r="M73" s="33">
        <f t="shared" ca="1" si="11"/>
        <v>3.2051295034216665E-3</v>
      </c>
      <c r="N73" s="12"/>
      <c r="O73" s="12"/>
      <c r="P73" s="12"/>
      <c r="Q73" s="12"/>
      <c r="R73" s="12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</row>
    <row r="74" spans="2:110" x14ac:dyDescent="0.25">
      <c r="B74" s="121"/>
      <c r="C74" s="122"/>
      <c r="D74" s="122"/>
      <c r="E74" s="108">
        <f t="shared" si="97"/>
        <v>2.6499999999999977</v>
      </c>
      <c r="F74" s="118">
        <f t="shared" ref="F74" si="122">EXP(-IRate*E74)</f>
        <v>0.92357801996860645</v>
      </c>
      <c r="G74" s="36" cm="1">
        <f t="array" aca="1" ref="G74" ca="1">CubicSpline(Tenors,Spreads,E74)</f>
        <v>7.5771626597180303E-4</v>
      </c>
      <c r="H74" s="32" cm="1">
        <f t="array" aca="1" ref="H74" ca="1">IF(Method="CubicSpline",CubicSpline(Tenors,HRs,E74),FindHR(E74,Tenors,HRs,Method))</f>
        <v>0</v>
      </c>
      <c r="I74" s="36">
        <f t="shared" ca="1" si="13"/>
        <v>1</v>
      </c>
      <c r="J74" s="32">
        <f t="shared" ca="1" si="14"/>
        <v>0</v>
      </c>
      <c r="K74" s="38">
        <f t="shared" ca="1" si="15"/>
        <v>0</v>
      </c>
      <c r="L74" s="38">
        <f t="shared" ref="L74" ca="1" si="123">EXP(-G74*E74/(1-Recovery))</f>
        <v>0.99665901338322094</v>
      </c>
      <c r="M74" s="33">
        <f t="shared" ca="1" si="11"/>
        <v>3.3409866167790625E-3</v>
      </c>
      <c r="N74" s="12"/>
      <c r="O74" s="12"/>
      <c r="P74" s="12"/>
      <c r="Q74" s="12"/>
      <c r="R74" s="12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</row>
    <row r="75" spans="2:110" x14ac:dyDescent="0.25">
      <c r="B75" s="121"/>
      <c r="C75" s="122"/>
      <c r="D75" s="122"/>
      <c r="E75" s="108">
        <f t="shared" si="97"/>
        <v>2.6999999999999975</v>
      </c>
      <c r="F75" s="118">
        <f t="shared" ref="F75" si="124">EXP(-IRate*E75)</f>
        <v>0.92219369144460817</v>
      </c>
      <c r="G75" s="36" cm="1">
        <f t="array" aca="1" ref="G75" ca="1">CubicSpline(Tenors,Spreads,E75)</f>
        <v>7.7543949466585304E-4</v>
      </c>
      <c r="H75" s="32" cm="1">
        <f t="array" aca="1" ref="H75" ca="1">IF(Method="CubicSpline",CubicSpline(Tenors,HRs,E75),FindHR(E75,Tenors,HRs,Method))</f>
        <v>0</v>
      </c>
      <c r="I75" s="36">
        <f t="shared" ca="1" si="13"/>
        <v>1</v>
      </c>
      <c r="J75" s="32">
        <f t="shared" ca="1" si="14"/>
        <v>0</v>
      </c>
      <c r="K75" s="38">
        <f t="shared" ca="1" si="15"/>
        <v>0</v>
      </c>
      <c r="L75" s="38">
        <f t="shared" ref="L75" ca="1" si="125">EXP(-G75*E75/(1-Recovery))</f>
        <v>0.99651660342599924</v>
      </c>
      <c r="M75" s="33">
        <f t="shared" ca="1" si="11"/>
        <v>3.4833965740007633E-3</v>
      </c>
      <c r="N75" s="12"/>
      <c r="O75" s="12"/>
      <c r="P75" s="12"/>
      <c r="Q75" s="12"/>
      <c r="R75" s="12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</row>
    <row r="76" spans="2:110" x14ac:dyDescent="0.25">
      <c r="B76" s="121"/>
      <c r="C76" s="122"/>
      <c r="D76" s="122"/>
      <c r="E76" s="108">
        <f t="shared" si="97"/>
        <v>2.7499999999999973</v>
      </c>
      <c r="F76" s="118">
        <f t="shared" ref="F76" si="126">EXP(-IRate*E76)</f>
        <v>0.92081143785680464</v>
      </c>
      <c r="G76" s="36" cm="1">
        <f t="array" aca="1" ref="G76" ca="1">CubicSpline(Tenors,Spreads,E76)</f>
        <v>7.9401315133509093E-4</v>
      </c>
      <c r="H76" s="32" cm="1">
        <f t="array" aca="1" ref="H76" ca="1">IF(Method="CubicSpline",CubicSpline(Tenors,HRs,E76),FindHR(E76,Tenors,HRs,Method))</f>
        <v>0</v>
      </c>
      <c r="I76" s="36">
        <f t="shared" ca="1" si="13"/>
        <v>1</v>
      </c>
      <c r="J76" s="32">
        <f t="shared" ca="1" si="14"/>
        <v>0</v>
      </c>
      <c r="K76" s="38">
        <f t="shared" ca="1" si="15"/>
        <v>0</v>
      </c>
      <c r="L76" s="38">
        <f t="shared" ref="L76" ca="1" si="127">EXP(-G76*E76/(1-Recovery))</f>
        <v>0.99636738701708716</v>
      </c>
      <c r="M76" s="33">
        <f t="shared" ca="1" si="11"/>
        <v>3.6326129829128417E-3</v>
      </c>
      <c r="N76" s="12"/>
      <c r="O76" s="12"/>
      <c r="P76" s="12"/>
      <c r="Q76" s="12"/>
      <c r="R76" s="12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</row>
    <row r="77" spans="2:110" x14ac:dyDescent="0.25">
      <c r="B77" s="121"/>
      <c r="C77" s="122"/>
      <c r="D77" s="122"/>
      <c r="E77" s="108">
        <f t="shared" si="97"/>
        <v>2.7999999999999972</v>
      </c>
      <c r="F77" s="118">
        <f t="shared" ref="F77" si="128">EXP(-IRate*E77)</f>
        <v>0.91943125609512477</v>
      </c>
      <c r="G77" s="36" cm="1">
        <f t="array" aca="1" ref="G77" ca="1">CubicSpline(Tenors,Spreads,E77)</f>
        <v>8.1344759585803015E-4</v>
      </c>
      <c r="H77" s="32" cm="1">
        <f t="array" aca="1" ref="H77" ca="1">IF(Method="CubicSpline",CubicSpline(Tenors,HRs,E77),FindHR(E77,Tenors,HRs,Method))</f>
        <v>0</v>
      </c>
      <c r="I77" s="36">
        <f t="shared" ca="1" si="13"/>
        <v>1</v>
      </c>
      <c r="J77" s="32">
        <f t="shared" ca="1" si="14"/>
        <v>0</v>
      </c>
      <c r="K77" s="38">
        <f t="shared" ca="1" si="15"/>
        <v>0</v>
      </c>
      <c r="L77" s="38">
        <f t="shared" ref="L77" ca="1" si="129">EXP(-G77*E77/(1-Recovery))</f>
        <v>0.99621110725586692</v>
      </c>
      <c r="M77" s="33">
        <f t="shared" ca="1" si="11"/>
        <v>3.7888927441330766E-3</v>
      </c>
      <c r="N77" s="12"/>
      <c r="O77" s="12"/>
      <c r="P77" s="12"/>
      <c r="Q77" s="12"/>
      <c r="R77" s="12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</row>
    <row r="78" spans="2:110" x14ac:dyDescent="0.25">
      <c r="B78" s="121"/>
      <c r="C78" s="122"/>
      <c r="D78" s="122"/>
      <c r="E78" s="108">
        <f t="shared" si="97"/>
        <v>2.849999999999997</v>
      </c>
      <c r="F78" s="118">
        <f t="shared" ref="F78" si="130">EXP(-IRate*E78)</f>
        <v>0.91805314305415897</v>
      </c>
      <c r="G78" s="36" cm="1">
        <f t="array" aca="1" ref="G78" ca="1">CubicSpline(Tenors,Spreads,E78)</f>
        <v>8.3375316833234027E-4</v>
      </c>
      <c r="H78" s="32" cm="1">
        <f t="array" aca="1" ref="H78" ca="1">IF(Method="CubicSpline",CubicSpline(Tenors,HRs,E78),FindHR(E78,Tenors,HRs,Method))</f>
        <v>0</v>
      </c>
      <c r="I78" s="36">
        <f t="shared" ca="1" si="13"/>
        <v>1</v>
      </c>
      <c r="J78" s="32">
        <f t="shared" ca="1" si="14"/>
        <v>0</v>
      </c>
      <c r="K78" s="38">
        <f t="shared" ca="1" si="15"/>
        <v>0</v>
      </c>
      <c r="L78" s="38">
        <f t="shared" ref="L78" ca="1" si="131">EXP(-G78*E78/(1-Recovery))</f>
        <v>0.99604750420538857</v>
      </c>
      <c r="M78" s="33">
        <f t="shared" ca="1" si="11"/>
        <v>3.9524957946114325E-3</v>
      </c>
      <c r="N78" s="12"/>
      <c r="O78" s="12"/>
      <c r="P78" s="12"/>
      <c r="Q78" s="12"/>
      <c r="R78" s="12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</row>
    <row r="79" spans="2:110" x14ac:dyDescent="0.25">
      <c r="B79" s="121"/>
      <c r="C79" s="122"/>
      <c r="D79" s="122"/>
      <c r="E79" s="108">
        <f t="shared" si="97"/>
        <v>2.8999999999999968</v>
      </c>
      <c r="F79" s="118">
        <f t="shared" ref="F79" si="132">EXP(-IRate*E79)</f>
        <v>0.91667709563315236</v>
      </c>
      <c r="G79" s="36" cm="1">
        <f t="array" aca="1" ref="G79" ca="1">CubicSpline(Tenors,Spreads,E79)</f>
        <v>8.5494019049404328E-4</v>
      </c>
      <c r="H79" s="32" cm="1">
        <f t="array" aca="1" ref="H79" ca="1">IF(Method="CubicSpline",CubicSpline(Tenors,HRs,E79),FindHR(E79,Tenors,HRs,Method))</f>
        <v>0</v>
      </c>
      <c r="I79" s="36">
        <f t="shared" ca="1" si="13"/>
        <v>1</v>
      </c>
      <c r="J79" s="32">
        <f t="shared" ca="1" si="14"/>
        <v>0</v>
      </c>
      <c r="K79" s="38">
        <f t="shared" ca="1" si="15"/>
        <v>0</v>
      </c>
      <c r="L79" s="38">
        <f t="shared" ref="L79" ca="1" si="133">EXP(-G79*E79/(1-Recovery))</f>
        <v>0.99587631491526518</v>
      </c>
      <c r="M79" s="33">
        <f t="shared" ca="1" si="11"/>
        <v>4.1236850847348183E-3</v>
      </c>
      <c r="N79" s="12"/>
      <c r="O79" s="12"/>
      <c r="P79" s="12"/>
      <c r="Q79" s="12"/>
      <c r="R79" s="12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</row>
    <row r="80" spans="2:110" x14ac:dyDescent="0.25">
      <c r="B80" s="121"/>
      <c r="C80" s="122"/>
      <c r="D80" s="122"/>
      <c r="E80" s="108">
        <f t="shared" si="97"/>
        <v>2.9499999999999966</v>
      </c>
      <c r="F80" s="118">
        <f t="shared" ref="F80" si="134">EXP(-IRate*E80)</f>
        <v>0.91530311073599768</v>
      </c>
      <c r="G80" s="36" cm="1">
        <f t="array" aca="1" ref="G80" ca="1">CubicSpline(Tenors,Spreads,E80)</f>
        <v>8.7701901780178147E-4</v>
      </c>
      <c r="H80" s="32" cm="1">
        <f t="array" aca="1" ref="H80" ca="1">IF(Method="CubicSpline",CubicSpline(Tenors,HRs,E80),FindHR(E80,Tenors,HRs,Method))</f>
        <v>0</v>
      </c>
      <c r="I80" s="36">
        <f t="shared" ca="1" si="13"/>
        <v>1</v>
      </c>
      <c r="J80" s="32">
        <f t="shared" ca="1" si="14"/>
        <v>0</v>
      </c>
      <c r="K80" s="38">
        <f t="shared" ca="1" si="15"/>
        <v>0</v>
      </c>
      <c r="L80" s="38">
        <f t="shared" ref="L80" ca="1" si="135">EXP(-G80*E80/(1-Recovery))</f>
        <v>0.99569727319687928</v>
      </c>
      <c r="M80" s="33">
        <f t="shared" ca="1" si="11"/>
        <v>4.3027268031207155E-3</v>
      </c>
      <c r="N80" s="12"/>
      <c r="O80" s="12"/>
      <c r="P80" s="12"/>
      <c r="Q80" s="12"/>
      <c r="R80" s="12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</row>
    <row r="81" spans="2:110" x14ac:dyDescent="0.25">
      <c r="B81" s="121"/>
      <c r="C81" s="122"/>
      <c r="D81" s="122"/>
      <c r="E81" s="108">
        <v>3</v>
      </c>
      <c r="F81" s="118">
        <f t="shared" ref="F81" si="136">EXP(-IRate*E81)</f>
        <v>0.91393118527122819</v>
      </c>
      <c r="G81" s="36" cm="1">
        <f t="array" aca="1" ref="G81" ca="1">CubicSpline(Tenors,Spreads,E81)</f>
        <v>8.9999998454004526E-4</v>
      </c>
      <c r="H81" s="32" cm="1">
        <f t="array" aca="1" ref="H81" ca="1">IF(Method="CubicSpline",CubicSpline(Tenors,HRs,E81),FindHR(E81,Tenors,HRs,Method))</f>
        <v>0</v>
      </c>
      <c r="I81" s="36">
        <f t="shared" ca="1" si="13"/>
        <v>1</v>
      </c>
      <c r="J81" s="32">
        <f t="shared" ca="1" si="14"/>
        <v>0</v>
      </c>
      <c r="K81" s="38">
        <f t="shared" ca="1" si="15"/>
        <v>0</v>
      </c>
      <c r="L81" s="38">
        <f t="shared" ref="L81" ca="1" si="137">EXP(-G81*E81/(1-Recovery))</f>
        <v>0.99551010990652333</v>
      </c>
      <c r="M81" s="33">
        <f t="shared" ca="1" si="11"/>
        <v>4.4898900934766672E-3</v>
      </c>
      <c r="N81" s="12"/>
      <c r="O81" s="12"/>
      <c r="P81" s="12"/>
      <c r="Q81" s="12"/>
      <c r="R81" s="12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</row>
    <row r="82" spans="2:110" x14ac:dyDescent="0.25">
      <c r="B82" s="121"/>
      <c r="C82" s="122"/>
      <c r="D82" s="122"/>
      <c r="E82" s="108">
        <f t="shared" ref="E82:E100" si="138">E81+0.05</f>
        <v>3.05</v>
      </c>
      <c r="F82" s="118">
        <f t="shared" ref="F82" si="139">EXP(-IRate*E82)</f>
        <v>0.91256131615201119</v>
      </c>
      <c r="G82" s="36" cm="1">
        <f t="array" aca="1" ref="G82" ca="1">CubicSpline(Tenors,Spreads,E82)</f>
        <v>9.2388531022702229E-4</v>
      </c>
      <c r="H82" s="32" cm="1">
        <f t="array" aca="1" ref="H82" ca="1">IF(Method="CubicSpline",CubicSpline(Tenors,HRs,E82),FindHR(E82,Tenors,HRs,Method))</f>
        <v>0</v>
      </c>
      <c r="I82" s="36">
        <f t="shared" ca="1" si="13"/>
        <v>1</v>
      </c>
      <c r="J82" s="32">
        <f t="shared" ca="1" si="14"/>
        <v>0</v>
      </c>
      <c r="K82" s="38">
        <f t="shared" ca="1" si="15"/>
        <v>0</v>
      </c>
      <c r="L82" s="38">
        <f t="shared" ref="L82" ca="1" si="140">EXP(-G82*E82/(1-Recovery))</f>
        <v>0.995314593928597</v>
      </c>
      <c r="M82" s="33">
        <f t="shared" ca="1" si="11"/>
        <v>4.6854060714029977E-3</v>
      </c>
      <c r="N82" s="12"/>
      <c r="O82" s="12"/>
      <c r="P82" s="12"/>
      <c r="Q82" s="12"/>
      <c r="R82" s="12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</row>
    <row r="83" spans="2:110" x14ac:dyDescent="0.25">
      <c r="B83" s="121"/>
      <c r="C83" s="122"/>
      <c r="D83" s="122"/>
      <c r="E83" s="108">
        <f t="shared" si="138"/>
        <v>3.0999999999999996</v>
      </c>
      <c r="F83" s="118">
        <f t="shared" ref="F83" si="141">EXP(-IRate*E83)</f>
        <v>0.91119350029614055</v>
      </c>
      <c r="G83" s="36" cm="1">
        <f t="array" aca="1" ref="G83" ca="1">CubicSpline(Tenors,Spreads,E83)</f>
        <v>9.4864465305328637E-4</v>
      </c>
      <c r="H83" s="32" cm="1">
        <f t="array" aca="1" ref="H83" ca="1">IF(Method="CubicSpline",CubicSpline(Tenors,HRs,E83),FindHR(E83,Tenors,HRs,Method))</f>
        <v>0</v>
      </c>
      <c r="I83" s="36">
        <f t="shared" ca="1" si="13"/>
        <v>1</v>
      </c>
      <c r="J83" s="32">
        <f t="shared" ca="1" si="14"/>
        <v>0</v>
      </c>
      <c r="K83" s="38">
        <f t="shared" ca="1" si="15"/>
        <v>0</v>
      </c>
      <c r="L83" s="38">
        <f t="shared" ref="L83" ca="1" si="142">EXP(-G83*E83/(1-Recovery))</f>
        <v>0.99511066121378633</v>
      </c>
      <c r="M83" s="33">
        <f t="shared" ca="1" si="11"/>
        <v>4.8893387862136706E-3</v>
      </c>
      <c r="N83" s="12"/>
      <c r="O83" s="12"/>
      <c r="P83" s="12"/>
      <c r="Q83" s="12"/>
      <c r="R83" s="12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</row>
    <row r="84" spans="2:110" x14ac:dyDescent="0.25">
      <c r="B84" s="121"/>
      <c r="C84" s="122"/>
      <c r="D84" s="122"/>
      <c r="E84" s="108">
        <f t="shared" si="138"/>
        <v>3.1499999999999995</v>
      </c>
      <c r="F84" s="118">
        <f t="shared" ref="F84" si="143">EXP(-IRate*E84)</f>
        <v>0.90982773462602995</v>
      </c>
      <c r="G84" s="36" cm="1">
        <f t="array" aca="1" ref="G84" ca="1">CubicSpline(Tenors,Spreads,E84)</f>
        <v>9.742397877783147E-4</v>
      </c>
      <c r="H84" s="32" cm="1">
        <f t="array" aca="1" ref="H84" ca="1">IF(Method="CubicSpline",CubicSpline(Tenors,HRs,E84),FindHR(E84,Tenors,HRs,Method))</f>
        <v>0</v>
      </c>
      <c r="I84" s="36">
        <f t="shared" ca="1" si="13"/>
        <v>1</v>
      </c>
      <c r="J84" s="32">
        <f t="shared" ca="1" si="14"/>
        <v>0</v>
      </c>
      <c r="K84" s="38">
        <f t="shared" ca="1" si="15"/>
        <v>0</v>
      </c>
      <c r="L84" s="38">
        <f t="shared" ref="L84" ca="1" si="144">EXP(-G84*E84/(1-Recovery))</f>
        <v>0.99489829922088557</v>
      </c>
      <c r="M84" s="33">
        <f t="shared" ca="1" si="11"/>
        <v>5.1017007791144264E-3</v>
      </c>
      <c r="N84" s="12"/>
      <c r="O84" s="12"/>
      <c r="P84" s="12"/>
      <c r="Q84" s="12"/>
      <c r="R84" s="12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</row>
    <row r="85" spans="2:110" x14ac:dyDescent="0.25">
      <c r="B85" s="121"/>
      <c r="C85" s="122"/>
      <c r="D85" s="122"/>
      <c r="E85" s="108">
        <f t="shared" si="138"/>
        <v>3.1999999999999993</v>
      </c>
      <c r="F85" s="118">
        <f t="shared" ref="F85" si="145">EXP(-IRate*E85)</f>
        <v>0.90846401606870619</v>
      </c>
      <c r="G85" s="36" cm="1">
        <f t="array" aca="1" ref="G85" ca="1">CubicSpline(Tenors,Spreads,E85)</f>
        <v>1.0006321263186222E-3</v>
      </c>
      <c r="H85" s="32" cm="1">
        <f t="array" aca="1" ref="H85" ca="1">IF(Method="CubicSpline",CubicSpline(Tenors,HRs,E85),FindHR(E85,Tenors,HRs,Method))</f>
        <v>0</v>
      </c>
      <c r="I85" s="36">
        <f t="shared" ca="1" si="13"/>
        <v>1</v>
      </c>
      <c r="J85" s="32">
        <f t="shared" ca="1" si="14"/>
        <v>0</v>
      </c>
      <c r="K85" s="38">
        <f t="shared" ca="1" si="15"/>
        <v>0</v>
      </c>
      <c r="L85" s="38">
        <f t="shared" ref="L85" ca="1" si="146">EXP(-G85*E85/(1-Recovery))</f>
        <v>0.99467751023652018</v>
      </c>
      <c r="M85" s="33">
        <f t="shared" ref="M85:M148" ca="1" si="147">1-L85</f>
        <v>5.3224897634798207E-3</v>
      </c>
      <c r="N85" s="12"/>
      <c r="O85" s="12"/>
      <c r="P85" s="12"/>
      <c r="Q85" s="12"/>
      <c r="R85" s="12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</row>
    <row r="86" spans="2:110" x14ac:dyDescent="0.25">
      <c r="B86" s="121"/>
      <c r="C86" s="122"/>
      <c r="D86" s="122"/>
      <c r="E86" s="108">
        <f t="shared" si="138"/>
        <v>3.2499999999999991</v>
      </c>
      <c r="F86" s="118">
        <f t="shared" ref="F86" si="148">EXP(-IRate*E86)</f>
        <v>0.90710234155580172</v>
      </c>
      <c r="G86" s="36" cm="1">
        <f t="array" aca="1" ref="G86" ca="1">CubicSpline(Tenors,Spreads,E86)</f>
        <v>1.0277833279701541E-3</v>
      </c>
      <c r="H86" s="32" cm="1">
        <f t="array" aca="1" ref="H86" ca="1">IF(Method="CubicSpline",CubicSpline(Tenors,HRs,E86),FindHR(E86,Tenors,HRs,Method))</f>
        <v>0</v>
      </c>
      <c r="I86" s="36">
        <f t="shared" ref="I86:I149" ca="1" si="149">EXP(-H86*(E86-E85))*I85</f>
        <v>1</v>
      </c>
      <c r="J86" s="32">
        <f t="shared" ref="J86:J149" ca="1" si="150">1-I86</f>
        <v>0</v>
      </c>
      <c r="K86" s="38">
        <f t="shared" ref="K86:K149" ca="1" si="151">I85-I86</f>
        <v>0</v>
      </c>
      <c r="L86" s="38">
        <f t="shared" ref="L86" ca="1" si="152">EXP(-G86*E86/(1-Recovery))</f>
        <v>0.99444830822292152</v>
      </c>
      <c r="M86" s="33">
        <f t="shared" ca="1" si="147"/>
        <v>5.5516917770784824E-3</v>
      </c>
      <c r="N86" s="12"/>
      <c r="O86" s="12"/>
      <c r="P86" s="12"/>
      <c r="Q86" s="12"/>
      <c r="R86" s="12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</row>
    <row r="87" spans="2:110" x14ac:dyDescent="0.25">
      <c r="B87" s="121"/>
      <c r="C87" s="122"/>
      <c r="D87" s="122"/>
      <c r="E87" s="108">
        <f t="shared" si="138"/>
        <v>3.2999999999999989</v>
      </c>
      <c r="F87" s="118">
        <f t="shared" ref="F87" si="153">EXP(-IRate*E87)</f>
        <v>0.9057427080235485</v>
      </c>
      <c r="G87" s="36" cm="1">
        <f t="array" aca="1" ref="G87" ca="1">CubicSpline(Tenors,Spreads,E87)</f>
        <v>1.0556549304285457E-3</v>
      </c>
      <c r="H87" s="32" cm="1">
        <f t="array" aca="1" ref="H87" ca="1">IF(Method="CubicSpline",CubicSpline(Tenors,HRs,E87),FindHR(E87,Tenors,HRs,Method))</f>
        <v>0</v>
      </c>
      <c r="I87" s="36">
        <f t="shared" ca="1" si="149"/>
        <v>1</v>
      </c>
      <c r="J87" s="32">
        <f t="shared" ca="1" si="150"/>
        <v>0</v>
      </c>
      <c r="K87" s="38">
        <f t="shared" ca="1" si="151"/>
        <v>0</v>
      </c>
      <c r="L87" s="38">
        <f t="shared" ref="L87" ca="1" si="154">EXP(-G87*E87/(1-Recovery))</f>
        <v>0.99421072071942518</v>
      </c>
      <c r="M87" s="33">
        <f t="shared" ca="1" si="147"/>
        <v>5.7892792805748217E-3</v>
      </c>
      <c r="N87" s="12"/>
      <c r="O87" s="12"/>
      <c r="P87" s="12"/>
      <c r="Q87" s="12"/>
      <c r="R87" s="12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</row>
    <row r="88" spans="2:110" x14ac:dyDescent="0.25">
      <c r="B88" s="121"/>
      <c r="C88" s="122"/>
      <c r="D88" s="122"/>
      <c r="E88" s="108">
        <f t="shared" si="138"/>
        <v>3.3499999999999988</v>
      </c>
      <c r="F88" s="118">
        <f t="shared" ref="F88" si="155">EXP(-IRate*E88)</f>
        <v>0.90438511241277042</v>
      </c>
      <c r="G88" s="36" cm="1">
        <f t="array" aca="1" ref="G88" ca="1">CubicSpline(Tenors,Spreads,E88)</f>
        <v>1.0842086460124147E-3</v>
      </c>
      <c r="H88" s="32" cm="1">
        <f t="array" aca="1" ref="H88" ca="1">IF(Method="CubicSpline",CubicSpline(Tenors,HRs,E88),FindHR(E88,Tenors,HRs,Method))</f>
        <v>0</v>
      </c>
      <c r="I88" s="36">
        <f t="shared" ca="1" si="149"/>
        <v>1</v>
      </c>
      <c r="J88" s="32">
        <f t="shared" ca="1" si="150"/>
        <v>0</v>
      </c>
      <c r="K88" s="38">
        <f t="shared" ca="1" si="151"/>
        <v>0</v>
      </c>
      <c r="L88" s="38">
        <f t="shared" ref="L88" ca="1" si="156">EXP(-G88*E88/(1-Recovery))</f>
        <v>0.99396478723140824</v>
      </c>
      <c r="M88" s="33">
        <f t="shared" ca="1" si="147"/>
        <v>6.0352127685917578E-3</v>
      </c>
      <c r="N88" s="12"/>
      <c r="O88" s="12"/>
      <c r="P88" s="12"/>
      <c r="Q88" s="12"/>
      <c r="R88" s="12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</row>
    <row r="89" spans="2:110" x14ac:dyDescent="0.25">
      <c r="B89" s="121"/>
      <c r="C89" s="122"/>
      <c r="D89" s="122"/>
      <c r="E89" s="108">
        <f t="shared" si="138"/>
        <v>3.3999999999999986</v>
      </c>
      <c r="F89" s="118">
        <f t="shared" ref="F89" si="157">EXP(-IRate*E89)</f>
        <v>0.90302955166887688</v>
      </c>
      <c r="G89" s="36" cm="1">
        <f t="array" aca="1" ref="G89" ca="1">CubicSpline(Tenors,Spreads,E89)</f>
        <v>1.1134060709151268E-3</v>
      </c>
      <c r="H89" s="32" cm="1">
        <f t="array" aca="1" ref="H89" ca="1">IF(Method="CubicSpline",CubicSpline(Tenors,HRs,E89),FindHR(E89,Tenors,HRs,Method))</f>
        <v>0</v>
      </c>
      <c r="I89" s="36">
        <f t="shared" ca="1" si="149"/>
        <v>1</v>
      </c>
      <c r="J89" s="32">
        <f t="shared" ca="1" si="150"/>
        <v>0</v>
      </c>
      <c r="K89" s="38">
        <f t="shared" ca="1" si="151"/>
        <v>0</v>
      </c>
      <c r="L89" s="38">
        <f t="shared" ref="L89" ca="1" si="158">EXP(-G89*E89/(1-Recovery))</f>
        <v>0.99371056077805775</v>
      </c>
      <c r="M89" s="33">
        <f t="shared" ca="1" si="147"/>
        <v>6.2894392219422501E-3</v>
      </c>
      <c r="N89" s="12"/>
      <c r="O89" s="12"/>
      <c r="P89" s="12"/>
      <c r="Q89" s="12"/>
      <c r="R89" s="12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</row>
    <row r="90" spans="2:110" x14ac:dyDescent="0.25">
      <c r="B90" s="121"/>
      <c r="C90" s="122"/>
      <c r="D90" s="122"/>
      <c r="E90" s="108">
        <f t="shared" si="138"/>
        <v>3.4499999999999984</v>
      </c>
      <c r="F90" s="118">
        <f t="shared" ref="F90" si="159">EXP(-IRate*E90)</f>
        <v>0.90167602274185543</v>
      </c>
      <c r="G90" s="36" cm="1">
        <f t="array" aca="1" ref="G90" ca="1">CubicSpline(Tenors,Spreads,E90)</f>
        <v>1.1432086252113947E-3</v>
      </c>
      <c r="H90" s="32" cm="1">
        <f t="array" aca="1" ref="H90" ca="1">IF(Method="CubicSpline",CubicSpline(Tenors,HRs,E90),FindHR(E90,Tenors,HRs,Method))</f>
        <v>0</v>
      </c>
      <c r="I90" s="36">
        <f t="shared" ca="1" si="149"/>
        <v>1</v>
      </c>
      <c r="J90" s="32">
        <f t="shared" ca="1" si="150"/>
        <v>0</v>
      </c>
      <c r="K90" s="38">
        <f t="shared" ca="1" si="151"/>
        <v>0</v>
      </c>
      <c r="L90" s="38">
        <f t="shared" ref="L90" ca="1" si="160">EXP(-G90*E90/(1-Recovery))</f>
        <v>0.99344810826246266</v>
      </c>
      <c r="M90" s="33">
        <f t="shared" ca="1" si="147"/>
        <v>6.5518917375373409E-3</v>
      </c>
      <c r="N90" s="12"/>
      <c r="O90" s="12"/>
      <c r="P90" s="12"/>
      <c r="Q90" s="12"/>
      <c r="R90" s="12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</row>
    <row r="91" spans="2:110" x14ac:dyDescent="0.25">
      <c r="B91" s="121"/>
      <c r="C91" s="122"/>
      <c r="D91" s="122"/>
      <c r="E91" s="108">
        <f t="shared" si="138"/>
        <v>3.4999999999999982</v>
      </c>
      <c r="F91" s="118">
        <f t="shared" ref="F91" si="161">EXP(-IRate*E91)</f>
        <v>0.90032452258626572</v>
      </c>
      <c r="G91" s="36" cm="1">
        <f t="array" aca="1" ref="G91" ca="1">CubicSpline(Tenors,Spreads,E91)</f>
        <v>1.1735780803974168E-3</v>
      </c>
      <c r="H91" s="32" cm="1">
        <f t="array" aca="1" ref="H91" ca="1">IF(Method="CubicSpline",CubicSpline(Tenors,HRs,E91),FindHR(E91,Tenors,HRs,Method))</f>
        <v>0</v>
      </c>
      <c r="I91" s="36">
        <f t="shared" ca="1" si="149"/>
        <v>1</v>
      </c>
      <c r="J91" s="32">
        <f t="shared" ca="1" si="150"/>
        <v>0</v>
      </c>
      <c r="K91" s="38">
        <f t="shared" ca="1" si="151"/>
        <v>0</v>
      </c>
      <c r="L91" s="38">
        <f t="shared" ref="L91" ca="1" si="162">EXP(-G91*E91/(1-Recovery))</f>
        <v>0.99317750746532185</v>
      </c>
      <c r="M91" s="33">
        <f t="shared" ca="1" si="147"/>
        <v>6.8224925346781484E-3</v>
      </c>
      <c r="N91" s="12"/>
      <c r="O91" s="12"/>
      <c r="P91" s="12"/>
      <c r="Q91" s="12"/>
      <c r="R91" s="12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</row>
    <row r="92" spans="2:110" x14ac:dyDescent="0.25">
      <c r="B92" s="121"/>
      <c r="C92" s="122"/>
      <c r="D92" s="122"/>
      <c r="E92" s="108">
        <f t="shared" si="138"/>
        <v>3.549999999999998</v>
      </c>
      <c r="F92" s="118">
        <f t="shared" ref="F92" si="163">EXP(-IRate*E92)</f>
        <v>0.89897504816123153</v>
      </c>
      <c r="G92" s="36" cm="1">
        <f t="array" aca="1" ref="G92" ca="1">CubicSpline(Tenors,Spreads,E92)</f>
        <v>1.2044759450649976E-3</v>
      </c>
      <c r="H92" s="32" cm="1">
        <f t="array" aca="1" ref="H92" ca="1">IF(Method="CubicSpline",CubicSpline(Tenors,HRs,E92),FindHR(E92,Tenors,HRs,Method))</f>
        <v>0</v>
      </c>
      <c r="I92" s="36">
        <f t="shared" ca="1" si="149"/>
        <v>1</v>
      </c>
      <c r="J92" s="32">
        <f t="shared" ca="1" si="150"/>
        <v>0</v>
      </c>
      <c r="K92" s="38">
        <f t="shared" ca="1" si="151"/>
        <v>0</v>
      </c>
      <c r="L92" s="38">
        <f t="shared" ref="L92" ca="1" si="164">EXP(-G92*E92/(1-Recovery))</f>
        <v>0.99289885048818605</v>
      </c>
      <c r="M92" s="33">
        <f t="shared" ca="1" si="147"/>
        <v>7.1011495118139534E-3</v>
      </c>
      <c r="N92" s="12"/>
      <c r="O92" s="12"/>
      <c r="P92" s="12"/>
      <c r="Q92" s="12"/>
      <c r="R92" s="12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</row>
    <row r="93" spans="2:110" x14ac:dyDescent="0.25">
      <c r="B93" s="121"/>
      <c r="C93" s="122"/>
      <c r="D93" s="122"/>
      <c r="E93" s="108">
        <f t="shared" si="138"/>
        <v>3.5999999999999979</v>
      </c>
      <c r="F93" s="118">
        <f t="shared" ref="F93" si="165">EXP(-IRate*E93)</f>
        <v>0.89762759643043499</v>
      </c>
      <c r="G93" s="36" cm="1">
        <f t="array" aca="1" ref="G93" ca="1">CubicSpline(Tenors,Spreads,E93)</f>
        <v>1.2358639014861993E-3</v>
      </c>
      <c r="H93" s="32" cm="1">
        <f t="array" aca="1" ref="H93" ca="1">IF(Method="CubicSpline",CubicSpline(Tenors,HRs,E93),FindHR(E93,Tenors,HRs,Method))</f>
        <v>0</v>
      </c>
      <c r="I93" s="36">
        <f t="shared" ca="1" si="149"/>
        <v>1</v>
      </c>
      <c r="J93" s="32">
        <f t="shared" ca="1" si="150"/>
        <v>0</v>
      </c>
      <c r="K93" s="38">
        <f t="shared" ca="1" si="151"/>
        <v>0</v>
      </c>
      <c r="L93" s="38">
        <f t="shared" ref="L93" ca="1" si="166">EXP(-G93*E93/(1-Recovery))</f>
        <v>0.99261224123545422</v>
      </c>
      <c r="M93" s="33">
        <f t="shared" ca="1" si="147"/>
        <v>7.3877587645457821E-3</v>
      </c>
      <c r="N93" s="12"/>
      <c r="O93" s="12"/>
      <c r="P93" s="12"/>
      <c r="Q93" s="12"/>
      <c r="R93" s="12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</row>
    <row r="94" spans="2:110" x14ac:dyDescent="0.25">
      <c r="B94" s="121"/>
      <c r="C94" s="122"/>
      <c r="D94" s="122"/>
      <c r="E94" s="108">
        <f t="shared" si="138"/>
        <v>3.6499999999999977</v>
      </c>
      <c r="F94" s="118">
        <f t="shared" ref="F94" si="167">EXP(-IRate*E94)</f>
        <v>0.89628216436210906</v>
      </c>
      <c r="G94" s="36" cm="1">
        <f t="array" aca="1" ref="G94" ca="1">CubicSpline(Tenors,Spreads,E94)</f>
        <v>1.2677034308304917E-3</v>
      </c>
      <c r="H94" s="32" cm="1">
        <f t="array" aca="1" ref="H94" ca="1">IF(Method="CubicSpline",CubicSpline(Tenors,HRs,E94),FindHR(E94,Tenors,HRs,Method))</f>
        <v>0</v>
      </c>
      <c r="I94" s="36">
        <f t="shared" ca="1" si="149"/>
        <v>1</v>
      </c>
      <c r="J94" s="32">
        <f t="shared" ca="1" si="150"/>
        <v>0</v>
      </c>
      <c r="K94" s="38">
        <f t="shared" ca="1" si="151"/>
        <v>0</v>
      </c>
      <c r="L94" s="38">
        <f t="shared" ref="L94" ca="1" si="168">EXP(-G94*E94/(1-Recovery))</f>
        <v>0.99231779758045524</v>
      </c>
      <c r="M94" s="33">
        <f t="shared" ca="1" si="147"/>
        <v>7.6822024195447591E-3</v>
      </c>
      <c r="N94" s="12"/>
      <c r="O94" s="12"/>
      <c r="P94" s="12"/>
      <c r="Q94" s="12"/>
      <c r="R94" s="12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</row>
    <row r="95" spans="2:110" x14ac:dyDescent="0.25">
      <c r="B95" s="121"/>
      <c r="C95" s="122"/>
      <c r="D95" s="122"/>
      <c r="E95" s="108">
        <f t="shared" si="138"/>
        <v>3.6999999999999975</v>
      </c>
      <c r="F95" s="118">
        <f t="shared" ref="F95" si="169">EXP(-IRate*E95)</f>
        <v>0.89493874892903102</v>
      </c>
      <c r="G95" s="36" cm="1">
        <f t="array" aca="1" ref="G95" ca="1">CubicSpline(Tenors,Spreads,E95)</f>
        <v>1.2999562433814759E-3</v>
      </c>
      <c r="H95" s="32" cm="1">
        <f t="array" aca="1" ref="H95" ca="1">IF(Method="CubicSpline",CubicSpline(Tenors,HRs,E95),FindHR(E95,Tenors,HRs,Method))</f>
        <v>0</v>
      </c>
      <c r="I95" s="36">
        <f t="shared" ca="1" si="149"/>
        <v>1</v>
      </c>
      <c r="J95" s="32">
        <f t="shared" ca="1" si="150"/>
        <v>0</v>
      </c>
      <c r="K95" s="38">
        <f t="shared" ca="1" si="151"/>
        <v>0</v>
      </c>
      <c r="L95" s="38">
        <f t="shared" ref="L95" ca="1" si="170">EXP(-G95*E95/(1-Recovery))</f>
        <v>0.99201564878760229</v>
      </c>
      <c r="M95" s="33">
        <f t="shared" ca="1" si="147"/>
        <v>7.9843512123977112E-3</v>
      </c>
      <c r="N95" s="12"/>
      <c r="O95" s="12"/>
      <c r="P95" s="12"/>
      <c r="Q95" s="12"/>
      <c r="R95" s="12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</row>
    <row r="96" spans="2:110" x14ac:dyDescent="0.25">
      <c r="B96" s="121"/>
      <c r="C96" s="122"/>
      <c r="D96" s="122"/>
      <c r="E96" s="108">
        <f t="shared" si="138"/>
        <v>3.7499999999999973</v>
      </c>
      <c r="F96" s="118">
        <f t="shared" ref="F96" si="171">EXP(-IRate*E96)</f>
        <v>0.89359734710851579</v>
      </c>
      <c r="G96" s="36" cm="1">
        <f t="array" aca="1" ref="G96" ca="1">CubicSpline(Tenors,Spreads,E96)</f>
        <v>1.3325838211244406E-3</v>
      </c>
      <c r="H96" s="32" cm="1">
        <f t="array" aca="1" ref="H96" ca="1">IF(Method="CubicSpline",CubicSpline(Tenors,HRs,E96),FindHR(E96,Tenors,HRs,Method))</f>
        <v>0</v>
      </c>
      <c r="I96" s="36">
        <f t="shared" ca="1" si="149"/>
        <v>1</v>
      </c>
      <c r="J96" s="32">
        <f t="shared" ca="1" si="150"/>
        <v>0</v>
      </c>
      <c r="K96" s="38">
        <f t="shared" ca="1" si="151"/>
        <v>0</v>
      </c>
      <c r="L96" s="38">
        <f t="shared" ref="L96" ca="1" si="172">EXP(-G96*E96/(1-Recovery))</f>
        <v>0.99170593822617203</v>
      </c>
      <c r="M96" s="33">
        <f t="shared" ca="1" si="147"/>
        <v>8.2940617738279654E-3</v>
      </c>
      <c r="N96" s="12"/>
      <c r="O96" s="12"/>
      <c r="P96" s="12"/>
      <c r="Q96" s="12"/>
      <c r="R96" s="12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</row>
    <row r="97" spans="2:110" x14ac:dyDescent="0.25">
      <c r="B97" s="121"/>
      <c r="C97" s="122"/>
      <c r="D97" s="122"/>
      <c r="E97" s="108">
        <f t="shared" si="138"/>
        <v>3.7999999999999972</v>
      </c>
      <c r="F97" s="118">
        <f t="shared" ref="F97" si="173">EXP(-IRate*E97)</f>
        <v>0.89225795588240842</v>
      </c>
      <c r="G97" s="36" cm="1">
        <f t="array" aca="1" ref="G97" ca="1">CubicSpline(Tenors,Spreads,E97)</f>
        <v>1.3655478453298033E-3</v>
      </c>
      <c r="H97" s="32" cm="1">
        <f t="array" aca="1" ref="H97" ca="1">IF(Method="CubicSpline",CubicSpline(Tenors,HRs,E97),FindHR(E97,Tenors,HRs,Method))</f>
        <v>0</v>
      </c>
      <c r="I97" s="36">
        <f t="shared" ca="1" si="149"/>
        <v>1</v>
      </c>
      <c r="J97" s="32">
        <f t="shared" ca="1" si="150"/>
        <v>0</v>
      </c>
      <c r="K97" s="38">
        <f t="shared" ca="1" si="151"/>
        <v>0</v>
      </c>
      <c r="L97" s="38">
        <f t="shared" ref="L97" ca="1" si="174">EXP(-G97*E97/(1-Recovery))</f>
        <v>0.9913888207477114</v>
      </c>
      <c r="M97" s="33">
        <f t="shared" ca="1" si="147"/>
        <v>8.6111792522886033E-3</v>
      </c>
      <c r="N97" s="12"/>
      <c r="O97" s="12"/>
      <c r="P97" s="12"/>
      <c r="Q97" s="12"/>
      <c r="R97" s="12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</row>
    <row r="98" spans="2:110" x14ac:dyDescent="0.25">
      <c r="B98" s="121"/>
      <c r="C98" s="122"/>
      <c r="D98" s="122"/>
      <c r="E98" s="108">
        <f t="shared" si="138"/>
        <v>3.849999999999997</v>
      </c>
      <c r="F98" s="118">
        <f t="shared" ref="F98" si="175">EXP(-IRate*E98)</f>
        <v>0.89092057223707821</v>
      </c>
      <c r="G98" s="36" cm="1">
        <f t="array" aca="1" ref="G98" ca="1">CubicSpline(Tenors,Spreads,E98)</f>
        <v>1.3988098834995409E-3</v>
      </c>
      <c r="H98" s="32" cm="1">
        <f t="array" aca="1" ref="H98" ca="1">IF(Method="CubicSpline",CubicSpline(Tenors,HRs,E98),FindHR(E98,Tenors,HRs,Method))</f>
        <v>0</v>
      </c>
      <c r="I98" s="36">
        <f t="shared" ca="1" si="149"/>
        <v>1</v>
      </c>
      <c r="J98" s="32">
        <f t="shared" ca="1" si="150"/>
        <v>0</v>
      </c>
      <c r="K98" s="38">
        <f t="shared" ca="1" si="151"/>
        <v>0</v>
      </c>
      <c r="L98" s="38">
        <f t="shared" ref="L98" ca="1" si="176">EXP(-G98*E98/(1-Recovery))</f>
        <v>0.99106446456521602</v>
      </c>
      <c r="M98" s="33">
        <f t="shared" ca="1" si="147"/>
        <v>8.935535434783981E-3</v>
      </c>
      <c r="N98" s="12"/>
      <c r="O98" s="12"/>
      <c r="P98" s="12"/>
      <c r="Q98" s="12"/>
      <c r="R98" s="12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</row>
    <row r="99" spans="2:110" x14ac:dyDescent="0.25">
      <c r="B99" s="121"/>
      <c r="C99" s="122"/>
      <c r="D99" s="122"/>
      <c r="E99" s="108">
        <f t="shared" si="138"/>
        <v>3.8999999999999968</v>
      </c>
      <c r="F99" s="118">
        <f t="shared" ref="F99" si="177">EXP(-IRate*E99)</f>
        <v>0.88958519316341145</v>
      </c>
      <c r="G99" s="36" cm="1">
        <f t="array" aca="1" ref="G99" ca="1">CubicSpline(Tenors,Spreads,E99)</f>
        <v>1.4323315174654613E-3</v>
      </c>
      <c r="H99" s="32" cm="1">
        <f t="array" aca="1" ref="H99" ca="1">IF(Method="CubicSpline",CubicSpline(Tenors,HRs,E99),FindHR(E99,Tenors,HRs,Method))</f>
        <v>0</v>
      </c>
      <c r="I99" s="36">
        <f t="shared" ca="1" si="149"/>
        <v>1</v>
      </c>
      <c r="J99" s="32">
        <f t="shared" ca="1" si="150"/>
        <v>0</v>
      </c>
      <c r="K99" s="38">
        <f t="shared" ca="1" si="151"/>
        <v>0</v>
      </c>
      <c r="L99" s="38">
        <f t="shared" ref="L99" ca="1" si="178">EXP(-G99*E99/(1-Recovery))</f>
        <v>0.99073305044160909</v>
      </c>
      <c r="M99" s="33">
        <f t="shared" ca="1" si="147"/>
        <v>9.2669495583909134E-3</v>
      </c>
      <c r="N99" s="12"/>
      <c r="O99" s="12"/>
      <c r="P99" s="12"/>
      <c r="Q99" s="12"/>
      <c r="R99" s="12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</row>
    <row r="100" spans="2:110" x14ac:dyDescent="0.25">
      <c r="B100" s="121"/>
      <c r="C100" s="122"/>
      <c r="D100" s="122"/>
      <c r="E100" s="108">
        <f t="shared" si="138"/>
        <v>3.9499999999999966</v>
      </c>
      <c r="F100" s="118">
        <f t="shared" ref="F100" si="179">EXP(-IRate*E100)</f>
        <v>0.88825181565680456</v>
      </c>
      <c r="G100" s="36" cm="1">
        <f t="array" aca="1" ref="G100" ca="1">CubicSpline(Tenors,Spreads,E100)</f>
        <v>1.4660743643553674E-3</v>
      </c>
      <c r="H100" s="32" cm="1">
        <f t="array" aca="1" ref="H100" ca="1">IF(Method="CubicSpline",CubicSpline(Tenors,HRs,E100),FindHR(E100,Tenors,HRs,Method))</f>
        <v>0</v>
      </c>
      <c r="I100" s="36">
        <f t="shared" ca="1" si="149"/>
        <v>1</v>
      </c>
      <c r="J100" s="32">
        <f t="shared" ca="1" si="150"/>
        <v>0</v>
      </c>
      <c r="K100" s="38">
        <f t="shared" ca="1" si="151"/>
        <v>0</v>
      </c>
      <c r="L100" s="38">
        <f t="shared" ref="L100" ca="1" si="180">EXP(-G100*E100/(1-Recovery))</f>
        <v>0.99039477151373023</v>
      </c>
      <c r="M100" s="33">
        <f t="shared" ca="1" si="147"/>
        <v>9.6052284862697679E-3</v>
      </c>
      <c r="N100" s="12"/>
      <c r="O100" s="12"/>
      <c r="P100" s="12"/>
      <c r="Q100" s="12"/>
      <c r="R100" s="12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</row>
    <row r="101" spans="2:110" x14ac:dyDescent="0.25">
      <c r="B101" s="121"/>
      <c r="C101" s="122"/>
      <c r="D101" s="122"/>
      <c r="E101" s="108">
        <v>4</v>
      </c>
      <c r="F101" s="118">
        <f t="shared" ref="F101" si="181">EXP(-IRate*E101)</f>
        <v>0.88692043671715748</v>
      </c>
      <c r="G101" s="36" cm="1">
        <f t="array" aca="1" ref="G101" ca="1">CubicSpline(Tenors,Spreads,E101)</f>
        <v>1.500000013038516E-3</v>
      </c>
      <c r="H101" s="32" cm="1">
        <f t="array" aca="1" ref="H101" ca="1">IF(Method="CubicSpline",CubicSpline(Tenors,HRs,E101),FindHR(E101,Tenors,HRs,Method))</f>
        <v>0</v>
      </c>
      <c r="I101" s="36">
        <f t="shared" ca="1" si="149"/>
        <v>1</v>
      </c>
      <c r="J101" s="32">
        <f t="shared" ca="1" si="150"/>
        <v>0</v>
      </c>
      <c r="K101" s="38">
        <f t="shared" ca="1" si="151"/>
        <v>0</v>
      </c>
      <c r="L101" s="38">
        <f t="shared" ref="L101" ca="1" si="182">EXP(-G101*E101/(1-Recovery))</f>
        <v>0.9900498336631095</v>
      </c>
      <c r="M101" s="33">
        <f t="shared" ca="1" si="147"/>
        <v>9.950166336890498E-3</v>
      </c>
      <c r="N101" s="12"/>
      <c r="O101" s="12"/>
      <c r="P101" s="12"/>
      <c r="Q101" s="12"/>
      <c r="R101" s="12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</row>
    <row r="102" spans="2:110" x14ac:dyDescent="0.25">
      <c r="B102" s="121"/>
      <c r="C102" s="122"/>
      <c r="D102" s="122"/>
      <c r="E102" s="108">
        <f t="shared" ref="E102:E120" si="183">E101+0.05</f>
        <v>4.05</v>
      </c>
      <c r="F102" s="118">
        <f t="shared" ref="F102" si="184">EXP(-IRate*E102)</f>
        <v>0.88559105334886734</v>
      </c>
      <c r="G102" s="36" cm="1">
        <f t="array" aca="1" ref="G102" ca="1">CubicSpline(Tenors,Spreads,E102)</f>
        <v>1.5340753524191E-3</v>
      </c>
      <c r="H102" s="32" cm="1">
        <f t="array" aca="1" ref="H102" ca="1">IF(Method="CubicSpline",CubicSpline(Tenors,HRs,E102),FindHR(E102,Tenors,HRs,Method))</f>
        <v>0</v>
      </c>
      <c r="I102" s="36">
        <f t="shared" ca="1" si="149"/>
        <v>1</v>
      </c>
      <c r="J102" s="32">
        <f t="shared" ca="1" si="150"/>
        <v>0</v>
      </c>
      <c r="K102" s="38">
        <f t="shared" ca="1" si="151"/>
        <v>0</v>
      </c>
      <c r="L102" s="38">
        <f t="shared" ref="L102" ca="1" si="185">EXP(-G102*E102/(1-Recovery))</f>
        <v>0.98969841989638219</v>
      </c>
      <c r="M102" s="33">
        <f t="shared" ca="1" si="147"/>
        <v>1.0301580103617813E-2</v>
      </c>
      <c r="N102" s="12"/>
      <c r="O102" s="12"/>
      <c r="P102" s="12"/>
      <c r="Q102" s="12"/>
      <c r="R102" s="12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</row>
    <row r="103" spans="2:110" x14ac:dyDescent="0.25">
      <c r="B103" s="121"/>
      <c r="C103" s="122"/>
      <c r="D103" s="122"/>
      <c r="E103" s="108">
        <f t="shared" si="183"/>
        <v>4.0999999999999996</v>
      </c>
      <c r="F103" s="118">
        <f t="shared" ref="F103" si="186">EXP(-IRate*E103)</f>
        <v>0.8842636625608209</v>
      </c>
      <c r="G103" s="36" cm="1">
        <f t="array" aca="1" ref="G103" ca="1">CubicSpline(Tenors,Spreads,E103)</f>
        <v>1.5682882497527627E-3</v>
      </c>
      <c r="H103" s="32" cm="1">
        <f t="array" aca="1" ref="H103" ca="1">IF(Method="CubicSpline",CubicSpline(Tenors,HRs,E103),FindHR(E103,Tenors,HRs,Method))</f>
        <v>0</v>
      </c>
      <c r="I103" s="36">
        <f t="shared" ca="1" si="149"/>
        <v>1</v>
      </c>
      <c r="J103" s="32">
        <f t="shared" ca="1" si="150"/>
        <v>0</v>
      </c>
      <c r="K103" s="38">
        <f t="shared" ca="1" si="151"/>
        <v>0</v>
      </c>
      <c r="L103" s="38">
        <f t="shared" ref="L103" ca="1" si="187">EXP(-G103*E103/(1-Recovery))</f>
        <v>0.98934058219499821</v>
      </c>
      <c r="M103" s="33">
        <f t="shared" ca="1" si="147"/>
        <v>1.0659417805001792E-2</v>
      </c>
      <c r="N103" s="12"/>
      <c r="O103" s="12"/>
      <c r="P103" s="12"/>
      <c r="Q103" s="12"/>
      <c r="R103" s="12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</row>
    <row r="104" spans="2:110" x14ac:dyDescent="0.25">
      <c r="B104" s="121"/>
      <c r="C104" s="122"/>
      <c r="D104" s="122"/>
      <c r="E104" s="108">
        <f t="shared" si="183"/>
        <v>4.1499999999999995</v>
      </c>
      <c r="F104" s="118">
        <f t="shared" ref="F104" si="188">EXP(-IRate*E104)</f>
        <v>0.8829382613663882</v>
      </c>
      <c r="G104" s="36" cm="1">
        <f t="array" aca="1" ref="G104" ca="1">CubicSpline(Tenors,Spreads,E104)</f>
        <v>1.6026323315277832E-3</v>
      </c>
      <c r="H104" s="32" cm="1">
        <f t="array" aca="1" ref="H104" ca="1">IF(Method="CubicSpline",CubicSpline(Tenors,HRs,E104),FindHR(E104,Tenors,HRs,Method))</f>
        <v>0</v>
      </c>
      <c r="I104" s="36">
        <f t="shared" ca="1" si="149"/>
        <v>1</v>
      </c>
      <c r="J104" s="32">
        <f t="shared" ca="1" si="150"/>
        <v>0</v>
      </c>
      <c r="K104" s="38">
        <f t="shared" ca="1" si="151"/>
        <v>0</v>
      </c>
      <c r="L104" s="38">
        <f t="shared" ref="L104" ca="1" si="189">EXP(-G104*E104/(1-Recovery))</f>
        <v>0.98897633720504352</v>
      </c>
      <c r="M104" s="33">
        <f t="shared" ca="1" si="147"/>
        <v>1.1023662794956479E-2</v>
      </c>
      <c r="N104" s="12"/>
      <c r="O104" s="12"/>
      <c r="P104" s="12"/>
      <c r="Q104" s="12"/>
      <c r="R104" s="12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</row>
    <row r="105" spans="2:110" x14ac:dyDescent="0.25">
      <c r="B105" s="121"/>
      <c r="C105" s="122"/>
      <c r="D105" s="122"/>
      <c r="E105" s="108">
        <f t="shared" si="183"/>
        <v>4.1999999999999993</v>
      </c>
      <c r="F105" s="118">
        <f t="shared" ref="F105" si="190">EXP(-IRate*E105)</f>
        <v>0.88161484678341606</v>
      </c>
      <c r="G105" s="36" cm="1">
        <f t="array" aca="1" ref="G105" ca="1">CubicSpline(Tenors,Spreads,E105)</f>
        <v>1.6371005235888158E-3</v>
      </c>
      <c r="H105" s="32" cm="1">
        <f t="array" aca="1" ref="H105" ca="1">IF(Method="CubicSpline",CubicSpline(Tenors,HRs,E105),FindHR(E105,Tenors,HRs,Method))</f>
        <v>0</v>
      </c>
      <c r="I105" s="36">
        <f t="shared" ca="1" si="149"/>
        <v>1</v>
      </c>
      <c r="J105" s="32">
        <f t="shared" ca="1" si="150"/>
        <v>0</v>
      </c>
      <c r="K105" s="38">
        <f t="shared" ca="1" si="151"/>
        <v>0</v>
      </c>
      <c r="L105" s="38">
        <f t="shared" ref="L105" ca="1" si="191">EXP(-G105*E105/(1-Recovery))</f>
        <v>0.98860570863197517</v>
      </c>
      <c r="M105" s="33">
        <f t="shared" ca="1" si="147"/>
        <v>1.1394291368024834E-2</v>
      </c>
      <c r="N105" s="12"/>
      <c r="O105" s="12"/>
      <c r="P105" s="12"/>
      <c r="Q105" s="12"/>
      <c r="R105" s="12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</row>
    <row r="106" spans="2:110" x14ac:dyDescent="0.25">
      <c r="B106" s="121"/>
      <c r="C106" s="122"/>
      <c r="D106" s="122"/>
      <c r="E106" s="108">
        <f t="shared" si="183"/>
        <v>4.2499999999999991</v>
      </c>
      <c r="F106" s="118">
        <f t="shared" ref="F106" si="192">EXP(-IRate*E106)</f>
        <v>0.88029341583422116</v>
      </c>
      <c r="G106" s="36" cm="1">
        <f t="array" aca="1" ref="G106" ca="1">CubicSpline(Tenors,Spreads,E106)</f>
        <v>1.6716861033287936E-3</v>
      </c>
      <c r="H106" s="32" cm="1">
        <f t="array" aca="1" ref="H106" ca="1">IF(Method="CubicSpline",CubicSpline(Tenors,HRs,E106),FindHR(E106,Tenors,HRs,Method))</f>
        <v>0</v>
      </c>
      <c r="I106" s="36">
        <f t="shared" ca="1" si="149"/>
        <v>1</v>
      </c>
      <c r="J106" s="32">
        <f t="shared" ca="1" si="150"/>
        <v>0</v>
      </c>
      <c r="K106" s="38">
        <f t="shared" ca="1" si="151"/>
        <v>0</v>
      </c>
      <c r="L106" s="38">
        <f t="shared" ref="L106" ca="1" si="193">EXP(-G106*E106/(1-Recovery))</f>
        <v>0.98822872014972007</v>
      </c>
      <c r="M106" s="33">
        <f t="shared" ca="1" si="147"/>
        <v>1.1771279850279925E-2</v>
      </c>
      <c r="N106" s="12"/>
      <c r="O106" s="12"/>
      <c r="P106" s="12"/>
      <c r="Q106" s="12"/>
      <c r="R106" s="12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</row>
    <row r="107" spans="2:110" x14ac:dyDescent="0.25">
      <c r="B107" s="121"/>
      <c r="C107" s="122"/>
      <c r="D107" s="122"/>
      <c r="E107" s="108">
        <f t="shared" si="183"/>
        <v>4.2999999999999989</v>
      </c>
      <c r="F107" s="118">
        <f t="shared" ref="F107" si="194">EXP(-IRate*E107)</f>
        <v>0.87897396554558316</v>
      </c>
      <c r="G107" s="36" cm="1">
        <f t="array" aca="1" ref="G107" ca="1">CubicSpline(Tenors,Spreads,E107)</f>
        <v>1.7063825801507796E-3</v>
      </c>
      <c r="H107" s="32" cm="1">
        <f t="array" aca="1" ref="H107" ca="1">IF(Method="CubicSpline",CubicSpline(Tenors,HRs,E107),FindHR(E107,Tenors,HRs,Method))</f>
        <v>0</v>
      </c>
      <c r="I107" s="36">
        <f t="shared" ca="1" si="149"/>
        <v>1</v>
      </c>
      <c r="J107" s="32">
        <f t="shared" ca="1" si="150"/>
        <v>0</v>
      </c>
      <c r="K107" s="38">
        <f t="shared" ca="1" si="151"/>
        <v>0</v>
      </c>
      <c r="L107" s="38">
        <f t="shared" ref="L107" ca="1" si="195">EXP(-G107*E107/(1-Recovery))</f>
        <v>0.98784539610120459</v>
      </c>
      <c r="M107" s="33">
        <f t="shared" ca="1" si="147"/>
        <v>1.2154603898795413E-2</v>
      </c>
      <c r="N107" s="12"/>
      <c r="O107" s="12"/>
      <c r="P107" s="12"/>
      <c r="Q107" s="12"/>
      <c r="R107" s="12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</row>
    <row r="108" spans="2:110" x14ac:dyDescent="0.25">
      <c r="B108" s="121"/>
      <c r="C108" s="122"/>
      <c r="D108" s="122"/>
      <c r="E108" s="108">
        <f t="shared" si="183"/>
        <v>4.3499999999999988</v>
      </c>
      <c r="F108" s="118">
        <f t="shared" ref="F108" si="196">EXP(-IRate*E108)</f>
        <v>0.8776564929487386</v>
      </c>
      <c r="G108" s="36" cm="1">
        <f t="array" aca="1" ref="G108" ca="1">CubicSpline(Tenors,Spreads,E108)</f>
        <v>1.7411831142118716E-3</v>
      </c>
      <c r="H108" s="32" cm="1">
        <f t="array" aca="1" ref="H108" ca="1">IF(Method="CubicSpline",CubicSpline(Tenors,HRs,E108),FindHR(E108,Tenors,HRs,Method))</f>
        <v>0</v>
      </c>
      <c r="I108" s="36">
        <f t="shared" ca="1" si="149"/>
        <v>1</v>
      </c>
      <c r="J108" s="32">
        <f t="shared" ca="1" si="150"/>
        <v>0</v>
      </c>
      <c r="K108" s="38">
        <f t="shared" ca="1" si="151"/>
        <v>0</v>
      </c>
      <c r="L108" s="38">
        <f t="shared" ref="L108" ca="1" si="197">EXP(-G108*E108/(1-Recovery))</f>
        <v>0.98745576556172021</v>
      </c>
      <c r="M108" s="33">
        <f t="shared" ca="1" si="147"/>
        <v>1.2544234438279789E-2</v>
      </c>
      <c r="N108" s="12"/>
      <c r="O108" s="12"/>
      <c r="P108" s="12"/>
      <c r="Q108" s="12"/>
      <c r="R108" s="12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</row>
    <row r="109" spans="2:110" x14ac:dyDescent="0.25">
      <c r="B109" s="121"/>
      <c r="C109" s="122"/>
      <c r="D109" s="122"/>
      <c r="E109" s="108">
        <f t="shared" si="183"/>
        <v>4.3999999999999986</v>
      </c>
      <c r="F109" s="118">
        <f t="shared" ref="F109" si="198">EXP(-IRate*E109)</f>
        <v>0.87634099507937335</v>
      </c>
      <c r="G109" s="36" cm="1">
        <f t="array" aca="1" ref="G109" ca="1">CubicSpline(Tenors,Spreads,E109)</f>
        <v>1.7760810403380535E-3</v>
      </c>
      <c r="H109" s="32" cm="1">
        <f t="array" aca="1" ref="H109" ca="1">IF(Method="CubicSpline",CubicSpline(Tenors,HRs,E109),FindHR(E109,Tenors,HRs,Method))</f>
        <v>0</v>
      </c>
      <c r="I109" s="36">
        <f t="shared" ca="1" si="149"/>
        <v>1</v>
      </c>
      <c r="J109" s="32">
        <f t="shared" ca="1" si="150"/>
        <v>0</v>
      </c>
      <c r="K109" s="38">
        <f t="shared" ca="1" si="151"/>
        <v>0</v>
      </c>
      <c r="L109" s="38">
        <f t="shared" ref="L109" ca="1" si="199">EXP(-G109*E109/(1-Recovery))</f>
        <v>0.9870598586796101</v>
      </c>
      <c r="M109" s="33">
        <f t="shared" ca="1" si="147"/>
        <v>1.2940141320389897E-2</v>
      </c>
      <c r="N109" s="12"/>
      <c r="O109" s="12"/>
      <c r="P109" s="12"/>
      <c r="Q109" s="12"/>
      <c r="R109" s="12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</row>
    <row r="110" spans="2:110" x14ac:dyDescent="0.25">
      <c r="B110" s="121"/>
      <c r="C110" s="122"/>
      <c r="D110" s="122"/>
      <c r="E110" s="108">
        <f t="shared" si="183"/>
        <v>4.4499999999999984</v>
      </c>
      <c r="F110" s="118">
        <f t="shared" ref="F110" si="200">EXP(-IRate*E110)</f>
        <v>0.87502746897761674</v>
      </c>
      <c r="G110" s="36" cm="1">
        <f t="array" aca="1" ref="G110" ca="1">CubicSpline(Tenors,Spreads,E110)</f>
        <v>1.8110695184956397E-3</v>
      </c>
      <c r="H110" s="32" cm="1">
        <f t="array" aca="1" ref="H110" ca="1">IF(Method="CubicSpline",CubicSpline(Tenors,HRs,E110),FindHR(E110,Tenors,HRs,Method))</f>
        <v>0</v>
      </c>
      <c r="I110" s="36">
        <f t="shared" ca="1" si="149"/>
        <v>1</v>
      </c>
      <c r="J110" s="32">
        <f t="shared" ca="1" si="150"/>
        <v>0</v>
      </c>
      <c r="K110" s="38">
        <f t="shared" ca="1" si="151"/>
        <v>0</v>
      </c>
      <c r="L110" s="38">
        <f t="shared" ref="L110" ca="1" si="201">EXP(-G110*E110/(1-Recovery))</f>
        <v>0.98665770915858153</v>
      </c>
      <c r="M110" s="33">
        <f t="shared" ca="1" si="147"/>
        <v>1.3342290841418469E-2</v>
      </c>
      <c r="N110" s="12"/>
      <c r="O110" s="12"/>
      <c r="P110" s="12"/>
      <c r="Q110" s="12"/>
      <c r="R110" s="12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</row>
    <row r="111" spans="2:110" x14ac:dyDescent="0.25">
      <c r="B111" s="121"/>
      <c r="C111" s="122"/>
      <c r="D111" s="122"/>
      <c r="E111" s="108">
        <f t="shared" si="183"/>
        <v>4.4999999999999982</v>
      </c>
      <c r="F111" s="118">
        <f t="shared" ref="F111" si="202">EXP(-IRate*E111)</f>
        <v>0.87371591168803453</v>
      </c>
      <c r="G111" s="36" cm="1">
        <f t="array" aca="1" ref="G111" ca="1">CubicSpline(Tenors,Spreads,E111)</f>
        <v>1.8461418254105372E-3</v>
      </c>
      <c r="H111" s="32" cm="1">
        <f t="array" aca="1" ref="H111" ca="1">IF(Method="CubicSpline",CubicSpline(Tenors,HRs,E111),FindHR(E111,Tenors,HRs,Method))</f>
        <v>0</v>
      </c>
      <c r="I111" s="36">
        <f t="shared" ca="1" si="149"/>
        <v>1</v>
      </c>
      <c r="J111" s="32">
        <f t="shared" ca="1" si="150"/>
        <v>0</v>
      </c>
      <c r="K111" s="38">
        <f t="shared" ca="1" si="151"/>
        <v>0</v>
      </c>
      <c r="L111" s="38">
        <f t="shared" ref="L111" ca="1" si="203">EXP(-G111*E111/(1-Recovery))</f>
        <v>0.98624935216362908</v>
      </c>
      <c r="M111" s="33">
        <f t="shared" ca="1" si="147"/>
        <v>1.3750647836370922E-2</v>
      </c>
      <c r="N111" s="12"/>
      <c r="O111" s="12"/>
      <c r="P111" s="12"/>
      <c r="Q111" s="12"/>
      <c r="R111" s="12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</row>
    <row r="112" spans="2:110" x14ac:dyDescent="0.25">
      <c r="B112" s="121"/>
      <c r="C112" s="122"/>
      <c r="D112" s="122"/>
      <c r="E112" s="108">
        <f t="shared" si="183"/>
        <v>4.549999999999998</v>
      </c>
      <c r="F112" s="118">
        <f t="shared" ref="F112" si="204">EXP(-IRate*E112)</f>
        <v>0.87240632025962217</v>
      </c>
      <c r="G112" s="36" cm="1">
        <f t="array" aca="1" ref="G112" ca="1">CubicSpline(Tenors,Spreads,E112)</f>
        <v>1.8812912958628269E-3</v>
      </c>
      <c r="H112" s="32" cm="1">
        <f t="array" aca="1" ref="H112" ca="1">IF(Method="CubicSpline",CubicSpline(Tenors,HRs,E112),FindHR(E112,Tenors,HRs,Method))</f>
        <v>0</v>
      </c>
      <c r="I112" s="36">
        <f t="shared" ca="1" si="149"/>
        <v>1</v>
      </c>
      <c r="J112" s="32">
        <f t="shared" ca="1" si="150"/>
        <v>0</v>
      </c>
      <c r="K112" s="38">
        <f t="shared" ca="1" si="151"/>
        <v>0</v>
      </c>
      <c r="L112" s="38">
        <f t="shared" ref="L112" ca="1" si="205">EXP(-G112*E112/(1-Recovery))</f>
        <v>0.98583482470714878</v>
      </c>
      <c r="M112" s="33">
        <f t="shared" ca="1" si="147"/>
        <v>1.4165175292851218E-2</v>
      </c>
      <c r="N112" s="12"/>
      <c r="O112" s="12"/>
      <c r="P112" s="12"/>
      <c r="Q112" s="12"/>
      <c r="R112" s="12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</row>
    <row r="113" spans="2:110" x14ac:dyDescent="0.25">
      <c r="B113" s="121"/>
      <c r="C113" s="122"/>
      <c r="D113" s="122"/>
      <c r="E113" s="108">
        <f t="shared" si="183"/>
        <v>4.5999999999999979</v>
      </c>
      <c r="F113" s="118">
        <f t="shared" ref="F113" si="206">EXP(-IRate*E113)</f>
        <v>0.87109869174579846</v>
      </c>
      <c r="G113" s="36" cm="1">
        <f t="array" aca="1" ref="G113" ca="1">CubicSpline(Tenors,Spreads,E113)</f>
        <v>1.9165113226910662E-3</v>
      </c>
      <c r="H113" s="32" cm="1">
        <f t="array" aca="1" ref="H113" ca="1">IF(Method="CubicSpline",CubicSpline(Tenors,HRs,E113),FindHR(E113,Tenors,HRs,Method))</f>
        <v>0</v>
      </c>
      <c r="I113" s="36">
        <f t="shared" ca="1" si="149"/>
        <v>1</v>
      </c>
      <c r="J113" s="32">
        <f t="shared" ca="1" si="150"/>
        <v>0</v>
      </c>
      <c r="K113" s="38">
        <f t="shared" ca="1" si="151"/>
        <v>0</v>
      </c>
      <c r="L113" s="38">
        <f t="shared" ref="L113" ca="1" si="207">EXP(-G113*E113/(1-Recovery))</f>
        <v>0.98541416561931217</v>
      </c>
      <c r="M113" s="33">
        <f t="shared" ca="1" si="147"/>
        <v>1.4585834380687834E-2</v>
      </c>
      <c r="N113" s="12"/>
      <c r="O113" s="12"/>
      <c r="P113" s="12"/>
      <c r="Q113" s="12"/>
      <c r="R113" s="12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</row>
    <row r="114" spans="2:110" x14ac:dyDescent="0.25">
      <c r="B114" s="121"/>
      <c r="C114" s="122"/>
      <c r="D114" s="122"/>
      <c r="E114" s="108">
        <f t="shared" si="183"/>
        <v>4.6499999999999977</v>
      </c>
      <c r="F114" s="118">
        <f t="shared" ref="F114" si="208">EXP(-IRate*E114)</f>
        <v>0.86979302320439855</v>
      </c>
      <c r="G114" s="36" cm="1">
        <f t="array" aca="1" ref="G114" ca="1">CubicSpline(Tenors,Spreads,E114)</f>
        <v>1.9517949499031238E-3</v>
      </c>
      <c r="H114" s="32" cm="1">
        <f t="array" aca="1" ref="H114" ca="1">IF(Method="CubicSpline",CubicSpline(Tenors,HRs,E114),FindHR(E114,Tenors,HRs,Method))</f>
        <v>0</v>
      </c>
      <c r="I114" s="36">
        <f t="shared" ca="1" si="149"/>
        <v>1</v>
      </c>
      <c r="J114" s="32">
        <f t="shared" ca="1" si="150"/>
        <v>0</v>
      </c>
      <c r="K114" s="38">
        <f t="shared" ca="1" si="151"/>
        <v>0</v>
      </c>
      <c r="L114" s="38">
        <f t="shared" ref="L114" ca="1" si="209">EXP(-G114*E114/(1-Recovery))</f>
        <v>0.98498741862442596</v>
      </c>
      <c r="M114" s="33">
        <f t="shared" ca="1" si="147"/>
        <v>1.5012581375574041E-2</v>
      </c>
      <c r="N114" s="12"/>
      <c r="O114" s="12"/>
      <c r="P114" s="12"/>
      <c r="Q114" s="12"/>
      <c r="R114" s="12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</row>
    <row r="115" spans="2:110" x14ac:dyDescent="0.25">
      <c r="B115" s="121"/>
      <c r="C115" s="122"/>
      <c r="D115" s="122"/>
      <c r="E115" s="108">
        <f t="shared" si="183"/>
        <v>4.6999999999999975</v>
      </c>
      <c r="F115" s="118">
        <f t="shared" ref="F115" si="210">EXP(-IRate*E115)</f>
        <v>0.86848931169766797</v>
      </c>
      <c r="G115" s="36" cm="1">
        <f t="array" aca="1" ref="G115" ca="1">CubicSpline(Tenors,Spreads,E115)</f>
        <v>1.9871356574761964E-3</v>
      </c>
      <c r="H115" s="32" cm="1">
        <f t="array" aca="1" ref="H115" ca="1">IF(Method="CubicSpline",CubicSpline(Tenors,HRs,E115),FindHR(E115,Tenors,HRs,Method))</f>
        <v>0</v>
      </c>
      <c r="I115" s="36">
        <f t="shared" ca="1" si="149"/>
        <v>1</v>
      </c>
      <c r="J115" s="32">
        <f t="shared" ca="1" si="150"/>
        <v>0</v>
      </c>
      <c r="K115" s="38">
        <f t="shared" ca="1" si="151"/>
        <v>0</v>
      </c>
      <c r="L115" s="38">
        <f t="shared" ref="L115" ca="1" si="211">EXP(-G115*E115/(1-Recovery))</f>
        <v>0.98455462641859992</v>
      </c>
      <c r="M115" s="33">
        <f t="shared" ca="1" si="147"/>
        <v>1.5445373581400079E-2</v>
      </c>
      <c r="N115" s="12"/>
      <c r="O115" s="12"/>
      <c r="P115" s="12"/>
      <c r="Q115" s="12"/>
      <c r="R115" s="12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</row>
    <row r="116" spans="2:110" x14ac:dyDescent="0.25">
      <c r="B116" s="121"/>
      <c r="C116" s="122"/>
      <c r="D116" s="122"/>
      <c r="E116" s="108">
        <f t="shared" si="183"/>
        <v>4.7499999999999973</v>
      </c>
      <c r="F116" s="118">
        <f t="shared" ref="F116" si="212">EXP(-IRate*E116)</f>
        <v>0.86718755429225503</v>
      </c>
      <c r="G116" s="36" cm="1">
        <f t="array" aca="1" ref="G116" ca="1">CubicSpline(Tenors,Spreads,E116)</f>
        <v>2.0225265768587459E-3</v>
      </c>
      <c r="H116" s="32" cm="1">
        <f t="array" aca="1" ref="H116" ca="1">IF(Method="CubicSpline",CubicSpline(Tenors,HRs,E116),FindHR(E116,Tenors,HRs,Method))</f>
        <v>0</v>
      </c>
      <c r="I116" s="36">
        <f t="shared" ca="1" si="149"/>
        <v>1</v>
      </c>
      <c r="J116" s="32">
        <f t="shared" ca="1" si="150"/>
        <v>0</v>
      </c>
      <c r="K116" s="38">
        <f t="shared" ca="1" si="151"/>
        <v>0</v>
      </c>
      <c r="L116" s="38">
        <f t="shared" ref="L116" ca="1" si="213">EXP(-G116*E116/(1-Recovery))</f>
        <v>0.98411583660289048</v>
      </c>
      <c r="M116" s="33">
        <f t="shared" ca="1" si="147"/>
        <v>1.5884163397109519E-2</v>
      </c>
      <c r="N116" s="12"/>
      <c r="O116" s="12"/>
      <c r="P116" s="12"/>
      <c r="Q116" s="12"/>
      <c r="R116" s="12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</row>
    <row r="117" spans="2:110" x14ac:dyDescent="0.25">
      <c r="B117" s="121"/>
      <c r="C117" s="122"/>
      <c r="D117" s="122"/>
      <c r="E117" s="108">
        <f t="shared" si="183"/>
        <v>4.7999999999999972</v>
      </c>
      <c r="F117" s="118">
        <f t="shared" ref="F117" si="214">EXP(-IRate*E117)</f>
        <v>0.8658877480592051</v>
      </c>
      <c r="G117" s="36" cm="1">
        <f t="array" aca="1" ref="G117" ca="1">CubicSpline(Tenors,Spreads,E117)</f>
        <v>2.0579610716269909E-3</v>
      </c>
      <c r="H117" s="32" cm="1">
        <f t="array" aca="1" ref="H117" ca="1">IF(Method="CubicSpline",CubicSpline(Tenors,HRs,E117),FindHR(E117,Tenors,HRs,Method))</f>
        <v>0</v>
      </c>
      <c r="I117" s="36">
        <f t="shared" ca="1" si="149"/>
        <v>1</v>
      </c>
      <c r="J117" s="32">
        <f t="shared" ca="1" si="150"/>
        <v>0</v>
      </c>
      <c r="K117" s="38">
        <f t="shared" ca="1" si="151"/>
        <v>0</v>
      </c>
      <c r="L117" s="38">
        <f t="shared" ref="L117" ca="1" si="215">EXP(-G117*E117/(1-Recovery))</f>
        <v>0.98367109724340929</v>
      </c>
      <c r="M117" s="33">
        <f t="shared" ca="1" si="147"/>
        <v>1.6328902756590713E-2</v>
      </c>
      <c r="N117" s="12"/>
      <c r="O117" s="12"/>
      <c r="P117" s="12"/>
      <c r="Q117" s="12"/>
      <c r="R117" s="12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</row>
    <row r="118" spans="2:110" x14ac:dyDescent="0.25">
      <c r="B118" s="121"/>
      <c r="C118" s="122"/>
      <c r="D118" s="122"/>
      <c r="E118" s="108">
        <f t="shared" si="183"/>
        <v>4.849999999999997</v>
      </c>
      <c r="F118" s="118">
        <f t="shared" ref="F118" si="216">EXP(-IRate*E118)</f>
        <v>0.86458989007395359</v>
      </c>
      <c r="G118" s="36" cm="1">
        <f t="array" aca="1" ref="G118" ca="1">CubicSpline(Tenors,Spreads,E118)</f>
        <v>2.0934323748087766E-3</v>
      </c>
      <c r="H118" s="32" cm="1">
        <f t="array" aca="1" ref="H118" ca="1">IF(Method="CubicSpline",CubicSpline(Tenors,HRs,E118),FindHR(E118,Tenors,HRs,Method))</f>
        <v>0</v>
      </c>
      <c r="I118" s="36">
        <f t="shared" ca="1" si="149"/>
        <v>1</v>
      </c>
      <c r="J118" s="32">
        <f t="shared" ca="1" si="150"/>
        <v>0</v>
      </c>
      <c r="K118" s="38">
        <f t="shared" ca="1" si="151"/>
        <v>0</v>
      </c>
      <c r="L118" s="38">
        <f t="shared" ref="L118" ca="1" si="217">EXP(-G118*E118/(1-Recovery))</f>
        <v>0.9832204596550429</v>
      </c>
      <c r="M118" s="33">
        <f t="shared" ca="1" si="147"/>
        <v>1.67795403449571E-2</v>
      </c>
      <c r="N118" s="12"/>
      <c r="O118" s="12"/>
      <c r="P118" s="12"/>
      <c r="Q118" s="12"/>
      <c r="R118" s="12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</row>
    <row r="119" spans="2:110" x14ac:dyDescent="0.25">
      <c r="B119" s="121"/>
      <c r="C119" s="122"/>
      <c r="D119" s="122"/>
      <c r="E119" s="108">
        <f t="shared" si="183"/>
        <v>4.8999999999999968</v>
      </c>
      <c r="F119" s="118">
        <f t="shared" ref="F119" si="218">EXP(-IRate*E119)</f>
        <v>0.86329397741631952</v>
      </c>
      <c r="G119" s="36" cm="1">
        <f t="array" aca="1" ref="G119" ca="1">CubicSpline(Tenors,Spreads,E119)</f>
        <v>2.1289337776044643E-3</v>
      </c>
      <c r="H119" s="32" cm="1">
        <f t="array" aca="1" ref="H119" ca="1">IF(Method="CubicSpline",CubicSpline(Tenors,HRs,E119),FindHR(E119,Tenors,HRs,Method))</f>
        <v>0</v>
      </c>
      <c r="I119" s="36">
        <f t="shared" ca="1" si="149"/>
        <v>1</v>
      </c>
      <c r="J119" s="32">
        <f t="shared" ca="1" si="150"/>
        <v>0</v>
      </c>
      <c r="K119" s="38">
        <f t="shared" ca="1" si="151"/>
        <v>0</v>
      </c>
      <c r="L119" s="38">
        <f t="shared" ref="L119" ca="1" si="219">EXP(-G119*E119/(1-Recovery))</f>
        <v>0.98276397693014228</v>
      </c>
      <c r="M119" s="33">
        <f t="shared" ca="1" si="147"/>
        <v>1.723602306985772E-2</v>
      </c>
      <c r="N119" s="12"/>
      <c r="O119" s="12"/>
      <c r="P119" s="12"/>
      <c r="Q119" s="12"/>
      <c r="R119" s="12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</row>
    <row r="120" spans="2:110" x14ac:dyDescent="0.25">
      <c r="B120" s="121"/>
      <c r="C120" s="122"/>
      <c r="D120" s="122"/>
      <c r="E120" s="108">
        <f t="shared" si="183"/>
        <v>4.9499999999999966</v>
      </c>
      <c r="F120" s="118">
        <f t="shared" ref="F120" si="220">EXP(-IRate*E120)</f>
        <v>0.86200000717049885</v>
      </c>
      <c r="G120" s="36" cm="1">
        <f t="array" aca="1" ref="G120" ca="1">CubicSpline(Tenors,Spreads,E120)</f>
        <v>2.1644585564909924E-3</v>
      </c>
      <c r="H120" s="32" cm="1">
        <f t="array" aca="1" ref="H120" ca="1">IF(Method="CubicSpline",CubicSpline(Tenors,HRs,E120),FindHR(E120,Tenors,HRs,Method))</f>
        <v>0</v>
      </c>
      <c r="I120" s="36">
        <f t="shared" ca="1" si="149"/>
        <v>1</v>
      </c>
      <c r="J120" s="32">
        <f t="shared" ca="1" si="150"/>
        <v>0</v>
      </c>
      <c r="K120" s="38">
        <f t="shared" ca="1" si="151"/>
        <v>0</v>
      </c>
      <c r="L120" s="38">
        <f t="shared" ref="L120" ca="1" si="221">EXP(-G120*E120/(1-Recovery))</f>
        <v>0.98230170449851961</v>
      </c>
      <c r="M120" s="33">
        <f t="shared" ca="1" si="147"/>
        <v>1.7698295501480388E-2</v>
      </c>
      <c r="N120" s="12"/>
      <c r="O120" s="12"/>
      <c r="P120" s="12"/>
      <c r="Q120" s="12"/>
      <c r="R120" s="12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</row>
    <row r="121" spans="2:110" x14ac:dyDescent="0.25">
      <c r="B121" s="121"/>
      <c r="C121" s="122"/>
      <c r="D121" s="122"/>
      <c r="E121" s="108">
        <v>5</v>
      </c>
      <c r="F121" s="118">
        <f t="shared" ref="F121" si="222">EXP(-IRate*E121)</f>
        <v>0.86070797642505781</v>
      </c>
      <c r="G121" s="36" cm="1">
        <f t="array" aca="1" ref="G121" ca="1">CubicSpline(Tenors,Spreads,E121)</f>
        <v>2.199999988079071E-3</v>
      </c>
      <c r="H121" s="32" cm="1">
        <f t="array" aca="1" ref="H121" ca="1">IF(Method="CubicSpline",CubicSpline(Tenors,HRs,E121),FindHR(E121,Tenors,HRs,Method))</f>
        <v>0</v>
      </c>
      <c r="I121" s="36">
        <f t="shared" ca="1" si="149"/>
        <v>1</v>
      </c>
      <c r="J121" s="32">
        <f t="shared" ca="1" si="150"/>
        <v>0</v>
      </c>
      <c r="K121" s="38">
        <f t="shared" ca="1" si="151"/>
        <v>0</v>
      </c>
      <c r="L121" s="38">
        <f t="shared" ref="L121" ca="1" si="223">EXP(-G121*E121/(1-Recovery))</f>
        <v>0.98183370000349057</v>
      </c>
      <c r="M121" s="33">
        <f t="shared" ca="1" si="147"/>
        <v>1.8166299996509427E-2</v>
      </c>
      <c r="N121" s="12"/>
      <c r="O121" s="12"/>
      <c r="P121" s="12"/>
      <c r="Q121" s="12"/>
      <c r="R121" s="12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</row>
    <row r="122" spans="2:110" x14ac:dyDescent="0.25">
      <c r="B122" s="121"/>
      <c r="C122" s="122"/>
      <c r="D122" s="122"/>
      <c r="E122" s="108">
        <f t="shared" ref="E122:E160" si="224">E121+0.05</f>
        <v>5.05</v>
      </c>
      <c r="F122" s="118">
        <f t="shared" ref="F122" si="225">EXP(-IRate*E122)</f>
        <v>0.85941788227292693</v>
      </c>
      <c r="G122" s="36" cm="1">
        <f t="array" aca="1" ref="G122" ca="1">CubicSpline(Tenors,Spreads,E122)</f>
        <v>2.2355504905159553E-3</v>
      </c>
      <c r="H122" s="32" cm="1">
        <f t="array" aca="1" ref="H122" ca="1">IF(Method="CubicSpline",CubicSpline(Tenors,HRs,E122),FindHR(E122,Tenors,HRs,Method))</f>
        <v>0</v>
      </c>
      <c r="I122" s="36">
        <f t="shared" ca="1" si="149"/>
        <v>1</v>
      </c>
      <c r="J122" s="32">
        <f t="shared" ca="1" si="150"/>
        <v>0</v>
      </c>
      <c r="K122" s="38">
        <f t="shared" ca="1" si="151"/>
        <v>0</v>
      </c>
      <c r="L122" s="38">
        <f t="shared" ref="L122" ca="1" si="226">EXP(-G122*E122/(1-Recovery))</f>
        <v>0.98136003038532471</v>
      </c>
      <c r="M122" s="33">
        <f t="shared" ca="1" si="147"/>
        <v>1.8639969614675289E-2</v>
      </c>
      <c r="N122" s="12"/>
      <c r="O122" s="12"/>
      <c r="P122" s="12"/>
      <c r="Q122" s="12"/>
      <c r="R122" s="12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</row>
    <row r="123" spans="2:110" x14ac:dyDescent="0.25">
      <c r="B123" s="121"/>
      <c r="C123" s="122"/>
      <c r="D123" s="122"/>
      <c r="E123" s="108">
        <f t="shared" si="224"/>
        <v>5.0999999999999996</v>
      </c>
      <c r="F123" s="118">
        <f t="shared" ref="F123" si="227">EXP(-IRate*E123)</f>
        <v>0.8581297218113938</v>
      </c>
      <c r="G123" s="36" cm="1">
        <f t="array" aca="1" ref="G123" ca="1">CubicSpline(Tenors,Spreads,E123)</f>
        <v>2.2710985162288943E-3</v>
      </c>
      <c r="H123" s="32" cm="1">
        <f t="array" aca="1" ref="H123" ca="1">IF(Method="CubicSpline",CubicSpline(Tenors,HRs,E123),FindHR(E123,Tenors,HRs,Method))</f>
        <v>0</v>
      </c>
      <c r="I123" s="36">
        <f t="shared" ca="1" si="149"/>
        <v>1</v>
      </c>
      <c r="J123" s="32">
        <f t="shared" ca="1" si="150"/>
        <v>0</v>
      </c>
      <c r="K123" s="38">
        <f t="shared" ca="1" si="151"/>
        <v>0</v>
      </c>
      <c r="L123" s="38">
        <f t="shared" ref="L123" ca="1" si="228">EXP(-G123*E123/(1-Recovery))</f>
        <v>0.9808807981130131</v>
      </c>
      <c r="M123" s="33">
        <f t="shared" ca="1" si="147"/>
        <v>1.9119201886986903E-2</v>
      </c>
      <c r="N123" s="12"/>
      <c r="O123" s="12"/>
      <c r="P123" s="12"/>
      <c r="Q123" s="12"/>
      <c r="R123" s="12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</row>
    <row r="124" spans="2:110" x14ac:dyDescent="0.25">
      <c r="B124" s="121"/>
      <c r="C124" s="122"/>
      <c r="D124" s="122"/>
      <c r="E124" s="108">
        <f t="shared" si="224"/>
        <v>5.1499999999999995</v>
      </c>
      <c r="F124" s="118">
        <f t="shared" ref="F124" si="229">EXP(-IRate*E124)</f>
        <v>0.85684349214209676</v>
      </c>
      <c r="G124" s="36" cm="1">
        <f t="array" aca="1" ref="G124" ca="1">CubicSpline(Tenors,Spreads,E124)</f>
        <v>2.3066325913872871E-3</v>
      </c>
      <c r="H124" s="32" cm="1">
        <f t="array" aca="1" ref="H124" ca="1">IF(Method="CubicSpline",CubicSpline(Tenors,HRs,E124),FindHR(E124,Tenors,HRs,Method))</f>
        <v>0</v>
      </c>
      <c r="I124" s="36">
        <f t="shared" ca="1" si="149"/>
        <v>1</v>
      </c>
      <c r="J124" s="32">
        <f t="shared" ca="1" si="150"/>
        <v>0</v>
      </c>
      <c r="K124" s="38">
        <f t="shared" ca="1" si="151"/>
        <v>0</v>
      </c>
      <c r="L124" s="38">
        <f t="shared" ref="L124" ca="1" si="230">EXP(-G124*E124/(1-Recovery))</f>
        <v>0.98039610872048644</v>
      </c>
      <c r="M124" s="33">
        <f t="shared" ca="1" si="147"/>
        <v>1.9603891279513563E-2</v>
      </c>
      <c r="N124" s="12"/>
      <c r="O124" s="12"/>
      <c r="P124" s="12"/>
      <c r="Q124" s="12"/>
      <c r="R124" s="12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</row>
    <row r="125" spans="2:110" x14ac:dyDescent="0.25">
      <c r="B125" s="121"/>
      <c r="C125" s="122"/>
      <c r="D125" s="122"/>
      <c r="E125" s="108">
        <f t="shared" si="224"/>
        <v>5.1999999999999993</v>
      </c>
      <c r="F125" s="118">
        <f t="shared" ref="F125" si="231">EXP(-IRate*E125)</f>
        <v>0.85555919037101846</v>
      </c>
      <c r="G125" s="36" cm="1">
        <f t="array" aca="1" ref="G125" ca="1">CubicSpline(Tenors,Spreads,E125)</f>
        <v>2.3421396112669221E-3</v>
      </c>
      <c r="H125" s="32" cm="1">
        <f t="array" aca="1" ref="H125" ca="1">IF(Method="CubicSpline",CubicSpline(Tenors,HRs,E125),FindHR(E125,Tenors,HRs,Method))</f>
        <v>0</v>
      </c>
      <c r="I125" s="36">
        <f t="shared" ca="1" si="149"/>
        <v>1</v>
      </c>
      <c r="J125" s="32">
        <f t="shared" ca="1" si="150"/>
        <v>0</v>
      </c>
      <c r="K125" s="38">
        <f t="shared" ca="1" si="151"/>
        <v>0</v>
      </c>
      <c r="L125" s="38">
        <f t="shared" ref="L125" ca="1" si="232">EXP(-G125*E125/(1-Recovery))</f>
        <v>0.97990608523975375</v>
      </c>
      <c r="M125" s="33">
        <f t="shared" ca="1" si="147"/>
        <v>2.0093914760246245E-2</v>
      </c>
      <c r="N125" s="12"/>
      <c r="O125" s="12"/>
      <c r="P125" s="12"/>
      <c r="Q125" s="12"/>
      <c r="R125" s="12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</row>
    <row r="126" spans="2:110" x14ac:dyDescent="0.25">
      <c r="B126" s="121"/>
      <c r="C126" s="122"/>
      <c r="D126" s="122"/>
      <c r="E126" s="108">
        <f t="shared" si="224"/>
        <v>5.2499999999999991</v>
      </c>
      <c r="F126" s="118">
        <f t="shared" ref="F126" si="233">EXP(-IRate*E126)</f>
        <v>0.85427681360847951</v>
      </c>
      <c r="G126" s="36" cm="1">
        <f t="array" aca="1" ref="G126" ca="1">CubicSpline(Tenors,Spreads,E126)</f>
        <v>2.3776081019484235E-3</v>
      </c>
      <c r="H126" s="32" cm="1">
        <f t="array" aca="1" ref="H126" ca="1">IF(Method="CubicSpline",CubicSpline(Tenors,HRs,E126),FindHR(E126,Tenors,HRs,Method))</f>
        <v>0</v>
      </c>
      <c r="I126" s="36">
        <f t="shared" ca="1" si="149"/>
        <v>1</v>
      </c>
      <c r="J126" s="32">
        <f t="shared" ca="1" si="150"/>
        <v>0</v>
      </c>
      <c r="K126" s="38">
        <f t="shared" ca="1" si="151"/>
        <v>0</v>
      </c>
      <c r="L126" s="38">
        <f t="shared" ref="L126" ca="1" si="234">EXP(-G126*E126/(1-Recovery))</f>
        <v>0.97941084086413843</v>
      </c>
      <c r="M126" s="33">
        <f t="shared" ca="1" si="147"/>
        <v>2.0589159135861568E-2</v>
      </c>
      <c r="N126" s="12"/>
      <c r="O126" s="12"/>
      <c r="P126" s="12"/>
      <c r="Q126" s="12"/>
      <c r="R126" s="12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</row>
    <row r="127" spans="2:110" x14ac:dyDescent="0.25">
      <c r="B127" s="121"/>
      <c r="C127" s="122"/>
      <c r="D127" s="122"/>
      <c r="E127" s="108">
        <f t="shared" si="224"/>
        <v>5.2999999999999989</v>
      </c>
      <c r="F127" s="118">
        <f t="shared" ref="F127" si="235">EXP(-IRate*E127)</f>
        <v>0.85299635896913151</v>
      </c>
      <c r="G127" s="36" cm="1">
        <f t="array" aca="1" ref="G127" ca="1">CubicSpline(Tenors,Spreads,E127)</f>
        <v>2.4130256574701747E-3</v>
      </c>
      <c r="H127" s="32" cm="1">
        <f t="array" aca="1" ref="H127" ca="1">IF(Method="CubicSpline",CubicSpline(Tenors,HRs,E127),FindHR(E127,Tenors,HRs,Method))</f>
        <v>0</v>
      </c>
      <c r="I127" s="36">
        <f t="shared" ca="1" si="149"/>
        <v>1</v>
      </c>
      <c r="J127" s="32">
        <f t="shared" ca="1" si="150"/>
        <v>0</v>
      </c>
      <c r="K127" s="38">
        <f t="shared" ca="1" si="151"/>
        <v>0</v>
      </c>
      <c r="L127" s="38">
        <f t="shared" ref="L127" ca="1" si="236">EXP(-G127*E127/(1-Recovery))</f>
        <v>0.97891050046252714</v>
      </c>
      <c r="M127" s="33">
        <f t="shared" ca="1" si="147"/>
        <v>2.1089499537472856E-2</v>
      </c>
      <c r="N127" s="12"/>
      <c r="O127" s="12"/>
      <c r="P127" s="12"/>
      <c r="Q127" s="12"/>
      <c r="R127" s="12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</row>
    <row r="128" spans="2:110" x14ac:dyDescent="0.25">
      <c r="B128" s="121"/>
      <c r="C128" s="122"/>
      <c r="D128" s="122"/>
      <c r="E128" s="108">
        <f t="shared" si="224"/>
        <v>5.3499999999999988</v>
      </c>
      <c r="F128" s="118">
        <f t="shared" ref="F128" si="237">EXP(-IRate*E128)</f>
        <v>0.85171782357195114</v>
      </c>
      <c r="G128" s="36" cm="1">
        <f t="array" aca="1" ref="G128" ca="1">CubicSpline(Tenors,Spreads,E128)</f>
        <v>2.4483799883687376E-3</v>
      </c>
      <c r="H128" s="32" cm="1">
        <f t="array" aca="1" ref="H128" ca="1">IF(Method="CubicSpline",CubicSpline(Tenors,HRs,E128),FindHR(E128,Tenors,HRs,Method))</f>
        <v>0</v>
      </c>
      <c r="I128" s="36">
        <f t="shared" ca="1" si="149"/>
        <v>1</v>
      </c>
      <c r="J128" s="32">
        <f t="shared" ca="1" si="150"/>
        <v>0</v>
      </c>
      <c r="K128" s="38">
        <f t="shared" ca="1" si="151"/>
        <v>0</v>
      </c>
      <c r="L128" s="38">
        <f t="shared" ref="L128" ca="1" si="238">EXP(-G128*E128/(1-Recovery))</f>
        <v>0.97840519177552965</v>
      </c>
      <c r="M128" s="33">
        <f t="shared" ca="1" si="147"/>
        <v>2.1594808224470352E-2</v>
      </c>
      <c r="N128" s="12"/>
      <c r="O128" s="12"/>
      <c r="P128" s="12"/>
      <c r="Q128" s="12"/>
      <c r="R128" s="12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</row>
    <row r="129" spans="2:110" x14ac:dyDescent="0.25">
      <c r="B129" s="121"/>
      <c r="C129" s="122"/>
      <c r="D129" s="122"/>
      <c r="E129" s="108">
        <f t="shared" si="224"/>
        <v>5.3999999999999986</v>
      </c>
      <c r="F129" s="118">
        <f t="shared" ref="F129" si="239">EXP(-IRate*E129)</f>
        <v>0.85044120454023309</v>
      </c>
      <c r="G129" s="36" cm="1">
        <f t="array" aca="1" ref="G129" ca="1">CubicSpline(Tenors,Spreads,E129)</f>
        <v>2.4836591549391653E-3</v>
      </c>
      <c r="H129" s="32" cm="1">
        <f t="array" aca="1" ref="H129" ca="1">IF(Method="CubicSpline",CubicSpline(Tenors,HRs,E129),FindHR(E129,Tenors,HRs,Method))</f>
        <v>0</v>
      </c>
      <c r="I129" s="36">
        <f t="shared" ca="1" si="149"/>
        <v>1</v>
      </c>
      <c r="J129" s="32">
        <f t="shared" ca="1" si="150"/>
        <v>0</v>
      </c>
      <c r="K129" s="38">
        <f t="shared" ca="1" si="151"/>
        <v>0</v>
      </c>
      <c r="L129" s="38">
        <f t="shared" ref="L129" ca="1" si="240">EXP(-G129*E129/(1-Recovery))</f>
        <v>0.97789504330096222</v>
      </c>
      <c r="M129" s="33">
        <f t="shared" ca="1" si="147"/>
        <v>2.2104956699037781E-2</v>
      </c>
      <c r="N129" s="12"/>
      <c r="O129" s="12"/>
      <c r="P129" s="12"/>
      <c r="Q129" s="12"/>
      <c r="R129" s="12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</row>
    <row r="130" spans="2:110" x14ac:dyDescent="0.25">
      <c r="B130" s="121"/>
      <c r="C130" s="122"/>
      <c r="D130" s="122"/>
      <c r="E130" s="108">
        <f t="shared" si="224"/>
        <v>5.4499999999999984</v>
      </c>
      <c r="F130" s="118">
        <f t="shared" ref="F130" si="241">EXP(-IRate*E130)</f>
        <v>0.84916649900158392</v>
      </c>
      <c r="G130" s="36" cm="1">
        <f t="array" aca="1" ref="G130" ca="1">CubicSpline(Tenors,Spreads,E130)</f>
        <v>2.5188507511563168E-3</v>
      </c>
      <c r="H130" s="32" cm="1">
        <f t="array" aca="1" ref="H130" ca="1">IF(Method="CubicSpline",CubicSpline(Tenors,HRs,E130),FindHR(E130,Tenors,HRs,Method))</f>
        <v>0</v>
      </c>
      <c r="I130" s="36">
        <f t="shared" ca="1" si="149"/>
        <v>1</v>
      </c>
      <c r="J130" s="32">
        <f t="shared" ca="1" si="150"/>
        <v>0</v>
      </c>
      <c r="K130" s="38">
        <f t="shared" ca="1" si="151"/>
        <v>0</v>
      </c>
      <c r="L130" s="38">
        <f t="shared" ref="L130" ca="1" si="242">EXP(-G130*E130/(1-Recovery))</f>
        <v>0.97738019138780752</v>
      </c>
      <c r="M130" s="33">
        <f t="shared" ca="1" si="147"/>
        <v>2.2619808612192482E-2</v>
      </c>
      <c r="N130" s="12"/>
      <c r="O130" s="12"/>
      <c r="P130" s="12"/>
      <c r="Q130" s="12"/>
      <c r="R130" s="12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</row>
    <row r="131" spans="2:110" x14ac:dyDescent="0.25">
      <c r="B131" s="121"/>
      <c r="C131" s="122"/>
      <c r="D131" s="122"/>
      <c r="E131" s="108">
        <f t="shared" si="224"/>
        <v>5.4999999999999982</v>
      </c>
      <c r="F131" s="118">
        <f t="shared" ref="F131" si="243">EXP(-IRate*E131)</f>
        <v>0.84789370408791587</v>
      </c>
      <c r="G131" s="36" cm="1">
        <f t="array" aca="1" ref="G131" ca="1">CubicSpline(Tenors,Spreads,E131)</f>
        <v>2.5539428372383069E-3</v>
      </c>
      <c r="H131" s="32" cm="1">
        <f t="array" aca="1" ref="H131" ca="1">IF(Method="CubicSpline",CubicSpline(Tenors,HRs,E131),FindHR(E131,Tenors,HRs,Method))</f>
        <v>0</v>
      </c>
      <c r="I131" s="36">
        <f t="shared" ca="1" si="149"/>
        <v>1</v>
      </c>
      <c r="J131" s="32">
        <f t="shared" ca="1" si="150"/>
        <v>0</v>
      </c>
      <c r="K131" s="38">
        <f t="shared" ca="1" si="151"/>
        <v>0</v>
      </c>
      <c r="L131" s="38">
        <f t="shared" ref="L131" ca="1" si="244">EXP(-G131*E131/(1-Recovery))</f>
        <v>0.97686077204790511</v>
      </c>
      <c r="M131" s="33">
        <f t="shared" ca="1" si="147"/>
        <v>2.3139227952094887E-2</v>
      </c>
      <c r="N131" s="12"/>
      <c r="O131" s="12"/>
      <c r="P131" s="12"/>
      <c r="Q131" s="12"/>
      <c r="R131" s="12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</row>
    <row r="132" spans="2:110" x14ac:dyDescent="0.25">
      <c r="B132" s="121"/>
      <c r="C132" s="122"/>
      <c r="D132" s="122"/>
      <c r="E132" s="108">
        <f t="shared" si="224"/>
        <v>5.549999999999998</v>
      </c>
      <c r="F132" s="118">
        <f t="shared" ref="F132" si="245">EXP(-IRate*E132)</f>
        <v>0.84662281693543973</v>
      </c>
      <c r="G132" s="36" cm="1">
        <f t="array" aca="1" ref="G132" ca="1">CubicSpline(Tenors,Spreads,E132)</f>
        <v>2.5889231237409319E-3</v>
      </c>
      <c r="H132" s="32" cm="1">
        <f t="array" aca="1" ref="H132" ca="1">IF(Method="CubicSpline",CubicSpline(Tenors,HRs,E132),FindHR(E132,Tenors,HRs,Method))</f>
        <v>0</v>
      </c>
      <c r="I132" s="36">
        <f t="shared" ca="1" si="149"/>
        <v>1</v>
      </c>
      <c r="J132" s="32">
        <f t="shared" ca="1" si="150"/>
        <v>0</v>
      </c>
      <c r="K132" s="38">
        <f t="shared" ca="1" si="151"/>
        <v>0</v>
      </c>
      <c r="L132" s="38">
        <f t="shared" ref="L132" ca="1" si="246">EXP(-G132*E132/(1-Recovery))</f>
        <v>0.97633692812890038</v>
      </c>
      <c r="M132" s="33">
        <f t="shared" ca="1" si="147"/>
        <v>2.3663071871099617E-2</v>
      </c>
      <c r="N132" s="12"/>
      <c r="O132" s="12"/>
      <c r="P132" s="12"/>
      <c r="Q132" s="12"/>
      <c r="R132" s="12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</row>
    <row r="133" spans="2:110" x14ac:dyDescent="0.25">
      <c r="B133" s="121"/>
      <c r="C133" s="122"/>
      <c r="D133" s="122"/>
      <c r="E133" s="108">
        <f t="shared" si="224"/>
        <v>5.5999999999999979</v>
      </c>
      <c r="F133" s="118">
        <f t="shared" ref="F133" si="247">EXP(-IRate*E133)</f>
        <v>0.84535383468465874</v>
      </c>
      <c r="G133" s="36" cm="1">
        <f t="array" aca="1" ref="G133" ca="1">CubicSpline(Tenors,Spreads,E133)</f>
        <v>2.6237793212910078E-3</v>
      </c>
      <c r="H133" s="32" cm="1">
        <f t="array" aca="1" ref="H133" ca="1">IF(Method="CubicSpline",CubicSpline(Tenors,HRs,E133),FindHR(E133,Tenors,HRs,Method))</f>
        <v>0</v>
      </c>
      <c r="I133" s="36">
        <f t="shared" ca="1" si="149"/>
        <v>1</v>
      </c>
      <c r="J133" s="32">
        <f t="shared" ca="1" si="150"/>
        <v>0</v>
      </c>
      <c r="K133" s="38">
        <f t="shared" ca="1" si="151"/>
        <v>0</v>
      </c>
      <c r="L133" s="38">
        <f t="shared" ref="L133" ca="1" si="248">EXP(-G133*E133/(1-Recovery))</f>
        <v>0.97580880624605981</v>
      </c>
      <c r="M133" s="33">
        <f t="shared" ca="1" si="147"/>
        <v>2.4191193753940188E-2</v>
      </c>
      <c r="N133" s="12"/>
      <c r="O133" s="12"/>
      <c r="P133" s="12"/>
      <c r="Q133" s="12"/>
      <c r="R133" s="12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</row>
    <row r="134" spans="2:110" x14ac:dyDescent="0.25">
      <c r="B134" s="121"/>
      <c r="C134" s="122"/>
      <c r="D134" s="122"/>
      <c r="E134" s="108">
        <f t="shared" si="224"/>
        <v>5.6499999999999977</v>
      </c>
      <c r="F134" s="118">
        <f t="shared" ref="F134" si="249">EXP(-IRate*E134)</f>
        <v>0.84408675448036252</v>
      </c>
      <c r="G134" s="36" cm="1">
        <f t="array" aca="1" ref="G134" ca="1">CubicSpline(Tenors,Spreads,E134)</f>
        <v>2.658499490000119E-3</v>
      </c>
      <c r="H134" s="32" cm="1">
        <f t="array" aca="1" ref="H134" ca="1">IF(Method="CubicSpline",CubicSpline(Tenors,HRs,E134),FindHR(E134,Tenors,HRs,Method))</f>
        <v>0</v>
      </c>
      <c r="I134" s="36">
        <f t="shared" ca="1" si="149"/>
        <v>1</v>
      </c>
      <c r="J134" s="32">
        <f t="shared" ca="1" si="150"/>
        <v>0</v>
      </c>
      <c r="K134" s="38">
        <f t="shared" ca="1" si="151"/>
        <v>0</v>
      </c>
      <c r="L134" s="38">
        <f t="shared" ref="L134" ca="1" si="250">EXP(-G134*E134/(1-Recovery))</f>
        <v>0.97527655355617549</v>
      </c>
      <c r="M134" s="33">
        <f t="shared" ca="1" si="147"/>
        <v>2.4723446443824515E-2</v>
      </c>
      <c r="N134" s="12"/>
    </row>
    <row r="135" spans="2:110" x14ac:dyDescent="0.25">
      <c r="B135" s="121"/>
      <c r="C135" s="122"/>
      <c r="D135" s="122"/>
      <c r="E135" s="108">
        <f t="shared" si="224"/>
        <v>5.6999999999999975</v>
      </c>
      <c r="F135" s="118">
        <f t="shared" ref="F135" si="251">EXP(-IRate*E135)</f>
        <v>0.84282157347162001</v>
      </c>
      <c r="G135" s="36" cm="1">
        <f t="array" aca="1" ref="G135" ca="1">CubicSpline(Tenors,Spreads,E135)</f>
        <v>2.6930712240206753E-3</v>
      </c>
      <c r="H135" s="32" cm="1">
        <f t="array" aca="1" ref="H135" ca="1">IF(Method="CubicSpline",CubicSpline(Tenors,HRs,E135),FindHR(E135,Tenors,HRs,Method))</f>
        <v>0</v>
      </c>
      <c r="I135" s="36">
        <f t="shared" ca="1" si="149"/>
        <v>1</v>
      </c>
      <c r="J135" s="32">
        <f t="shared" ca="1" si="150"/>
        <v>0</v>
      </c>
      <c r="K135" s="38">
        <f t="shared" ca="1" si="151"/>
        <v>0</v>
      </c>
      <c r="L135" s="38">
        <f t="shared" ref="L135" ca="1" si="252">EXP(-G135*E135/(1-Recovery))</f>
        <v>0.97474032515834419</v>
      </c>
      <c r="M135" s="33">
        <f t="shared" ca="1" si="147"/>
        <v>2.525967484165581E-2</v>
      </c>
      <c r="N135" s="12"/>
    </row>
    <row r="136" spans="2:110" x14ac:dyDescent="0.25">
      <c r="B136" s="121"/>
      <c r="C136" s="122"/>
      <c r="D136" s="122"/>
      <c r="E136" s="108">
        <f t="shared" si="224"/>
        <v>5.7499999999999973</v>
      </c>
      <c r="F136" s="118">
        <f t="shared" ref="F136" si="253">EXP(-IRate*E136)</f>
        <v>0.8415582888117733</v>
      </c>
      <c r="G136" s="36" cm="1">
        <f t="array" aca="1" ref="G136" ca="1">CubicSpline(Tenors,Spreads,E136)</f>
        <v>2.7274825833991608E-3</v>
      </c>
      <c r="H136" s="32" cm="1">
        <f t="array" aca="1" ref="H136" ca="1">IF(Method="CubicSpline",CubicSpline(Tenors,HRs,E136),FindHR(E136,Tenors,HRs,Method))</f>
        <v>0</v>
      </c>
      <c r="I136" s="36">
        <f t="shared" ca="1" si="149"/>
        <v>1</v>
      </c>
      <c r="J136" s="32">
        <f t="shared" ca="1" si="150"/>
        <v>0</v>
      </c>
      <c r="K136" s="38">
        <f t="shared" ca="1" si="151"/>
        <v>0</v>
      </c>
      <c r="L136" s="38">
        <f t="shared" ref="L136" ca="1" si="254">EXP(-G136*E136/(1-Recovery))</f>
        <v>0.97420027555457378</v>
      </c>
      <c r="M136" s="33">
        <f t="shared" ca="1" si="147"/>
        <v>2.579972444542622E-2</v>
      </c>
      <c r="N136" s="12"/>
      <c r="O136" s="12"/>
      <c r="P136" s="12"/>
      <c r="Q136" s="12"/>
      <c r="R136" s="12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</row>
    <row r="137" spans="2:110" x14ac:dyDescent="0.25">
      <c r="B137" s="121"/>
      <c r="C137" s="122"/>
      <c r="D137" s="122"/>
      <c r="E137" s="108">
        <f t="shared" si="224"/>
        <v>5.7999999999999972</v>
      </c>
      <c r="F137" s="118">
        <f t="shared" ref="F137" si="255">EXP(-IRate*E137)</f>
        <v>0.84029689765843152</v>
      </c>
      <c r="G137" s="36" cm="1">
        <f t="array" aca="1" ref="G137" ca="1">CubicSpline(Tenors,Spreads,E137)</f>
        <v>2.7617212787786664E-3</v>
      </c>
      <c r="H137" s="32" cm="1">
        <f t="array" aca="1" ref="H137" ca="1">IF(Method="CubicSpline",CubicSpline(Tenors,HRs,E137),FindHR(E137,Tenors,HRs,Method))</f>
        <v>0</v>
      </c>
      <c r="I137" s="36">
        <f t="shared" ca="1" si="149"/>
        <v>1</v>
      </c>
      <c r="J137" s="32">
        <f t="shared" ca="1" si="150"/>
        <v>0</v>
      </c>
      <c r="K137" s="38">
        <f t="shared" ca="1" si="151"/>
        <v>0</v>
      </c>
      <c r="L137" s="38">
        <f t="shared" ref="L137" ca="1" si="256">EXP(-G137*E137/(1-Recovery))</f>
        <v>0.97365656612919882</v>
      </c>
      <c r="M137" s="33">
        <f t="shared" ca="1" si="147"/>
        <v>2.6343433870801181E-2</v>
      </c>
      <c r="N137" s="12"/>
      <c r="O137" s="12"/>
      <c r="P137" s="12"/>
      <c r="Q137" s="12"/>
      <c r="R137" s="12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</row>
    <row r="138" spans="2:110" x14ac:dyDescent="0.25">
      <c r="B138" s="121"/>
      <c r="C138" s="122"/>
      <c r="D138" s="122"/>
      <c r="E138" s="108">
        <f t="shared" si="224"/>
        <v>5.849999999999997</v>
      </c>
      <c r="F138" s="118">
        <f t="shared" ref="F138" si="257">EXP(-IRate*E138)</f>
        <v>0.83903739717346393</v>
      </c>
      <c r="G138" s="36" cm="1">
        <f t="array" aca="1" ref="G138" ca="1">CubicSpline(Tenors,Spreads,E138)</f>
        <v>2.7957750208614652E-3</v>
      </c>
      <c r="H138" s="32" cm="1">
        <f t="array" aca="1" ref="H138" ca="1">IF(Method="CubicSpline",CubicSpline(Tenors,HRs,E138),FindHR(E138,Tenors,HRs,Method))</f>
        <v>0</v>
      </c>
      <c r="I138" s="36">
        <f t="shared" ca="1" si="149"/>
        <v>1</v>
      </c>
      <c r="J138" s="32">
        <f t="shared" ca="1" si="150"/>
        <v>0</v>
      </c>
      <c r="K138" s="38">
        <f t="shared" ca="1" si="151"/>
        <v>0</v>
      </c>
      <c r="L138" s="38">
        <f t="shared" ref="L138" ca="1" si="258">EXP(-G138*E138/(1-Recovery))</f>
        <v>0.97310936194897724</v>
      </c>
      <c r="M138" s="33">
        <f t="shared" ca="1" si="147"/>
        <v>2.6890638051022764E-2</v>
      </c>
      <c r="N138" s="12"/>
      <c r="O138" s="12"/>
      <c r="P138" s="12"/>
      <c r="Q138" s="12"/>
      <c r="R138" s="12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</row>
    <row r="139" spans="2:110" x14ac:dyDescent="0.25">
      <c r="B139" s="121"/>
      <c r="C139" s="122"/>
      <c r="D139" s="122"/>
      <c r="E139" s="108">
        <f t="shared" si="224"/>
        <v>5.8999999999999968</v>
      </c>
      <c r="F139" s="118">
        <f t="shared" ref="F139" si="259">EXP(-IRate*E139)</f>
        <v>0.83777978452299395</v>
      </c>
      <c r="G139" s="36" cm="1">
        <f t="array" aca="1" ref="G139" ca="1">CubicSpline(Tenors,Spreads,E139)</f>
        <v>2.8296318696052676E-3</v>
      </c>
      <c r="H139" s="32" cm="1">
        <f t="array" aca="1" ref="H139" ca="1">IF(Method="CubicSpline",CubicSpline(Tenors,HRs,E139),FindHR(E139,Tenors,HRs,Method))</f>
        <v>0</v>
      </c>
      <c r="I139" s="36">
        <f t="shared" ca="1" si="149"/>
        <v>1</v>
      </c>
      <c r="J139" s="32">
        <f t="shared" ca="1" si="150"/>
        <v>0</v>
      </c>
      <c r="K139" s="38">
        <f t="shared" ca="1" si="151"/>
        <v>0</v>
      </c>
      <c r="L139" s="38">
        <f t="shared" ref="L139" ca="1" si="260">EXP(-G139*E139/(1-Recovery))</f>
        <v>0.97255882840644436</v>
      </c>
      <c r="M139" s="33">
        <f t="shared" ca="1" si="147"/>
        <v>2.7441171593555636E-2</v>
      </c>
      <c r="N139" s="12"/>
      <c r="O139" s="12"/>
      <c r="P139" s="12"/>
      <c r="Q139" s="12"/>
      <c r="R139" s="12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</row>
    <row r="140" spans="2:110" x14ac:dyDescent="0.25">
      <c r="B140" s="121"/>
      <c r="C140" s="122"/>
      <c r="D140" s="122"/>
      <c r="E140" s="108">
        <f t="shared" si="224"/>
        <v>5.9499999999999966</v>
      </c>
      <c r="F140" s="118">
        <f t="shared" ref="F140" si="261">EXP(-IRate*E140)</f>
        <v>0.83652405687739262</v>
      </c>
      <c r="G140" s="36" cm="1">
        <f t="array" aca="1" ref="G140" ca="1">CubicSpline(Tenors,Spreads,E140)</f>
        <v>2.8632794193104395E-3</v>
      </c>
      <c r="H140" s="32" cm="1">
        <f t="array" aca="1" ref="H140" ca="1">IF(Method="CubicSpline",CubicSpline(Tenors,HRs,E140),FindHR(E140,Tenors,HRs,Method))</f>
        <v>0</v>
      </c>
      <c r="I140" s="36">
        <f t="shared" ca="1" si="149"/>
        <v>1</v>
      </c>
      <c r="J140" s="32">
        <f t="shared" ca="1" si="150"/>
        <v>0</v>
      </c>
      <c r="K140" s="38">
        <f t="shared" ca="1" si="151"/>
        <v>0</v>
      </c>
      <c r="L140" s="38">
        <f t="shared" ref="L140" ca="1" si="262">EXP(-G140*E140/(1-Recovery))</f>
        <v>0.97200513892594176</v>
      </c>
      <c r="M140" s="33">
        <f t="shared" ca="1" si="147"/>
        <v>2.7994861074058242E-2</v>
      </c>
      <c r="N140" s="12"/>
      <c r="O140" s="12"/>
      <c r="P140" s="12"/>
      <c r="Q140" s="12"/>
      <c r="R140" s="12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</row>
    <row r="141" spans="2:110" x14ac:dyDescent="0.25">
      <c r="B141" s="121"/>
      <c r="C141" s="122"/>
      <c r="D141" s="122"/>
      <c r="E141" s="108">
        <f t="shared" si="224"/>
        <v>5.9999999999999964</v>
      </c>
      <c r="F141" s="118">
        <f t="shared" ref="F141" si="263">EXP(-IRate*E141)</f>
        <v>0.83527021141127211</v>
      </c>
      <c r="G141" s="36" cm="1">
        <f t="array" aca="1" ref="G141" ca="1">CubicSpline(Tenors,Spreads,E141)</f>
        <v>2.8967057298814264E-3</v>
      </c>
      <c r="H141" s="32" cm="1">
        <f t="array" aca="1" ref="H141" ca="1">IF(Method="CubicSpline",CubicSpline(Tenors,HRs,E141),FindHR(E141,Tenors,HRs,Method))</f>
        <v>0</v>
      </c>
      <c r="I141" s="36">
        <f t="shared" ca="1" si="149"/>
        <v>1</v>
      </c>
      <c r="J141" s="32">
        <f t="shared" ca="1" si="150"/>
        <v>0</v>
      </c>
      <c r="K141" s="38">
        <f t="shared" ca="1" si="151"/>
        <v>0</v>
      </c>
      <c r="L141" s="38">
        <f t="shared" ref="L141" ca="1" si="264">EXP(-G141*E141/(1-Recovery))</f>
        <v>0.97144846607602753</v>
      </c>
      <c r="M141" s="33">
        <f t="shared" ca="1" si="147"/>
        <v>2.8551533923972472E-2</v>
      </c>
      <c r="N141" s="12"/>
      <c r="O141" s="12"/>
      <c r="P141" s="12"/>
      <c r="Q141" s="12"/>
      <c r="R141" s="12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</row>
    <row r="142" spans="2:110" x14ac:dyDescent="0.25">
      <c r="B142" s="121"/>
      <c r="C142" s="122"/>
      <c r="D142" s="122"/>
      <c r="E142" s="108">
        <f t="shared" si="224"/>
        <v>6.0499999999999963</v>
      </c>
      <c r="F142" s="118">
        <f t="shared" ref="F142" si="265">EXP(-IRate*E142)</f>
        <v>0.83401824530347968</v>
      </c>
      <c r="G142" s="36" cm="1">
        <f t="array" aca="1" ref="G142" ca="1">CubicSpline(Tenors,Spreads,E142)</f>
        <v>2.9298983956439939E-3</v>
      </c>
      <c r="H142" s="32" cm="1">
        <f t="array" aca="1" ref="H142" ca="1">IF(Method="CubicSpline",CubicSpline(Tenors,HRs,E142),FindHR(E142,Tenors,HRs,Method))</f>
        <v>0</v>
      </c>
      <c r="I142" s="36">
        <f t="shared" ca="1" si="149"/>
        <v>1</v>
      </c>
      <c r="J142" s="32">
        <f t="shared" ca="1" si="150"/>
        <v>0</v>
      </c>
      <c r="K142" s="38">
        <f t="shared" ca="1" si="151"/>
        <v>0</v>
      </c>
      <c r="L142" s="38">
        <f t="shared" ref="L142" ca="1" si="266">EXP(-G142*E142/(1-Recovery))</f>
        <v>0.97088899049328858</v>
      </c>
      <c r="M142" s="33">
        <f t="shared" ca="1" si="147"/>
        <v>2.9111009506711416E-2</v>
      </c>
      <c r="N142" s="12"/>
      <c r="O142" s="12"/>
      <c r="P142" s="12"/>
      <c r="Q142" s="12"/>
      <c r="R142" s="12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</row>
    <row r="143" spans="2:110" x14ac:dyDescent="0.25">
      <c r="B143" s="121"/>
      <c r="C143" s="122"/>
      <c r="D143" s="122"/>
      <c r="E143" s="108">
        <f t="shared" si="224"/>
        <v>6.0999999999999961</v>
      </c>
      <c r="F143" s="118">
        <f t="shared" ref="F143" si="267">EXP(-IRate*E143)</f>
        <v>0.83276815573709106</v>
      </c>
      <c r="G143" s="36" cm="1">
        <f t="array" aca="1" ref="G143" ca="1">CubicSpline(Tenors,Spreads,E143)</f>
        <v>2.9628454765305507E-3</v>
      </c>
      <c r="H143" s="32" cm="1">
        <f t="array" aca="1" ref="H143" ca="1">IF(Method="CubicSpline",CubicSpline(Tenors,HRs,E143),FindHR(E143,Tenors,HRs,Method))</f>
        <v>0</v>
      </c>
      <c r="I143" s="36">
        <f t="shared" ca="1" si="149"/>
        <v>1</v>
      </c>
      <c r="J143" s="32">
        <f t="shared" ca="1" si="150"/>
        <v>0</v>
      </c>
      <c r="K143" s="38">
        <f t="shared" ca="1" si="151"/>
        <v>0</v>
      </c>
      <c r="L143" s="38">
        <f t="shared" ref="L143" ca="1" si="268">EXP(-G143*E143/(1-Recovery))</f>
        <v>0.9703268918550001</v>
      </c>
      <c r="M143" s="33">
        <f t="shared" ca="1" si="147"/>
        <v>2.9673108144999905E-2</v>
      </c>
      <c r="N143" s="12"/>
      <c r="O143" s="12"/>
      <c r="P143" s="12"/>
      <c r="Q143" s="12"/>
      <c r="R143" s="12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</row>
    <row r="144" spans="2:110" x14ac:dyDescent="0.25">
      <c r="B144" s="121"/>
      <c r="C144" s="122"/>
      <c r="D144" s="122"/>
      <c r="E144" s="108">
        <f t="shared" si="224"/>
        <v>6.1499999999999959</v>
      </c>
      <c r="F144" s="118">
        <f t="shared" ref="F144" si="269">EXP(-IRate*E144)</f>
        <v>0.8315199398994042</v>
      </c>
      <c r="G144" s="36" cm="1">
        <f t="array" aca="1" ref="G144" ca="1">CubicSpline(Tenors,Spreads,E144)</f>
        <v>2.99553468320505E-3</v>
      </c>
      <c r="H144" s="32" cm="1">
        <f t="array" aca="1" ref="H144" ca="1">IF(Method="CubicSpline",CubicSpline(Tenors,HRs,E144),FindHR(E144,Tenors,HRs,Method))</f>
        <v>0</v>
      </c>
      <c r="I144" s="36">
        <f t="shared" ca="1" si="149"/>
        <v>1</v>
      </c>
      <c r="J144" s="32">
        <f t="shared" ca="1" si="150"/>
        <v>0</v>
      </c>
      <c r="K144" s="38">
        <f t="shared" ca="1" si="151"/>
        <v>0</v>
      </c>
      <c r="L144" s="38">
        <f t="shared" ref="L144" ca="1" si="270">EXP(-G144*E144/(1-Recovery))</f>
        <v>0.96976235678761857</v>
      </c>
      <c r="M144" s="33">
        <f t="shared" ca="1" si="147"/>
        <v>3.0237643212381426E-2</v>
      </c>
      <c r="N144" s="12"/>
      <c r="O144" s="12"/>
      <c r="P144" s="12"/>
      <c r="Q144" s="12"/>
      <c r="R144" s="12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</row>
    <row r="145" spans="2:110" x14ac:dyDescent="0.25">
      <c r="B145" s="121"/>
      <c r="C145" s="122"/>
      <c r="D145" s="122"/>
      <c r="E145" s="108">
        <f t="shared" si="224"/>
        <v>6.1999999999999957</v>
      </c>
      <c r="F145" s="118">
        <f t="shared" ref="F145" si="271">EXP(-IRate*E145)</f>
        <v>0.83027359498193287</v>
      </c>
      <c r="G145" s="36" cm="1">
        <f t="array" aca="1" ref="G145" ca="1">CubicSpline(Tenors,Spreads,E145)</f>
        <v>3.0279537846426758E-3</v>
      </c>
      <c r="H145" s="32" cm="1">
        <f t="array" aca="1" ref="H145" ca="1">IF(Method="CubicSpline",CubicSpline(Tenors,HRs,E145),FindHR(E145,Tenors,HRs,Method))</f>
        <v>0</v>
      </c>
      <c r="I145" s="36">
        <f t="shared" ca="1" si="149"/>
        <v>1</v>
      </c>
      <c r="J145" s="32">
        <f t="shared" ca="1" si="150"/>
        <v>0</v>
      </c>
      <c r="K145" s="38">
        <f t="shared" ca="1" si="151"/>
        <v>0</v>
      </c>
      <c r="L145" s="38">
        <f t="shared" ref="L145" ca="1" si="272">EXP(-G145*E145/(1-Recovery))</f>
        <v>0.96919557489986152</v>
      </c>
      <c r="M145" s="33">
        <f t="shared" ca="1" si="147"/>
        <v>3.0804425100138477E-2</v>
      </c>
      <c r="N145" s="12"/>
      <c r="O145" s="12"/>
      <c r="P145" s="12"/>
      <c r="Q145" s="12"/>
      <c r="R145" s="12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</row>
    <row r="146" spans="2:110" x14ac:dyDescent="0.25">
      <c r="B146" s="121"/>
      <c r="C146" s="122"/>
      <c r="D146" s="122"/>
      <c r="E146" s="108">
        <f t="shared" si="224"/>
        <v>6.2499999999999956</v>
      </c>
      <c r="F146" s="118">
        <f t="shared" ref="F146" si="273">EXP(-IRate*E146)</f>
        <v>0.82902911818040048</v>
      </c>
      <c r="G146" s="36" cm="1">
        <f t="array" aca="1" ref="G146" ca="1">CubicSpline(Tenors,Spreads,E146)</f>
        <v>3.0600906661355431E-3</v>
      </c>
      <c r="H146" s="32" cm="1">
        <f t="array" aca="1" ref="H146" ca="1">IF(Method="CubicSpline",CubicSpline(Tenors,HRs,E146),FindHR(E146,Tenors,HRs,Method))</f>
        <v>0</v>
      </c>
      <c r="I146" s="36">
        <f t="shared" ca="1" si="149"/>
        <v>1</v>
      </c>
      <c r="J146" s="32">
        <f t="shared" ca="1" si="150"/>
        <v>0</v>
      </c>
      <c r="K146" s="38">
        <f t="shared" ca="1" si="151"/>
        <v>0</v>
      </c>
      <c r="L146" s="38">
        <f t="shared" ref="L146" ca="1" si="274">EXP(-G146*E146/(1-Recovery))</f>
        <v>0.96862673815951583</v>
      </c>
      <c r="M146" s="33">
        <f t="shared" ca="1" si="147"/>
        <v>3.1373261840484168E-2</v>
      </c>
      <c r="N146" s="12"/>
      <c r="O146" s="12"/>
      <c r="P146" s="12"/>
      <c r="Q146" s="12"/>
      <c r="R146" s="12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</row>
    <row r="147" spans="2:110" x14ac:dyDescent="0.25">
      <c r="B147" s="121"/>
      <c r="C147" s="122"/>
      <c r="D147" s="122"/>
      <c r="E147" s="108">
        <f t="shared" si="224"/>
        <v>6.2999999999999954</v>
      </c>
      <c r="F147" s="118">
        <f t="shared" ref="F147" si="275">EXP(-IRate*E147)</f>
        <v>0.82778650669473375</v>
      </c>
      <c r="G147" s="36" cm="1">
        <f t="array" aca="1" ref="G147" ca="1">CubicSpline(Tenors,Spreads,E147)</f>
        <v>3.0919331547990775E-3</v>
      </c>
      <c r="H147" s="32" cm="1">
        <f t="array" aca="1" ref="H147" ca="1">IF(Method="CubicSpline",CubicSpline(Tenors,HRs,E147),FindHR(E147,Tenors,HRs,Method))</f>
        <v>0</v>
      </c>
      <c r="I147" s="36">
        <f t="shared" ca="1" si="149"/>
        <v>1</v>
      </c>
      <c r="J147" s="32">
        <f t="shared" ca="1" si="150"/>
        <v>0</v>
      </c>
      <c r="K147" s="38">
        <f t="shared" ca="1" si="151"/>
        <v>0</v>
      </c>
      <c r="L147" s="38">
        <f t="shared" ref="L147" ca="1" si="276">EXP(-G147*E147/(1-Recovery))</f>
        <v>0.96805604260784228</v>
      </c>
      <c r="M147" s="33">
        <f t="shared" ca="1" si="147"/>
        <v>3.1943957392157718E-2</v>
      </c>
      <c r="N147" s="12"/>
      <c r="O147" s="12"/>
      <c r="P147" s="12"/>
      <c r="Q147" s="12"/>
      <c r="R147" s="12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</row>
    <row r="148" spans="2:110" x14ac:dyDescent="0.25">
      <c r="B148" s="121"/>
      <c r="C148" s="122"/>
      <c r="D148" s="122"/>
      <c r="E148" s="108">
        <f t="shared" si="224"/>
        <v>6.3499999999999952</v>
      </c>
      <c r="F148" s="118">
        <f t="shared" ref="F148" si="277">EXP(-IRate*E148)</f>
        <v>0.82654575772905636</v>
      </c>
      <c r="G148" s="36" cm="1">
        <f t="array" aca="1" ref="G148" ca="1">CubicSpline(Tenors,Spreads,E148)</f>
        <v>3.1234690777487049E-3</v>
      </c>
      <c r="H148" s="32" cm="1">
        <f t="array" aca="1" ref="H148" ca="1">IF(Method="CubicSpline",CubicSpline(Tenors,HRs,E148),FindHR(E148,Tenors,HRs,Method))</f>
        <v>0</v>
      </c>
      <c r="I148" s="36">
        <f t="shared" ca="1" si="149"/>
        <v>1</v>
      </c>
      <c r="J148" s="32">
        <f t="shared" ca="1" si="150"/>
        <v>0</v>
      </c>
      <c r="K148" s="38">
        <f t="shared" ca="1" si="151"/>
        <v>0</v>
      </c>
      <c r="L148" s="38">
        <f t="shared" ref="L148" ca="1" si="278">EXP(-G148*E148/(1-Recovery))</f>
        <v>0.96748368777020066</v>
      </c>
      <c r="M148" s="33">
        <f t="shared" ca="1" si="147"/>
        <v>3.2516312229799338E-2</v>
      </c>
      <c r="N148" s="12"/>
      <c r="O148" s="12"/>
      <c r="P148" s="12"/>
      <c r="Q148" s="12"/>
      <c r="R148" s="12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</row>
    <row r="149" spans="2:110" x14ac:dyDescent="0.25">
      <c r="B149" s="121"/>
      <c r="C149" s="122"/>
      <c r="D149" s="122"/>
      <c r="E149" s="108">
        <f t="shared" si="224"/>
        <v>6.399999999999995</v>
      </c>
      <c r="F149" s="118">
        <f t="shared" ref="F149" si="279">EXP(-IRate*E149)</f>
        <v>0.82530686849168255</v>
      </c>
      <c r="G149" s="36" cm="1">
        <f t="array" aca="1" ref="G149" ca="1">CubicSpline(Tenors,Spreads,E149)</f>
        <v>3.1546863202499076E-3</v>
      </c>
      <c r="H149" s="32" cm="1">
        <f t="array" aca="1" ref="H149" ca="1">IF(Method="CubicSpline",CubicSpline(Tenors,HRs,E149),FindHR(E149,Tenors,HRs,Method))</f>
        <v>0</v>
      </c>
      <c r="I149" s="36">
        <f t="shared" ca="1" si="149"/>
        <v>1</v>
      </c>
      <c r="J149" s="32">
        <f t="shared" ca="1" si="150"/>
        <v>0</v>
      </c>
      <c r="K149" s="38">
        <f t="shared" ca="1" si="151"/>
        <v>0</v>
      </c>
      <c r="L149" s="38">
        <f t="shared" ref="L149" ca="1" si="280">EXP(-G149*E149/(1-Recovery))</f>
        <v>0.96690987604113676</v>
      </c>
      <c r="M149" s="33">
        <f t="shared" ref="M149:M212" ca="1" si="281">1-L149</f>
        <v>3.3090123958863238E-2</v>
      </c>
      <c r="N149" s="12"/>
      <c r="O149" s="12"/>
      <c r="P149" s="12"/>
      <c r="Q149" s="12"/>
      <c r="R149" s="12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</row>
    <row r="150" spans="2:110" x14ac:dyDescent="0.25">
      <c r="B150" s="121"/>
      <c r="C150" s="122"/>
      <c r="D150" s="122"/>
      <c r="E150" s="108">
        <f t="shared" si="224"/>
        <v>6.4499999999999948</v>
      </c>
      <c r="F150" s="118">
        <f t="shared" ref="F150" si="282">EXP(-IRate*E150)</f>
        <v>0.82406983619511098</v>
      </c>
      <c r="G150" s="36" cm="1">
        <f t="array" aca="1" ref="G150" ca="1">CubicSpline(Tenors,Spreads,E150)</f>
        <v>3.1855725931145963E-3</v>
      </c>
      <c r="H150" s="32" cm="1">
        <f t="array" aca="1" ref="H150" ca="1">IF(Method="CubicSpline",CubicSpline(Tenors,HRs,E150),FindHR(E150,Tenors,HRs,Method))</f>
        <v>0</v>
      </c>
      <c r="I150" s="36">
        <f t="shared" ref="I150:I213" ca="1" si="283">EXP(-H150*(E150-E149))*I149</f>
        <v>1</v>
      </c>
      <c r="J150" s="32">
        <f t="shared" ref="J150:J213" ca="1" si="284">1-I150</f>
        <v>0</v>
      </c>
      <c r="K150" s="38">
        <f t="shared" ref="K150:K213" ca="1" si="285">I149-I150</f>
        <v>0</v>
      </c>
      <c r="L150" s="38">
        <f t="shared" ref="L150" ca="1" si="286">EXP(-G150*E150/(1-Recovery))</f>
        <v>0.96633481506420749</v>
      </c>
      <c r="M150" s="33">
        <f t="shared" ca="1" si="281"/>
        <v>3.3665184935792514E-2</v>
      </c>
      <c r="N150" s="12"/>
      <c r="O150" s="12"/>
      <c r="P150" s="12"/>
      <c r="Q150" s="12"/>
      <c r="R150" s="12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</row>
    <row r="151" spans="2:110" x14ac:dyDescent="0.25">
      <c r="B151" s="121"/>
      <c r="C151" s="122"/>
      <c r="D151" s="122"/>
      <c r="E151" s="108">
        <f t="shared" si="224"/>
        <v>6.4999999999999947</v>
      </c>
      <c r="F151" s="118">
        <f t="shared" ref="F151" si="287">EXP(-IRate*E151)</f>
        <v>0.82283465805601852</v>
      </c>
      <c r="G151" s="36" cm="1">
        <f t="array" aca="1" ref="G151" ca="1">CubicSpline(Tenors,Spreads,E151)</f>
        <v>3.2161157816119521E-3</v>
      </c>
      <c r="H151" s="32" cm="1">
        <f t="array" aca="1" ref="H151" ca="1">IF(Method="CubicSpline",CubicSpline(Tenors,HRs,E151),FindHR(E151,Tenors,HRs,Method))</f>
        <v>0</v>
      </c>
      <c r="I151" s="36">
        <f t="shared" ca="1" si="283"/>
        <v>1</v>
      </c>
      <c r="J151" s="32">
        <f t="shared" ca="1" si="284"/>
        <v>0</v>
      </c>
      <c r="K151" s="38">
        <f t="shared" ca="1" si="285"/>
        <v>0</v>
      </c>
      <c r="L151" s="38">
        <f t="shared" ref="L151" ca="1" si="288">EXP(-G151*E151/(1-Recovery))</f>
        <v>0.96575871413189252</v>
      </c>
      <c r="M151" s="33">
        <f t="shared" ca="1" si="281"/>
        <v>3.4241285868107485E-2</v>
      </c>
      <c r="N151" s="12"/>
      <c r="O151" s="12"/>
      <c r="P151" s="12"/>
      <c r="Q151" s="12"/>
      <c r="R151" s="12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</row>
    <row r="152" spans="2:110" x14ac:dyDescent="0.25">
      <c r="B152" s="121"/>
      <c r="C152" s="122"/>
      <c r="D152" s="122"/>
      <c r="E152" s="108">
        <f t="shared" si="224"/>
        <v>6.5499999999999945</v>
      </c>
      <c r="F152" s="118">
        <f t="shared" ref="F152" si="289">EXP(-IRate*E152)</f>
        <v>0.82160133129525381</v>
      </c>
      <c r="G152" s="36" cm="1">
        <f t="array" aca="1" ref="G152" ca="1">CubicSpline(Tenors,Spreads,E152)</f>
        <v>3.246303712857401E-3</v>
      </c>
      <c r="H152" s="32" cm="1">
        <f t="array" aca="1" ref="H152" ca="1">IF(Method="CubicSpline",CubicSpline(Tenors,HRs,E152),FindHR(E152,Tenors,HRs,Method))</f>
        <v>0</v>
      </c>
      <c r="I152" s="36">
        <f t="shared" ca="1" si="283"/>
        <v>1</v>
      </c>
      <c r="J152" s="32">
        <f t="shared" ca="1" si="284"/>
        <v>0</v>
      </c>
      <c r="K152" s="38">
        <f t="shared" ca="1" si="285"/>
        <v>0</v>
      </c>
      <c r="L152" s="38">
        <f t="shared" ref="L152" ca="1" si="290">EXP(-G152*E152/(1-Recovery))</f>
        <v>0.96518178655754761</v>
      </c>
      <c r="M152" s="33">
        <f t="shared" ca="1" si="281"/>
        <v>3.4818213442452395E-2</v>
      </c>
      <c r="N152" s="12"/>
      <c r="O152" s="12"/>
      <c r="P152" s="12"/>
      <c r="Q152" s="12"/>
      <c r="R152" s="12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</row>
    <row r="153" spans="2:110" x14ac:dyDescent="0.25">
      <c r="B153" s="121"/>
      <c r="C153" s="122"/>
      <c r="D153" s="122"/>
      <c r="E153" s="108">
        <f t="shared" si="224"/>
        <v>6.5999999999999943</v>
      </c>
      <c r="F153" s="118">
        <f t="shared" ref="F153" si="291">EXP(-IRate*E153)</f>
        <v>0.82036985313783117</v>
      </c>
      <c r="G153" s="36" cm="1">
        <f t="array" aca="1" ref="G153" ca="1">CubicSpline(Tenors,Spreads,E153)</f>
        <v>3.2761242430354781E-3</v>
      </c>
      <c r="H153" s="32" cm="1">
        <f t="array" aca="1" ref="H153" ca="1">IF(Method="CubicSpline",CubicSpline(Tenors,HRs,E153),FindHR(E153,Tenors,HRs,Method))</f>
        <v>0</v>
      </c>
      <c r="I153" s="36">
        <f t="shared" ca="1" si="283"/>
        <v>1</v>
      </c>
      <c r="J153" s="32">
        <f t="shared" ca="1" si="284"/>
        <v>0</v>
      </c>
      <c r="K153" s="38">
        <f t="shared" ca="1" si="285"/>
        <v>0</v>
      </c>
      <c r="L153" s="38">
        <f t="shared" ref="L153" ca="1" si="292">EXP(-G153*E153/(1-Recovery))</f>
        <v>0.96460424875777728</v>
      </c>
      <c r="M153" s="33">
        <f t="shared" ca="1" si="281"/>
        <v>3.5395751242222717E-2</v>
      </c>
      <c r="N153" s="12"/>
      <c r="O153" s="12"/>
      <c r="P153" s="12"/>
      <c r="Q153" s="12"/>
      <c r="R153" s="12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</row>
    <row r="154" spans="2:110" x14ac:dyDescent="0.25">
      <c r="B154" s="121"/>
      <c r="C154" s="122"/>
      <c r="D154" s="122"/>
      <c r="E154" s="108">
        <f t="shared" si="224"/>
        <v>6.6499999999999941</v>
      </c>
      <c r="F154" s="118">
        <f t="shared" ref="F154" si="293">EXP(-IRate*E154)</f>
        <v>0.81914022081292415</v>
      </c>
      <c r="G154" s="36" cm="1">
        <f t="array" aca="1" ref="G154" ca="1">CubicSpline(Tenors,Spreads,E154)</f>
        <v>3.3055651411222809E-3</v>
      </c>
      <c r="H154" s="32" cm="1">
        <f t="array" aca="1" ref="H154" ca="1">IF(Method="CubicSpline",CubicSpline(Tenors,HRs,E154),FindHR(E154,Tenors,HRs,Method))</f>
        <v>0</v>
      </c>
      <c r="I154" s="36">
        <f t="shared" ca="1" si="283"/>
        <v>1</v>
      </c>
      <c r="J154" s="32">
        <f t="shared" ca="1" si="284"/>
        <v>0</v>
      </c>
      <c r="K154" s="38">
        <f t="shared" ca="1" si="285"/>
        <v>0</v>
      </c>
      <c r="L154" s="38">
        <f t="shared" ref="L154" ca="1" si="294">EXP(-G154*E154/(1-Recovery))</f>
        <v>0.96402632147075651</v>
      </c>
      <c r="M154" s="33">
        <f t="shared" ca="1" si="281"/>
        <v>3.5973678529243491E-2</v>
      </c>
      <c r="N154" s="12"/>
      <c r="O154" s="12"/>
      <c r="P154" s="12"/>
      <c r="Q154" s="12"/>
      <c r="R154" s="12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</row>
    <row r="155" spans="2:110" x14ac:dyDescent="0.25">
      <c r="B155" s="121"/>
      <c r="C155" s="122"/>
      <c r="D155" s="122"/>
      <c r="E155" s="108">
        <f t="shared" si="224"/>
        <v>6.699999999999994</v>
      </c>
      <c r="F155" s="118">
        <f t="shared" ref="F155" si="295">EXP(-IRate*E155)</f>
        <v>0.81791243155385951</v>
      </c>
      <c r="G155" s="36" cm="1">
        <f t="array" aca="1" ref="G155" ca="1">CubicSpline(Tenors,Spreads,E155)</f>
        <v>3.3346142923706408E-3</v>
      </c>
      <c r="H155" s="32" cm="1">
        <f t="array" aca="1" ref="H155" ca="1">IF(Method="CubicSpline",CubicSpline(Tenors,HRs,E155),FindHR(E155,Tenors,HRs,Method))</f>
        <v>0</v>
      </c>
      <c r="I155" s="36">
        <f t="shared" ca="1" si="283"/>
        <v>1</v>
      </c>
      <c r="J155" s="32">
        <f t="shared" ca="1" si="284"/>
        <v>0</v>
      </c>
      <c r="K155" s="38">
        <f t="shared" ca="1" si="285"/>
        <v>0</v>
      </c>
      <c r="L155" s="38">
        <f t="shared" ref="L155" ca="1" si="296">EXP(-G155*E155/(1-Recovery))</f>
        <v>0.96344822758642557</v>
      </c>
      <c r="M155" s="33">
        <f t="shared" ca="1" si="281"/>
        <v>3.6551772413574435E-2</v>
      </c>
      <c r="N155" s="12"/>
      <c r="O155" s="12"/>
      <c r="P155" s="12"/>
      <c r="Q155" s="12"/>
      <c r="R155" s="12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</row>
    <row r="156" spans="2:110" x14ac:dyDescent="0.25">
      <c r="B156" s="121"/>
      <c r="C156" s="122"/>
      <c r="D156" s="122"/>
      <c r="E156" s="108">
        <f t="shared" si="224"/>
        <v>6.7499999999999938</v>
      </c>
      <c r="F156" s="118">
        <f t="shared" ref="F156" si="297">EXP(-IRate*E156)</f>
        <v>0.81668648259811094</v>
      </c>
      <c r="G156" s="36" cm="1">
        <f t="array" aca="1" ref="G156" ca="1">CubicSpline(Tenors,Spreads,E156)</f>
        <v>3.3632594657610933E-3</v>
      </c>
      <c r="H156" s="32" cm="1">
        <f t="array" aca="1" ref="H156" ca="1">IF(Method="CubicSpline",CubicSpline(Tenors,HRs,E156),FindHR(E156,Tenors,HRs,Method))</f>
        <v>0</v>
      </c>
      <c r="I156" s="36">
        <f t="shared" ca="1" si="283"/>
        <v>1</v>
      </c>
      <c r="J156" s="32">
        <f t="shared" ca="1" si="284"/>
        <v>0</v>
      </c>
      <c r="K156" s="38">
        <f t="shared" ca="1" si="285"/>
        <v>0</v>
      </c>
      <c r="L156" s="38">
        <f t="shared" ref="L156" ca="1" si="298">EXP(-G156*E156/(1-Recovery))</f>
        <v>0.96287019461021084</v>
      </c>
      <c r="M156" s="33">
        <f t="shared" ca="1" si="281"/>
        <v>3.7129805389789161E-2</v>
      </c>
      <c r="N156" s="12"/>
      <c r="O156" s="12"/>
      <c r="P156" s="12"/>
      <c r="Q156" s="12"/>
      <c r="R156" s="12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</row>
    <row r="157" spans="2:110" x14ac:dyDescent="0.25">
      <c r="B157" s="121"/>
      <c r="C157" s="122"/>
      <c r="D157" s="122"/>
      <c r="E157" s="108">
        <f t="shared" si="224"/>
        <v>6.7999999999999936</v>
      </c>
      <c r="F157" s="118">
        <f t="shared" ref="F157" si="299">EXP(-IRate*E157)</f>
        <v>0.81546237118729281</v>
      </c>
      <c r="G157" s="36" cm="1">
        <f t="array" aca="1" ref="G157" ca="1">CubicSpline(Tenors,Spreads,E157)</f>
        <v>3.391488532009844E-3</v>
      </c>
      <c r="H157" s="32" cm="1">
        <f t="array" aca="1" ref="H157" ca="1">IF(Method="CubicSpline",CubicSpline(Tenors,HRs,E157),FindHR(E157,Tenors,HRs,Method))</f>
        <v>0</v>
      </c>
      <c r="I157" s="36">
        <f t="shared" ca="1" si="283"/>
        <v>1</v>
      </c>
      <c r="J157" s="32">
        <f t="shared" ca="1" si="284"/>
        <v>0</v>
      </c>
      <c r="K157" s="38">
        <f t="shared" ca="1" si="285"/>
        <v>0</v>
      </c>
      <c r="L157" s="38">
        <f t="shared" ref="L157" ca="1" si="300">EXP(-G157*E157/(1-Recovery))</f>
        <v>0.96229245231648119</v>
      </c>
      <c r="M157" s="33">
        <f t="shared" ca="1" si="281"/>
        <v>3.7707547683518805E-2</v>
      </c>
      <c r="N157" s="12"/>
      <c r="O157" s="12"/>
      <c r="P157" s="12"/>
      <c r="Q157" s="12"/>
      <c r="R157" s="12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</row>
    <row r="158" spans="2:110" x14ac:dyDescent="0.25">
      <c r="B158" s="121"/>
      <c r="C158" s="122"/>
      <c r="D158" s="122"/>
      <c r="E158" s="108">
        <f t="shared" si="224"/>
        <v>6.8499999999999934</v>
      </c>
      <c r="F158" s="118">
        <f t="shared" ref="F158" si="301">EXP(-IRate*E158)</f>
        <v>0.81424009456715385</v>
      </c>
      <c r="G158" s="36" cm="1">
        <f t="array" aca="1" ref="G158" ca="1">CubicSpline(Tenors,Spreads,E158)</f>
        <v>3.4192893036990215E-3</v>
      </c>
      <c r="H158" s="32" cm="1">
        <f t="array" aca="1" ref="H158" ca="1">IF(Method="CubicSpline",CubicSpline(Tenors,HRs,E158),FindHR(E158,Tenors,HRs,Method))</f>
        <v>0</v>
      </c>
      <c r="I158" s="36">
        <f t="shared" ca="1" si="283"/>
        <v>1</v>
      </c>
      <c r="J158" s="32">
        <f t="shared" ca="1" si="284"/>
        <v>0</v>
      </c>
      <c r="K158" s="38">
        <f t="shared" ca="1" si="285"/>
        <v>0</v>
      </c>
      <c r="L158" s="38">
        <f t="shared" ref="L158" ca="1" si="302">EXP(-G158*E158/(1-Recovery))</f>
        <v>0.96171523445505525</v>
      </c>
      <c r="M158" s="33">
        <f t="shared" ca="1" si="281"/>
        <v>3.8284765544944754E-2</v>
      </c>
      <c r="N158" s="12"/>
      <c r="O158" s="12"/>
      <c r="P158" s="12"/>
      <c r="Q158" s="12"/>
      <c r="R158" s="12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</row>
    <row r="159" spans="2:110" x14ac:dyDescent="0.25">
      <c r="B159" s="121"/>
      <c r="C159" s="122"/>
      <c r="D159" s="122"/>
      <c r="E159" s="108">
        <f t="shared" si="224"/>
        <v>6.8999999999999932</v>
      </c>
      <c r="F159" s="118">
        <f t="shared" ref="F159" si="303">EXP(-IRate*E159)</f>
        <v>0.81301964998757115</v>
      </c>
      <c r="G159" s="36" cm="1">
        <f t="array" aca="1" ref="G159" ca="1">CubicSpline(Tenors,Spreads,E159)</f>
        <v>3.4466496006781062E-3</v>
      </c>
      <c r="H159" s="32" cm="1">
        <f t="array" aca="1" ref="H159" ca="1">IF(Method="CubicSpline",CubicSpline(Tenors,HRs,E159),FindHR(E159,Tenors,HRs,Method))</f>
        <v>0</v>
      </c>
      <c r="I159" s="36">
        <f t="shared" ca="1" si="283"/>
        <v>1</v>
      </c>
      <c r="J159" s="32">
        <f t="shared" ca="1" si="284"/>
        <v>0</v>
      </c>
      <c r="K159" s="38">
        <f t="shared" ca="1" si="285"/>
        <v>0</v>
      </c>
      <c r="L159" s="38">
        <f t="shared" ref="L159" ca="1" si="304">EXP(-G159*E159/(1-Recovery))</f>
        <v>0.96113877803899439</v>
      </c>
      <c r="M159" s="33">
        <f t="shared" ca="1" si="281"/>
        <v>3.886122196100561E-2</v>
      </c>
      <c r="N159" s="12"/>
      <c r="O159" s="12"/>
      <c r="P159" s="12"/>
      <c r="Q159" s="12"/>
      <c r="R159" s="12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</row>
    <row r="160" spans="2:110" x14ac:dyDescent="0.25">
      <c r="B160" s="121"/>
      <c r="C160" s="122"/>
      <c r="D160" s="122"/>
      <c r="E160" s="108">
        <f t="shared" si="224"/>
        <v>6.9499999999999931</v>
      </c>
      <c r="F160" s="118">
        <f t="shared" ref="F160" si="305">EXP(-IRate*E160)</f>
        <v>0.81180103470254394</v>
      </c>
      <c r="G160" s="36" cm="1">
        <f t="array" aca="1" ref="G160" ca="1">CubicSpline(Tenors,Spreads,E160)</f>
        <v>3.4735572609620805E-3</v>
      </c>
      <c r="H160" s="32" cm="1">
        <f t="array" aca="1" ref="H160" ca="1">IF(Method="CubicSpline",CubicSpline(Tenors,HRs,E160),FindHR(E160,Tenors,HRs,Method))</f>
        <v>0</v>
      </c>
      <c r="I160" s="36">
        <f t="shared" ca="1" si="283"/>
        <v>1</v>
      </c>
      <c r="J160" s="32">
        <f t="shared" ca="1" si="284"/>
        <v>0</v>
      </c>
      <c r="K160" s="38">
        <f t="shared" ca="1" si="285"/>
        <v>0</v>
      </c>
      <c r="L160" s="38">
        <f t="shared" ref="L160" ca="1" si="306">EXP(-G160*E160/(1-Recovery))</f>
        <v>0.96056332321054372</v>
      </c>
      <c r="M160" s="33">
        <f t="shared" ca="1" si="281"/>
        <v>3.9436676789456282E-2</v>
      </c>
      <c r="N160" s="12"/>
      <c r="O160" s="12"/>
      <c r="P160" s="12"/>
      <c r="Q160" s="12"/>
      <c r="R160" s="12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</row>
    <row r="161" spans="2:110" x14ac:dyDescent="0.25">
      <c r="B161" s="121"/>
      <c r="C161" s="122"/>
      <c r="D161" s="122"/>
      <c r="E161" s="108">
        <v>7</v>
      </c>
      <c r="F161" s="118">
        <f t="shared" ref="F161" si="307">EXP(-IRate*E161)</f>
        <v>0.81058424597018708</v>
      </c>
      <c r="G161" s="36" cm="1">
        <f t="array" aca="1" ref="G161" ca="1">CubicSpline(Tenors,Spreads,E161)</f>
        <v>3.5000001080334187E-3</v>
      </c>
      <c r="H161" s="32" cm="1">
        <f t="array" aca="1" ref="H161" ca="1">IF(Method="CubicSpline",CubicSpline(Tenors,HRs,E161),FindHR(E161,Tenors,HRs,Method))</f>
        <v>0</v>
      </c>
      <c r="I161" s="36">
        <f t="shared" ca="1" si="283"/>
        <v>1</v>
      </c>
      <c r="J161" s="32">
        <f t="shared" ca="1" si="284"/>
        <v>0</v>
      </c>
      <c r="K161" s="38">
        <f t="shared" ca="1" si="285"/>
        <v>0</v>
      </c>
      <c r="L161" s="38">
        <f t="shared" ref="L161" ca="1" si="308">EXP(-G161*E161/(1-Recovery))</f>
        <v>0.9599891135911971</v>
      </c>
      <c r="M161" s="33">
        <f t="shared" ca="1" si="281"/>
        <v>4.0010886408802904E-2</v>
      </c>
      <c r="N161" s="12"/>
      <c r="O161" s="12"/>
      <c r="P161" s="12"/>
      <c r="Q161" s="12"/>
      <c r="R161" s="12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</row>
    <row r="162" spans="2:110" x14ac:dyDescent="0.25">
      <c r="B162" s="121"/>
      <c r="C162" s="122"/>
      <c r="D162" s="122"/>
      <c r="E162" s="108">
        <f t="shared" ref="E162:E221" si="309">E161+0.05</f>
        <v>7.05</v>
      </c>
      <c r="F162" s="118">
        <f t="shared" ref="F162" si="310">EXP(-IRate*E162)</f>
        <v>0.80936928105272588</v>
      </c>
      <c r="G162" s="36" cm="1">
        <f t="array" aca="1" ref="G162" ca="1">CubicSpline(Tenors,Spreads,E162)</f>
        <v>3.5259692605510663E-3</v>
      </c>
      <c r="H162" s="32" cm="1">
        <f t="array" aca="1" ref="H162" ca="1">IF(Method="CubicSpline",CubicSpline(Tenors,HRs,E162),FindHR(E162,Tenors,HRs,Method))</f>
        <v>0</v>
      </c>
      <c r="I162" s="36">
        <f t="shared" ca="1" si="283"/>
        <v>1</v>
      </c>
      <c r="J162" s="32">
        <f t="shared" ca="1" si="284"/>
        <v>0</v>
      </c>
      <c r="K162" s="38">
        <f t="shared" ca="1" si="285"/>
        <v>0</v>
      </c>
      <c r="L162" s="38">
        <f t="shared" ref="L162" ca="1" si="311">EXP(-G162*E162/(1-Recovery))</f>
        <v>0.95941635896739774</v>
      </c>
      <c r="M162" s="33">
        <f t="shared" ca="1" si="281"/>
        <v>4.0583641032602258E-2</v>
      </c>
      <c r="N162" s="12"/>
      <c r="O162" s="12"/>
      <c r="P162" s="12"/>
      <c r="Q162" s="12"/>
      <c r="R162" s="12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</row>
    <row r="163" spans="2:110" x14ac:dyDescent="0.25">
      <c r="B163" s="121"/>
      <c r="C163" s="122"/>
      <c r="D163" s="122"/>
      <c r="E163" s="108">
        <f t="shared" si="309"/>
        <v>7.1</v>
      </c>
      <c r="F163" s="118">
        <f t="shared" ref="F163" si="312">EXP(-IRate*E163)</f>
        <v>0.80815613721648838</v>
      </c>
      <c r="G163" s="36" cm="1">
        <f t="array" aca="1" ref="G163" ca="1">CubicSpline(Tenors,Spreads,E163)</f>
        <v>3.551469408388872E-3</v>
      </c>
      <c r="H163" s="32" cm="1">
        <f t="array" aca="1" ref="H163" ca="1">IF(Method="CubicSpline",CubicSpline(Tenors,HRs,E163),FindHR(E163,Tenors,HRs,Method))</f>
        <v>0</v>
      </c>
      <c r="I163" s="36">
        <f t="shared" ca="1" si="283"/>
        <v>1</v>
      </c>
      <c r="J163" s="32">
        <f t="shared" ca="1" si="284"/>
        <v>0</v>
      </c>
      <c r="K163" s="38">
        <f t="shared" ca="1" si="285"/>
        <v>0</v>
      </c>
      <c r="L163" s="38">
        <f t="shared" ref="L163" ca="1" si="313">EXP(-G163*E163/(1-Recovery))</f>
        <v>0.95884511748112189</v>
      </c>
      <c r="M163" s="33">
        <f t="shared" ca="1" si="281"/>
        <v>4.1154882518878111E-2</v>
      </c>
      <c r="N163" s="12"/>
      <c r="O163" s="12"/>
      <c r="P163" s="12"/>
      <c r="Q163" s="12"/>
      <c r="R163" s="12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</row>
    <row r="164" spans="2:110" x14ac:dyDescent="0.25">
      <c r="B164" s="121"/>
      <c r="C164" s="122"/>
      <c r="D164" s="122"/>
      <c r="E164" s="108">
        <f t="shared" si="309"/>
        <v>7.1499999999999995</v>
      </c>
      <c r="F164" s="118">
        <f t="shared" ref="F164" si="314">EXP(-IRate*E164)</f>
        <v>0.80694481173190058</v>
      </c>
      <c r="G164" s="36" cm="1">
        <f t="array" aca="1" ref="G164" ca="1">CubicSpline(Tenors,Spreads,E164)</f>
        <v>3.576508670964471E-3</v>
      </c>
      <c r="H164" s="32" cm="1">
        <f t="array" aca="1" ref="H164" ca="1">IF(Method="CubicSpline",CubicSpline(Tenors,HRs,E164),FindHR(E164,Tenors,HRs,Method))</f>
        <v>0</v>
      </c>
      <c r="I164" s="36">
        <f t="shared" ca="1" si="283"/>
        <v>1</v>
      </c>
      <c r="J164" s="32">
        <f t="shared" ca="1" si="284"/>
        <v>0</v>
      </c>
      <c r="K164" s="38">
        <f t="shared" ca="1" si="285"/>
        <v>0</v>
      </c>
      <c r="L164" s="38">
        <f t="shared" ref="L164" ca="1" si="315">EXP(-G164*E164/(1-Recovery))</f>
        <v>0.95827540647572684</v>
      </c>
      <c r="M164" s="33">
        <f t="shared" ca="1" si="281"/>
        <v>4.1724593524273157E-2</v>
      </c>
      <c r="N164" s="12"/>
      <c r="O164" s="12"/>
      <c r="P164" s="12"/>
      <c r="Q164" s="12"/>
      <c r="R164" s="12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</row>
    <row r="165" spans="2:110" x14ac:dyDescent="0.25">
      <c r="B165" s="121"/>
      <c r="C165" s="122"/>
      <c r="D165" s="122"/>
      <c r="E165" s="108">
        <f t="shared" si="309"/>
        <v>7.1999999999999993</v>
      </c>
      <c r="F165" s="118">
        <f t="shared" ref="F165" si="316">EXP(-IRate*E165)</f>
        <v>0.80573530187347964</v>
      </c>
      <c r="G165" s="36" cm="1">
        <f t="array" aca="1" ref="G165" ca="1">CubicSpline(Tenors,Spreads,E165)</f>
        <v>3.6010945647871996E-3</v>
      </c>
      <c r="H165" s="32" cm="1">
        <f t="array" aca="1" ref="H165" ca="1">IF(Method="CubicSpline",CubicSpline(Tenors,HRs,E165),FindHR(E165,Tenors,HRs,Method))</f>
        <v>0</v>
      </c>
      <c r="I165" s="36">
        <f t="shared" ca="1" si="283"/>
        <v>1</v>
      </c>
      <c r="J165" s="32">
        <f t="shared" ca="1" si="284"/>
        <v>0</v>
      </c>
      <c r="K165" s="38">
        <f t="shared" ca="1" si="285"/>
        <v>0</v>
      </c>
      <c r="L165" s="38">
        <f t="shared" ref="L165" ca="1" si="317">EXP(-G165*E165/(1-Recovery))</f>
        <v>0.9577072475917987</v>
      </c>
      <c r="M165" s="33">
        <f t="shared" ca="1" si="281"/>
        <v>4.2292752408201295E-2</v>
      </c>
      <c r="N165" s="12"/>
      <c r="O165" s="12"/>
      <c r="P165" s="12"/>
      <c r="Q165" s="12"/>
      <c r="R165" s="12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</row>
    <row r="166" spans="2:110" x14ac:dyDescent="0.25">
      <c r="B166" s="121"/>
      <c r="C166" s="122"/>
      <c r="D166" s="122"/>
      <c r="E166" s="108">
        <f t="shared" si="309"/>
        <v>7.2499999999999991</v>
      </c>
      <c r="F166" s="118">
        <f t="shared" ref="F166" si="318">EXP(-IRate*E166)</f>
        <v>0.80452760491982789</v>
      </c>
      <c r="G166" s="36" cm="1">
        <f t="array" aca="1" ref="G166" ca="1">CubicSpline(Tenors,Spreads,E166)</f>
        <v>3.6252352724332406E-3</v>
      </c>
      <c r="H166" s="32" cm="1">
        <f t="array" aca="1" ref="H166" ca="1">IF(Method="CubicSpline",CubicSpline(Tenors,HRs,E166),FindHR(E166,Tenors,HRs,Method))</f>
        <v>0</v>
      </c>
      <c r="I166" s="36">
        <f t="shared" ca="1" si="283"/>
        <v>1</v>
      </c>
      <c r="J166" s="32">
        <f t="shared" ca="1" si="284"/>
        <v>0</v>
      </c>
      <c r="K166" s="38">
        <f t="shared" ca="1" si="285"/>
        <v>0</v>
      </c>
      <c r="L166" s="38">
        <f t="shared" ref="L166" ca="1" si="319">EXP(-G166*E166/(1-Recovery))</f>
        <v>0.95714065231880019</v>
      </c>
      <c r="M166" s="33">
        <f t="shared" ca="1" si="281"/>
        <v>4.2859347681199811E-2</v>
      </c>
      <c r="N166" s="12"/>
      <c r="O166" s="12"/>
      <c r="P166" s="12"/>
      <c r="Q166" s="12"/>
      <c r="R166" s="12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</row>
    <row r="167" spans="2:110" x14ac:dyDescent="0.25">
      <c r="B167" s="121"/>
      <c r="C167" s="122"/>
      <c r="D167" s="122"/>
      <c r="E167" s="108">
        <f t="shared" si="309"/>
        <v>7.2999999999999989</v>
      </c>
      <c r="F167" s="118">
        <f t="shared" ref="F167" si="320">EXP(-IRate*E167)</f>
        <v>0.80332171815362652</v>
      </c>
      <c r="G167" s="36" cm="1">
        <f t="array" aca="1" ref="G167" ca="1">CubicSpline(Tenors,Spreads,E167)</f>
        <v>3.6489387680415783E-3</v>
      </c>
      <c r="H167" s="32" cm="1">
        <f t="array" aca="1" ref="H167" ca="1">IF(Method="CubicSpline",CubicSpline(Tenors,HRs,E167),FindHR(E167,Tenors,HRs,Method))</f>
        <v>0</v>
      </c>
      <c r="I167" s="36">
        <f t="shared" ca="1" si="283"/>
        <v>1</v>
      </c>
      <c r="J167" s="32">
        <f t="shared" ca="1" si="284"/>
        <v>0</v>
      </c>
      <c r="K167" s="38">
        <f t="shared" ca="1" si="285"/>
        <v>0</v>
      </c>
      <c r="L167" s="38">
        <f t="shared" ref="L167" ca="1" si="321">EXP(-G167*E167/(1-Recovery))</f>
        <v>0.95657563193755635</v>
      </c>
      <c r="M167" s="33">
        <f t="shared" ca="1" si="281"/>
        <v>4.3424368062443652E-2</v>
      </c>
      <c r="N167" s="12"/>
      <c r="O167" s="12"/>
      <c r="P167" s="12"/>
      <c r="Q167" s="12"/>
      <c r="R167" s="12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</row>
    <row r="168" spans="2:110" x14ac:dyDescent="0.25">
      <c r="B168" s="121"/>
      <c r="C168" s="122"/>
      <c r="D168" s="122"/>
      <c r="E168" s="108">
        <f t="shared" si="309"/>
        <v>7.3499999999999988</v>
      </c>
      <c r="F168" s="118">
        <f t="shared" ref="F168" si="322">EXP(-IRate*E168)</f>
        <v>0.80211763886163001</v>
      </c>
      <c r="G168" s="36" cm="1">
        <f t="array" aca="1" ref="G168" ca="1">CubicSpline(Tenors,Spreads,E168)</f>
        <v>3.6722131838804726E-3</v>
      </c>
      <c r="H168" s="32" cm="1">
        <f t="array" aca="1" ref="H168" ca="1">IF(Method="CubicSpline",CubicSpline(Tenors,HRs,E168),FindHR(E168,Tenors,HRs,Method))</f>
        <v>0</v>
      </c>
      <c r="I168" s="36">
        <f t="shared" ca="1" si="283"/>
        <v>1</v>
      </c>
      <c r="J168" s="32">
        <f t="shared" ca="1" si="284"/>
        <v>0</v>
      </c>
      <c r="K168" s="38">
        <f t="shared" ca="1" si="285"/>
        <v>0</v>
      </c>
      <c r="L168" s="38">
        <f t="shared" ref="L168" ca="1" si="323">EXP(-G168*E168/(1-Recovery))</f>
        <v>0.95601219331111842</v>
      </c>
      <c r="M168" s="33">
        <f t="shared" ca="1" si="281"/>
        <v>4.3987806688881581E-2</v>
      </c>
      <c r="N168" s="12"/>
      <c r="O168" s="12"/>
      <c r="P168" s="12"/>
      <c r="Q168" s="12"/>
      <c r="R168" s="12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</row>
    <row r="169" spans="2:110" x14ac:dyDescent="0.25">
      <c r="B169" s="121"/>
      <c r="C169" s="122"/>
      <c r="D169" s="122"/>
      <c r="E169" s="108">
        <f t="shared" si="309"/>
        <v>7.3999999999999986</v>
      </c>
      <c r="F169" s="118">
        <f t="shared" ref="F169" si="324">EXP(-IRate*E169)</f>
        <v>0.80091536433465926</v>
      </c>
      <c r="G169" s="36" cm="1">
        <f t="array" aca="1" ref="G169" ca="1">CubicSpline(Tenors,Spreads,E169)</f>
        <v>3.6950660299770862E-3</v>
      </c>
      <c r="H169" s="32" cm="1">
        <f t="array" aca="1" ref="H169" ca="1">IF(Method="CubicSpline",CubicSpline(Tenors,HRs,E169),FindHR(E169,Tenors,HRs,Method))</f>
        <v>0</v>
      </c>
      <c r="I169" s="36">
        <f t="shared" ca="1" si="283"/>
        <v>1</v>
      </c>
      <c r="J169" s="32">
        <f t="shared" ca="1" si="284"/>
        <v>0</v>
      </c>
      <c r="K169" s="38">
        <f t="shared" ca="1" si="285"/>
        <v>0</v>
      </c>
      <c r="L169" s="38">
        <f t="shared" ref="L169" ca="1" si="325">EXP(-G169*E169/(1-Recovery))</f>
        <v>0.95545034803072559</v>
      </c>
      <c r="M169" s="33">
        <f t="shared" ca="1" si="281"/>
        <v>4.4549651969274406E-2</v>
      </c>
      <c r="N169" s="12"/>
      <c r="O169" s="12"/>
      <c r="P169" s="12"/>
      <c r="Q169" s="12"/>
      <c r="R169" s="12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</row>
    <row r="170" spans="2:110" x14ac:dyDescent="0.25">
      <c r="B170" s="121"/>
      <c r="C170" s="122"/>
      <c r="D170" s="122"/>
      <c r="E170" s="108">
        <f t="shared" si="309"/>
        <v>7.4499999999999984</v>
      </c>
      <c r="F170" s="118">
        <f t="shared" ref="F170" si="326">EXP(-IRate*E170)</f>
        <v>0.79971489186759614</v>
      </c>
      <c r="G170" s="36" cm="1">
        <f t="array" aca="1" ref="G170" ca="1">CubicSpline(Tenors,Spreads,E170)</f>
        <v>3.7175054889076018E-3</v>
      </c>
      <c r="H170" s="32" cm="1">
        <f t="array" aca="1" ref="H170" ca="1">IF(Method="CubicSpline",CubicSpline(Tenors,HRs,E170),FindHR(E170,Tenors,HRs,Method))</f>
        <v>0</v>
      </c>
      <c r="I170" s="36">
        <f t="shared" ca="1" si="283"/>
        <v>1</v>
      </c>
      <c r="J170" s="32">
        <f t="shared" ca="1" si="284"/>
        <v>0</v>
      </c>
      <c r="K170" s="38">
        <f t="shared" ca="1" si="285"/>
        <v>0</v>
      </c>
      <c r="L170" s="38">
        <f t="shared" ref="L170" ca="1" si="327">EXP(-G170*E170/(1-Recovery))</f>
        <v>0.95489009729786289</v>
      </c>
      <c r="M170" s="33">
        <f t="shared" ca="1" si="281"/>
        <v>4.5109902702137106E-2</v>
      </c>
      <c r="N170" s="12"/>
      <c r="O170" s="12"/>
      <c r="P170" s="12"/>
      <c r="Q170" s="12"/>
      <c r="R170" s="12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</row>
    <row r="171" spans="2:110" x14ac:dyDescent="0.25">
      <c r="B171" s="121"/>
      <c r="C171" s="122"/>
      <c r="D171" s="122"/>
      <c r="E171" s="108">
        <f t="shared" si="309"/>
        <v>7.4999999999999982</v>
      </c>
      <c r="F171" s="118">
        <f t="shared" ref="F171" si="328">EXP(-IRate*E171)</f>
        <v>0.79851621875937706</v>
      </c>
      <c r="G171" s="36" cm="1">
        <f t="array" aca="1" ref="G171" ca="1">CubicSpline(Tenors,Spreads,E171)</f>
        <v>3.739539528897442E-3</v>
      </c>
      <c r="H171" s="32" cm="1">
        <f t="array" aca="1" ref="H171" ca="1">IF(Method="CubicSpline",CubicSpline(Tenors,HRs,E171),FindHR(E171,Tenors,HRs,Method))</f>
        <v>0</v>
      </c>
      <c r="I171" s="36">
        <f t="shared" ca="1" si="283"/>
        <v>1</v>
      </c>
      <c r="J171" s="32">
        <f t="shared" ca="1" si="284"/>
        <v>0</v>
      </c>
      <c r="K171" s="38">
        <f t="shared" ca="1" si="285"/>
        <v>0</v>
      </c>
      <c r="L171" s="38">
        <f t="shared" ref="L171" ca="1" si="329">EXP(-G171*E171/(1-Recovery))</f>
        <v>0.95433144226731892</v>
      </c>
      <c r="M171" s="33">
        <f t="shared" ca="1" si="281"/>
        <v>4.5668557732681081E-2</v>
      </c>
      <c r="N171" s="12"/>
      <c r="O171" s="12"/>
      <c r="P171" s="12"/>
      <c r="Q171" s="12"/>
      <c r="R171" s="12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</row>
    <row r="172" spans="2:110" x14ac:dyDescent="0.25">
      <c r="B172" s="121"/>
      <c r="C172" s="122"/>
      <c r="D172" s="122"/>
      <c r="E172" s="108">
        <f t="shared" si="309"/>
        <v>7.549999999999998</v>
      </c>
      <c r="F172" s="118">
        <f t="shared" ref="F172" si="330">EXP(-IRate*E172)</f>
        <v>0.79731934231298718</v>
      </c>
      <c r="G172" s="36" cm="1">
        <f t="array" aca="1" ref="G172" ca="1">CubicSpline(Tenors,Spreads,E172)</f>
        <v>3.761176294155713E-3</v>
      </c>
      <c r="H172" s="32" cm="1">
        <f t="array" aca="1" ref="H172" ca="1">IF(Method="CubicSpline",CubicSpline(Tenors,HRs,E172),FindHR(E172,Tenors,HRs,Method))</f>
        <v>0</v>
      </c>
      <c r="I172" s="36">
        <f t="shared" ca="1" si="283"/>
        <v>1</v>
      </c>
      <c r="J172" s="32">
        <f t="shared" ca="1" si="284"/>
        <v>0</v>
      </c>
      <c r="K172" s="38">
        <f t="shared" ca="1" si="285"/>
        <v>0</v>
      </c>
      <c r="L172" s="38">
        <f t="shared" ref="L172" ca="1" si="331">EXP(-G172*E172/(1-Recovery))</f>
        <v>0.95377437944788568</v>
      </c>
      <c r="M172" s="33">
        <f t="shared" ca="1" si="281"/>
        <v>4.6225620552114322E-2</v>
      </c>
      <c r="N172" s="12"/>
      <c r="O172" s="12"/>
      <c r="P172" s="12"/>
      <c r="Q172" s="12"/>
      <c r="R172" s="12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</row>
    <row r="173" spans="2:110" x14ac:dyDescent="0.25">
      <c r="B173" s="121"/>
      <c r="C173" s="122"/>
      <c r="D173" s="122"/>
      <c r="E173" s="108">
        <f t="shared" si="309"/>
        <v>7.5999999999999979</v>
      </c>
      <c r="F173" s="118">
        <f t="shared" ref="F173" si="332">EXP(-IRate*E173)</f>
        <v>0.79612425983545376</v>
      </c>
      <c r="G173" s="36" cm="1">
        <f t="array" aca="1" ref="G173" ca="1">CubicSpline(Tenors,Spreads,E173)</f>
        <v>3.7824232886822929E-3</v>
      </c>
      <c r="H173" s="32" cm="1">
        <f t="array" aca="1" ref="H173" ca="1">IF(Method="CubicSpline",CubicSpline(Tenors,HRs,E173),FindHR(E173,Tenors,HRs,Method))</f>
        <v>0</v>
      </c>
      <c r="I173" s="36">
        <f t="shared" ca="1" si="283"/>
        <v>1</v>
      </c>
      <c r="J173" s="32">
        <f t="shared" ca="1" si="284"/>
        <v>0</v>
      </c>
      <c r="K173" s="38">
        <f t="shared" ca="1" si="285"/>
        <v>0</v>
      </c>
      <c r="L173" s="38">
        <f t="shared" ref="L173" ca="1" si="333">EXP(-G173*E173/(1-Recovery))</f>
        <v>0.95321891050083174</v>
      </c>
      <c r="M173" s="33">
        <f t="shared" ca="1" si="281"/>
        <v>4.678108949916826E-2</v>
      </c>
      <c r="N173" s="12"/>
      <c r="O173" s="12"/>
      <c r="P173" s="12"/>
      <c r="Q173" s="12"/>
      <c r="R173" s="12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</row>
    <row r="174" spans="2:110" x14ac:dyDescent="0.25">
      <c r="B174" s="121"/>
      <c r="C174" s="122"/>
      <c r="D174" s="122"/>
      <c r="E174" s="108">
        <f t="shared" si="309"/>
        <v>7.6499999999999977</v>
      </c>
      <c r="F174" s="118">
        <f t="shared" ref="F174" si="334">EXP(-IRate*E174)</f>
        <v>0.79493096863784085</v>
      </c>
      <c r="G174" s="36" cm="1">
        <f t="array" aca="1" ref="G174" ca="1">CubicSpline(Tenors,Spreads,E174)</f>
        <v>3.8032886950533644E-3</v>
      </c>
      <c r="H174" s="32" cm="1">
        <f t="array" aca="1" ref="H174" ca="1">IF(Method="CubicSpline",CubicSpline(Tenors,HRs,E174),FindHR(E174,Tenors,HRs,Method))</f>
        <v>0</v>
      </c>
      <c r="I174" s="36">
        <f t="shared" ca="1" si="283"/>
        <v>1</v>
      </c>
      <c r="J174" s="32">
        <f t="shared" ca="1" si="284"/>
        <v>0</v>
      </c>
      <c r="K174" s="38">
        <f t="shared" ca="1" si="285"/>
        <v>0</v>
      </c>
      <c r="L174" s="38">
        <f t="shared" ref="L174" ca="1" si="335">EXP(-G174*E174/(1-Recovery))</f>
        <v>0.95266502646045315</v>
      </c>
      <c r="M174" s="33">
        <f t="shared" ca="1" si="281"/>
        <v>4.7334973539546854E-2</v>
      </c>
      <c r="N174" s="12"/>
      <c r="O174" s="12"/>
      <c r="P174" s="12"/>
      <c r="Q174" s="12"/>
      <c r="R174" s="12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</row>
    <row r="175" spans="2:110" x14ac:dyDescent="0.25">
      <c r="B175" s="121"/>
      <c r="C175" s="122"/>
      <c r="D175" s="122"/>
      <c r="E175" s="108">
        <f t="shared" si="309"/>
        <v>7.6999999999999975</v>
      </c>
      <c r="F175" s="118">
        <f t="shared" ref="F175" si="336">EXP(-IRate*E175)</f>
        <v>0.79373946603524281</v>
      </c>
      <c r="G175" s="36" cm="1">
        <f t="array" aca="1" ref="G175" ca="1">CubicSpline(Tenors,Spreads,E175)</f>
        <v>3.823780476035678E-3</v>
      </c>
      <c r="H175" s="32" cm="1">
        <f t="array" aca="1" ref="H175" ca="1">IF(Method="CubicSpline",CubicSpline(Tenors,HRs,E175),FindHR(E175,Tenors,HRs,Method))</f>
        <v>0</v>
      </c>
      <c r="I175" s="36">
        <f t="shared" ca="1" si="283"/>
        <v>1</v>
      </c>
      <c r="J175" s="32">
        <f t="shared" ca="1" si="284"/>
        <v>0</v>
      </c>
      <c r="K175" s="38">
        <f t="shared" ca="1" si="285"/>
        <v>0</v>
      </c>
      <c r="L175" s="38">
        <f t="shared" ref="L175" ca="1" si="337">EXP(-G175*E175/(1-Recovery))</f>
        <v>0.9521127184729008</v>
      </c>
      <c r="M175" s="33">
        <f t="shared" ca="1" si="281"/>
        <v>4.7887281527099201E-2</v>
      </c>
      <c r="N175" s="12"/>
      <c r="O175" s="12"/>
      <c r="P175" s="12"/>
      <c r="Q175" s="12"/>
      <c r="R175" s="12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</row>
    <row r="176" spans="2:110" x14ac:dyDescent="0.25">
      <c r="B176" s="121"/>
      <c r="C176" s="122"/>
      <c r="D176" s="122"/>
      <c r="E176" s="108">
        <f t="shared" si="309"/>
        <v>7.7499999999999973</v>
      </c>
      <c r="F176" s="118">
        <f t="shared" ref="F176" si="338">EXP(-IRate*E176)</f>
        <v>0.79254974934677824</v>
      </c>
      <c r="G176" s="36" cm="1">
        <f t="array" aca="1" ref="G176" ca="1">CubicSpline(Tenors,Spreads,E176)</f>
        <v>3.8439067868694071E-3</v>
      </c>
      <c r="H176" s="32" cm="1">
        <f t="array" aca="1" ref="H176" ca="1">IF(Method="CubicSpline",CubicSpline(Tenors,HRs,E176),FindHR(E176,Tenors,HRs,Method))</f>
        <v>0</v>
      </c>
      <c r="I176" s="36">
        <f t="shared" ca="1" si="283"/>
        <v>1</v>
      </c>
      <c r="J176" s="32">
        <f t="shared" ca="1" si="284"/>
        <v>0</v>
      </c>
      <c r="K176" s="38">
        <f t="shared" ca="1" si="285"/>
        <v>0</v>
      </c>
      <c r="L176" s="38">
        <f t="shared" ref="L176" ca="1" si="339">EXP(-G176*E176/(1-Recovery))</f>
        <v>0.95156197281557608</v>
      </c>
      <c r="M176" s="33">
        <f t="shared" ca="1" si="281"/>
        <v>4.8438027184423915E-2</v>
      </c>
      <c r="N176" s="12"/>
      <c r="O176" s="12"/>
      <c r="P176" s="12"/>
      <c r="Q176" s="12"/>
      <c r="R176" s="12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</row>
    <row r="177" spans="2:110" x14ac:dyDescent="0.25">
      <c r="B177" s="121"/>
      <c r="C177" s="122"/>
      <c r="D177" s="122"/>
      <c r="E177" s="108">
        <f t="shared" si="309"/>
        <v>7.7999999999999972</v>
      </c>
      <c r="F177" s="118">
        <f t="shared" ref="F177" si="340">EXP(-IRate*E177)</f>
        <v>0.79136181589558396</v>
      </c>
      <c r="G177" s="36" cm="1">
        <f t="array" aca="1" ref="G177" ca="1">CubicSpline(Tenors,Spreads,E177)</f>
        <v>3.8636751259820343E-3</v>
      </c>
      <c r="H177" s="32" cm="1">
        <f t="array" aca="1" ref="H177" ca="1">IF(Method="CubicSpline",CubicSpline(Tenors,HRs,E177),FindHR(E177,Tenors,HRs,Method))</f>
        <v>0</v>
      </c>
      <c r="I177" s="36">
        <f t="shared" ca="1" si="283"/>
        <v>1</v>
      </c>
      <c r="J177" s="32">
        <f t="shared" ca="1" si="284"/>
        <v>0</v>
      </c>
      <c r="K177" s="38">
        <f t="shared" ca="1" si="285"/>
        <v>0</v>
      </c>
      <c r="L177" s="38">
        <f t="shared" ref="L177" ca="1" si="341">EXP(-G177*E177/(1-Recovery))</f>
        <v>0.95101278133471934</v>
      </c>
      <c r="M177" s="33">
        <f t="shared" ca="1" si="281"/>
        <v>4.8987218665280663E-2</v>
      </c>
      <c r="N177" s="12"/>
      <c r="O177" s="12"/>
      <c r="P177" s="12"/>
      <c r="Q177" s="12"/>
      <c r="R177" s="12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</row>
    <row r="178" spans="2:110" x14ac:dyDescent="0.25">
      <c r="B178" s="121"/>
      <c r="C178" s="122"/>
      <c r="D178" s="122"/>
      <c r="E178" s="108">
        <f t="shared" si="309"/>
        <v>7.849999999999997</v>
      </c>
      <c r="F178" s="118">
        <f t="shared" ref="F178" si="342">EXP(-IRate*E178)</f>
        <v>0.79017566300880926</v>
      </c>
      <c r="G178" s="36" cm="1">
        <f t="array" aca="1" ref="G178" ca="1">CubicSpline(Tenors,Spreads,E178)</f>
        <v>3.8830936851754691E-3</v>
      </c>
      <c r="H178" s="32" cm="1">
        <f t="array" aca="1" ref="H178" ca="1">IF(Method="CubicSpline",CubicSpline(Tenors,HRs,E178),FindHR(E178,Tenors,HRs,Method))</f>
        <v>0</v>
      </c>
      <c r="I178" s="36">
        <f t="shared" ca="1" si="283"/>
        <v>1</v>
      </c>
      <c r="J178" s="32">
        <f t="shared" ca="1" si="284"/>
        <v>0</v>
      </c>
      <c r="K178" s="38">
        <f t="shared" ca="1" si="285"/>
        <v>0</v>
      </c>
      <c r="L178" s="38">
        <f t="shared" ref="L178" ca="1" si="343">EXP(-G178*E178/(1-Recovery))</f>
        <v>0.95046512489946922</v>
      </c>
      <c r="M178" s="33">
        <f t="shared" ca="1" si="281"/>
        <v>4.9534875100530784E-2</v>
      </c>
      <c r="N178" s="12"/>
      <c r="O178" s="12"/>
      <c r="P178" s="12"/>
      <c r="Q178" s="12"/>
      <c r="R178" s="12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</row>
    <row r="179" spans="2:110" x14ac:dyDescent="0.25">
      <c r="B179" s="121"/>
      <c r="C179" s="122"/>
      <c r="D179" s="122"/>
      <c r="E179" s="108">
        <f t="shared" si="309"/>
        <v>7.8999999999999968</v>
      </c>
      <c r="F179" s="118">
        <f t="shared" ref="F179" si="344">EXP(-IRate*E179)</f>
        <v>0.78899128801760976</v>
      </c>
      <c r="G179" s="36" cm="1">
        <f t="array" aca="1" ref="G179" ca="1">CubicSpline(Tenors,Spreads,E179)</f>
        <v>3.9021703945355014E-3</v>
      </c>
      <c r="H179" s="32" cm="1">
        <f t="array" aca="1" ref="H179" ca="1">IF(Method="CubicSpline",CubicSpline(Tenors,HRs,E179),FindHR(E179,Tenors,HRs,Method))</f>
        <v>0</v>
      </c>
      <c r="I179" s="36">
        <f t="shared" ca="1" si="283"/>
        <v>1</v>
      </c>
      <c r="J179" s="32">
        <f t="shared" ca="1" si="284"/>
        <v>0</v>
      </c>
      <c r="K179" s="38">
        <f t="shared" ca="1" si="285"/>
        <v>0</v>
      </c>
      <c r="L179" s="38">
        <f t="shared" ref="L179" ca="1" si="345">EXP(-G179*E179/(1-Recovery))</f>
        <v>0.94991898510448258</v>
      </c>
      <c r="M179" s="33">
        <f t="shared" ca="1" si="281"/>
        <v>5.0081014895517417E-2</v>
      </c>
      <c r="N179" s="12"/>
      <c r="O179" s="12"/>
      <c r="P179" s="12"/>
      <c r="Q179" s="12"/>
      <c r="R179" s="12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</row>
    <row r="180" spans="2:110" x14ac:dyDescent="0.25">
      <c r="B180" s="121"/>
      <c r="C180" s="122"/>
      <c r="D180" s="122"/>
      <c r="E180" s="108">
        <f t="shared" si="309"/>
        <v>7.9499999999999966</v>
      </c>
      <c r="F180" s="118">
        <f t="shared" ref="F180" si="346">EXP(-IRate*E180)</f>
        <v>0.78780868825714123</v>
      </c>
      <c r="G180" s="36" cm="1">
        <f t="array" aca="1" ref="G180" ca="1">CubicSpline(Tenors,Spreads,E180)</f>
        <v>3.9209132142701249E-3</v>
      </c>
      <c r="H180" s="32" cm="1">
        <f t="array" aca="1" ref="H180" ca="1">IF(Method="CubicSpline",CubicSpline(Tenors,HRs,E180),FindHR(E180,Tenors,HRs,Method))</f>
        <v>0</v>
      </c>
      <c r="I180" s="36">
        <f t="shared" ca="1" si="283"/>
        <v>1</v>
      </c>
      <c r="J180" s="32">
        <f t="shared" ca="1" si="284"/>
        <v>0</v>
      </c>
      <c r="K180" s="38">
        <f t="shared" ca="1" si="285"/>
        <v>0</v>
      </c>
      <c r="L180" s="38">
        <f t="shared" ref="L180" ca="1" si="347">EXP(-G180*E180/(1-Recovery))</f>
        <v>0.94937434070013416</v>
      </c>
      <c r="M180" s="33">
        <f t="shared" ca="1" si="281"/>
        <v>5.0625659299865844E-2</v>
      </c>
      <c r="N180" s="12"/>
      <c r="O180" s="12"/>
      <c r="P180" s="12"/>
      <c r="Q180" s="12"/>
      <c r="R180" s="12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</row>
    <row r="181" spans="2:110" x14ac:dyDescent="0.25">
      <c r="B181" s="121"/>
      <c r="C181" s="122"/>
      <c r="D181" s="122"/>
      <c r="E181" s="108">
        <f t="shared" si="309"/>
        <v>7.9999999999999964</v>
      </c>
      <c r="F181" s="118">
        <f t="shared" ref="F181" si="348">EXP(-IRate*E181)</f>
        <v>0.78662786106655347</v>
      </c>
      <c r="G181" s="36" cm="1">
        <f t="array" aca="1" ref="G181" ca="1">CubicSpline(Tenors,Spreads,E181)</f>
        <v>3.9393303269555256E-3</v>
      </c>
      <c r="H181" s="32" cm="1">
        <f t="array" aca="1" ref="H181" ca="1">IF(Method="CubicSpline",CubicSpline(Tenors,HRs,E181),FindHR(E181,Tenors,HRs,Method))</f>
        <v>0</v>
      </c>
      <c r="I181" s="36">
        <f t="shared" ca="1" si="283"/>
        <v>1</v>
      </c>
      <c r="J181" s="32">
        <f t="shared" ca="1" si="284"/>
        <v>0</v>
      </c>
      <c r="K181" s="38">
        <f t="shared" ca="1" si="285"/>
        <v>0</v>
      </c>
      <c r="L181" s="38">
        <f t="shared" ref="L181" ca="1" si="349">EXP(-G181*E181/(1-Recovery))</f>
        <v>0.94883116515647892</v>
      </c>
      <c r="M181" s="33">
        <f t="shared" ca="1" si="281"/>
        <v>5.1168834843521083E-2</v>
      </c>
      <c r="N181" s="12"/>
      <c r="O181" s="12"/>
      <c r="P181" s="12"/>
      <c r="Q181" s="12"/>
      <c r="R181" s="12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</row>
    <row r="182" spans="2:110" x14ac:dyDescent="0.25">
      <c r="B182" s="121"/>
      <c r="C182" s="122"/>
      <c r="D182" s="122"/>
      <c r="E182" s="108">
        <f t="shared" si="309"/>
        <v>8.0499999999999972</v>
      </c>
      <c r="F182" s="118">
        <f t="shared" ref="F182" si="350">EXP(-IRate*E182)</f>
        <v>0.78544880378898507</v>
      </c>
      <c r="G182" s="36" cm="1">
        <f t="array" aca="1" ref="G182" ca="1">CubicSpline(Tenors,Spreads,E182)</f>
        <v>3.9574292212390637E-3</v>
      </c>
      <c r="H182" s="32" cm="1">
        <f t="array" aca="1" ref="H182" ca="1">IF(Method="CubicSpline",CubicSpline(Tenors,HRs,E182),FindHR(E182,Tenors,HRs,Method))</f>
        <v>0</v>
      </c>
      <c r="I182" s="36">
        <f t="shared" ca="1" si="283"/>
        <v>1</v>
      </c>
      <c r="J182" s="32">
        <f t="shared" ca="1" si="284"/>
        <v>0</v>
      </c>
      <c r="K182" s="38">
        <f t="shared" ca="1" si="285"/>
        <v>0</v>
      </c>
      <c r="L182" s="38">
        <f t="shared" ref="L182" ca="1" si="351">EXP(-G182*E182/(1-Recovery))</f>
        <v>0.94828943824823675</v>
      </c>
      <c r="M182" s="33">
        <f t="shared" ca="1" si="281"/>
        <v>5.1710561751763251E-2</v>
      </c>
      <c r="N182" s="12"/>
      <c r="O182" s="12"/>
      <c r="P182" s="12"/>
      <c r="Q182" s="12"/>
      <c r="R182" s="12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</row>
    <row r="183" spans="2:110" x14ac:dyDescent="0.25">
      <c r="B183" s="121"/>
      <c r="C183" s="122"/>
      <c r="D183" s="122"/>
      <c r="E183" s="108">
        <f t="shared" si="309"/>
        <v>8.0999999999999979</v>
      </c>
      <c r="F183" s="118">
        <f t="shared" ref="F183" si="352">EXP(-IRate*E183)</f>
        <v>0.78427151377155646</v>
      </c>
      <c r="G183" s="36" cm="1">
        <f t="array" aca="1" ref="G183" ca="1">CubicSpline(Tenors,Spreads,E183)</f>
        <v>3.9752180694761288E-3</v>
      </c>
      <c r="H183" s="32" cm="1">
        <f t="array" aca="1" ref="H183" ca="1">IF(Method="CubicSpline",CubicSpline(Tenors,HRs,E183),FindHR(E183,Tenors,HRs,Method))</f>
        <v>0</v>
      </c>
      <c r="I183" s="36">
        <f t="shared" ca="1" si="283"/>
        <v>1</v>
      </c>
      <c r="J183" s="32">
        <f t="shared" ca="1" si="284"/>
        <v>0</v>
      </c>
      <c r="K183" s="38">
        <f t="shared" ca="1" si="285"/>
        <v>0</v>
      </c>
      <c r="L183" s="38">
        <f t="shared" ref="L183" ca="1" si="353">EXP(-G183*E183/(1-Recovery))</f>
        <v>0.94774912868431993</v>
      </c>
      <c r="M183" s="33">
        <f t="shared" ca="1" si="281"/>
        <v>5.225087131568007E-2</v>
      </c>
      <c r="N183" s="12"/>
      <c r="O183" s="12"/>
      <c r="P183" s="12"/>
      <c r="Q183" s="12"/>
      <c r="R183" s="12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</row>
    <row r="184" spans="2:110" x14ac:dyDescent="0.25">
      <c r="B184" s="121"/>
      <c r="C184" s="122"/>
      <c r="D184" s="122"/>
      <c r="E184" s="108">
        <f t="shared" si="309"/>
        <v>8.1499999999999986</v>
      </c>
      <c r="F184" s="118">
        <f t="shared" ref="F184" si="354">EXP(-IRate*E184)</f>
        <v>0.78309598836536476</v>
      </c>
      <c r="G184" s="36" cm="1">
        <f t="array" aca="1" ref="G184" ca="1">CubicSpline(Tenors,Spreads,E184)</f>
        <v>3.9927048270983747E-3</v>
      </c>
      <c r="H184" s="32" cm="1">
        <f t="array" aca="1" ref="H184" ca="1">IF(Method="CubicSpline",CubicSpline(Tenors,HRs,E184),FindHR(E184,Tenors,HRs,Method))</f>
        <v>0</v>
      </c>
      <c r="I184" s="36">
        <f t="shared" ca="1" si="283"/>
        <v>1</v>
      </c>
      <c r="J184" s="32">
        <f t="shared" ca="1" si="284"/>
        <v>0</v>
      </c>
      <c r="K184" s="38">
        <f t="shared" ca="1" si="285"/>
        <v>0</v>
      </c>
      <c r="L184" s="38">
        <f t="shared" ref="L184" ca="1" si="355">EXP(-G184*E184/(1-Recovery))</f>
        <v>0.94721020545707613</v>
      </c>
      <c r="M184" s="33">
        <f t="shared" ca="1" si="281"/>
        <v>5.2789794542923874E-2</v>
      </c>
      <c r="N184" s="12"/>
      <c r="O184" s="12"/>
      <c r="P184" s="12"/>
      <c r="Q184" s="12"/>
      <c r="R184" s="12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</row>
    <row r="185" spans="2:110" x14ac:dyDescent="0.25">
      <c r="B185" s="121"/>
      <c r="C185" s="122"/>
      <c r="D185" s="122"/>
      <c r="E185" s="108">
        <f t="shared" si="309"/>
        <v>8.1999999999999993</v>
      </c>
      <c r="F185" s="118">
        <f t="shared" ref="F185" si="356">EXP(-IRate*E185)</f>
        <v>0.78192222492547725</v>
      </c>
      <c r="G185" s="36" cm="1">
        <f t="array" aca="1" ref="G185" ca="1">CubicSpline(Tenors,Spreads,E185)</f>
        <v>4.0098976766819857E-3</v>
      </c>
      <c r="H185" s="32" cm="1">
        <f t="array" aca="1" ref="H185" ca="1">IF(Method="CubicSpline",CubicSpline(Tenors,HRs,E185),FindHR(E185,Tenors,HRs,Method))</f>
        <v>0</v>
      </c>
      <c r="I185" s="36">
        <f t="shared" ca="1" si="283"/>
        <v>1</v>
      </c>
      <c r="J185" s="32">
        <f t="shared" ca="1" si="284"/>
        <v>0</v>
      </c>
      <c r="K185" s="38">
        <f t="shared" ca="1" si="285"/>
        <v>0</v>
      </c>
      <c r="L185" s="38">
        <f t="shared" ref="L185" ca="1" si="357">EXP(-G185*E185/(1-Recovery))</f>
        <v>0.94667263218151909</v>
      </c>
      <c r="M185" s="33">
        <f t="shared" ca="1" si="281"/>
        <v>5.3327367818480909E-2</v>
      </c>
      <c r="N185" s="12"/>
      <c r="O185" s="12"/>
      <c r="P185" s="12"/>
      <c r="Q185" s="12"/>
      <c r="R185" s="12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</row>
    <row r="186" spans="2:110" x14ac:dyDescent="0.25">
      <c r="B186" s="121"/>
      <c r="C186" s="122"/>
      <c r="D186" s="122"/>
      <c r="E186" s="108">
        <f t="shared" si="309"/>
        <v>8.25</v>
      </c>
      <c r="F186" s="118">
        <f t="shared" ref="F186" si="358">EXP(-IRate*E186)</f>
        <v>0.78075022081092571</v>
      </c>
      <c r="G186" s="36" cm="1">
        <f t="array" aca="1" ref="G186" ca="1">CubicSpline(Tenors,Spreads,E186)</f>
        <v>4.0268041026665993E-3</v>
      </c>
      <c r="H186" s="32" cm="1">
        <f t="array" aca="1" ref="H186" ca="1">IF(Method="CubicSpline",CubicSpline(Tenors,HRs,E186),FindHR(E186,Tenors,HRs,Method))</f>
        <v>0</v>
      </c>
      <c r="I186" s="36">
        <f t="shared" ca="1" si="283"/>
        <v>1</v>
      </c>
      <c r="J186" s="32">
        <f t="shared" ca="1" si="284"/>
        <v>0</v>
      </c>
      <c r="K186" s="38">
        <f t="shared" ca="1" si="285"/>
        <v>0</v>
      </c>
      <c r="L186" s="38">
        <f t="shared" ref="L186" ca="1" si="359">EXP(-G186*E186/(1-Recovery))</f>
        <v>0.94613637905811343</v>
      </c>
      <c r="M186" s="33">
        <f t="shared" ca="1" si="281"/>
        <v>5.386362094188657E-2</v>
      </c>
      <c r="N186" s="12"/>
      <c r="O186" s="12"/>
      <c r="P186" s="12"/>
      <c r="Q186" s="12"/>
      <c r="R186" s="12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</row>
    <row r="187" spans="2:110" x14ac:dyDescent="0.25">
      <c r="B187" s="121"/>
      <c r="C187" s="122"/>
      <c r="D187" s="122"/>
      <c r="E187" s="108">
        <f t="shared" si="309"/>
        <v>8.3000000000000007</v>
      </c>
      <c r="F187" s="118">
        <f t="shared" ref="F187" si="360">EXP(-IRate*E187)</f>
        <v>0.77957997338470042</v>
      </c>
      <c r="G187" s="36" cm="1">
        <f t="array" aca="1" ref="G187" ca="1">CubicSpline(Tenors,Spreads,E187)</f>
        <v>4.0434322859367747E-3</v>
      </c>
      <c r="H187" s="32" cm="1">
        <f t="array" aca="1" ref="H187" ca="1">IF(Method="CubicSpline",CubicSpline(Tenors,HRs,E187),FindHR(E187,Tenors,HRs,Method))</f>
        <v>0</v>
      </c>
      <c r="I187" s="36">
        <f t="shared" ca="1" si="283"/>
        <v>1</v>
      </c>
      <c r="J187" s="32">
        <f t="shared" ca="1" si="284"/>
        <v>0</v>
      </c>
      <c r="K187" s="38">
        <f t="shared" ca="1" si="285"/>
        <v>0</v>
      </c>
      <c r="L187" s="38">
        <f t="shared" ref="L187" ca="1" si="361">EXP(-G187*E187/(1-Recovery))</f>
        <v>0.94560140488669664</v>
      </c>
      <c r="M187" s="33">
        <f t="shared" ca="1" si="281"/>
        <v>5.4398595113303361E-2</v>
      </c>
      <c r="N187" s="12"/>
      <c r="O187" s="12"/>
      <c r="P187" s="12"/>
      <c r="Q187" s="12"/>
      <c r="R187" s="12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</row>
    <row r="188" spans="2:110" x14ac:dyDescent="0.25">
      <c r="B188" s="121"/>
      <c r="C188" s="122"/>
      <c r="D188" s="122"/>
      <c r="E188" s="108">
        <f t="shared" si="309"/>
        <v>8.3500000000000014</v>
      </c>
      <c r="F188" s="118">
        <f t="shared" ref="F188" si="362">EXP(-IRate*E188)</f>
        <v>0.77841148001374405</v>
      </c>
      <c r="G188" s="36" cm="1">
        <f t="array" aca="1" ref="G188" ca="1">CubicSpline(Tenors,Spreads,E188)</f>
        <v>4.0597902940180449E-3</v>
      </c>
      <c r="H188" s="32" cm="1">
        <f t="array" aca="1" ref="H188" ca="1">IF(Method="CubicSpline",CubicSpline(Tenors,HRs,E188),FindHR(E188,Tenors,HRs,Method))</f>
        <v>0</v>
      </c>
      <c r="I188" s="36">
        <f t="shared" ca="1" si="283"/>
        <v>1</v>
      </c>
      <c r="J188" s="32">
        <f t="shared" ca="1" si="284"/>
        <v>0</v>
      </c>
      <c r="K188" s="38">
        <f t="shared" ca="1" si="285"/>
        <v>0</v>
      </c>
      <c r="L188" s="38">
        <f t="shared" ref="L188" ca="1" si="363">EXP(-G188*E188/(1-Recovery))</f>
        <v>0.94506766747490378</v>
      </c>
      <c r="M188" s="33">
        <f t="shared" ca="1" si="281"/>
        <v>5.4932332525096217E-2</v>
      </c>
      <c r="N188" s="12"/>
      <c r="O188" s="12"/>
      <c r="P188" s="12"/>
      <c r="Q188" s="12"/>
      <c r="R188" s="12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</row>
    <row r="189" spans="2:110" x14ac:dyDescent="0.25">
      <c r="B189" s="121"/>
      <c r="C189" s="122"/>
      <c r="D189" s="122"/>
      <c r="E189" s="108">
        <f t="shared" si="309"/>
        <v>8.4000000000000021</v>
      </c>
      <c r="F189" s="118">
        <f t="shared" ref="F189" si="364">EXP(-IRate*E189)</f>
        <v>0.77724473806894612</v>
      </c>
      <c r="G189" s="36" cm="1">
        <f t="array" aca="1" ref="G189" ca="1">CubicSpline(Tenors,Spreads,E189)</f>
        <v>4.0758859602406253E-3</v>
      </c>
      <c r="H189" s="32" cm="1">
        <f t="array" aca="1" ref="H189" ca="1">IF(Method="CubicSpline",CubicSpline(Tenors,HRs,E189),FindHR(E189,Tenors,HRs,Method))</f>
        <v>0</v>
      </c>
      <c r="I189" s="36">
        <f t="shared" ca="1" si="283"/>
        <v>1</v>
      </c>
      <c r="J189" s="32">
        <f t="shared" ca="1" si="284"/>
        <v>0</v>
      </c>
      <c r="K189" s="38">
        <f t="shared" ca="1" si="285"/>
        <v>0</v>
      </c>
      <c r="L189" s="38">
        <f t="shared" ref="L189" ca="1" si="365">EXP(-G189*E189/(1-Recovery))</f>
        <v>0.94453512528318517</v>
      </c>
      <c r="M189" s="33">
        <f t="shared" ca="1" si="281"/>
        <v>5.5464874716814827E-2</v>
      </c>
      <c r="N189" s="12"/>
      <c r="O189" s="12"/>
      <c r="P189" s="12"/>
      <c r="Q189" s="12"/>
      <c r="R189" s="12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</row>
    <row r="190" spans="2:110" x14ac:dyDescent="0.25">
      <c r="B190" s="121"/>
      <c r="C190" s="122"/>
      <c r="D190" s="122"/>
      <c r="E190" s="108">
        <f t="shared" si="309"/>
        <v>8.4500000000000028</v>
      </c>
      <c r="F190" s="118">
        <f t="shared" ref="F190" si="366">EXP(-IRate*E190)</f>
        <v>0.77607974492513676</v>
      </c>
      <c r="G190" s="36" cm="1">
        <f t="array" aca="1" ref="G190" ca="1">CubicSpline(Tenors,Spreads,E190)</f>
        <v>4.0917269981219596E-3</v>
      </c>
      <c r="H190" s="32" cm="1">
        <f t="array" aca="1" ref="H190" ca="1">IF(Method="CubicSpline",CubicSpline(Tenors,HRs,E190),FindHR(E190,Tenors,HRs,Method))</f>
        <v>0</v>
      </c>
      <c r="I190" s="36">
        <f t="shared" ca="1" si="283"/>
        <v>1</v>
      </c>
      <c r="J190" s="32">
        <f t="shared" ca="1" si="284"/>
        <v>0</v>
      </c>
      <c r="K190" s="38">
        <f t="shared" ca="1" si="285"/>
        <v>0</v>
      </c>
      <c r="L190" s="38">
        <f t="shared" ref="L190" ca="1" si="367">EXP(-G190*E190/(1-Recovery))</f>
        <v>0.94400373599414544</v>
      </c>
      <c r="M190" s="33">
        <f t="shared" ca="1" si="281"/>
        <v>5.5996264005854557E-2</v>
      </c>
      <c r="N190" s="12"/>
      <c r="O190" s="12"/>
      <c r="P190" s="12"/>
      <c r="Q190" s="12"/>
      <c r="R190" s="12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</row>
    <row r="191" spans="2:110" x14ac:dyDescent="0.25">
      <c r="B191" s="121"/>
      <c r="C191" s="122"/>
      <c r="D191" s="122"/>
      <c r="E191" s="108">
        <f t="shared" si="309"/>
        <v>8.5000000000000036</v>
      </c>
      <c r="F191" s="118">
        <f t="shared" ref="F191" si="368">EXP(-IRate*E191)</f>
        <v>0.77491649796108086</v>
      </c>
      <c r="G191" s="36" cm="1">
        <f t="array" aca="1" ref="G191" ca="1">CubicSpline(Tenors,Spreads,E191)</f>
        <v>4.1073218289966514E-3</v>
      </c>
      <c r="H191" s="32" cm="1">
        <f t="array" aca="1" ref="H191" ca="1">IF(Method="CubicSpline",CubicSpline(Tenors,HRs,E191),FindHR(E191,Tenors,HRs,Method))</f>
        <v>0</v>
      </c>
      <c r="I191" s="36">
        <f t="shared" ca="1" si="283"/>
        <v>1</v>
      </c>
      <c r="J191" s="32">
        <f t="shared" ca="1" si="284"/>
        <v>0</v>
      </c>
      <c r="K191" s="38">
        <f t="shared" ca="1" si="285"/>
        <v>0</v>
      </c>
      <c r="L191" s="38">
        <f t="shared" ref="L191" ca="1" si="369">EXP(-G191*E191/(1-Recovery))</f>
        <v>0.943473445499592</v>
      </c>
      <c r="M191" s="33">
        <f t="shared" ca="1" si="281"/>
        <v>5.6526554500407999E-2</v>
      </c>
      <c r="N191" s="12"/>
      <c r="O191" s="12"/>
      <c r="P191" s="12"/>
      <c r="Q191" s="12"/>
      <c r="R191" s="12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</row>
    <row r="192" spans="2:110" x14ac:dyDescent="0.25">
      <c r="B192" s="121"/>
      <c r="C192" s="122"/>
      <c r="D192" s="122"/>
      <c r="E192" s="108">
        <f t="shared" si="309"/>
        <v>8.5500000000000043</v>
      </c>
      <c r="F192" s="118">
        <f t="shared" ref="F192" si="370">EXP(-IRate*E192)</f>
        <v>0.77375499455947228</v>
      </c>
      <c r="G192" s="36" cm="1">
        <f t="array" aca="1" ref="G192" ca="1">CubicSpline(Tenors,Spreads,E192)</f>
        <v>4.1226780483107376E-3</v>
      </c>
      <c r="H192" s="32" cm="1">
        <f t="array" aca="1" ref="H192" ca="1">IF(Method="CubicSpline",CubicSpline(Tenors,HRs,E192),FindHR(E192,Tenors,HRs,Method))</f>
        <v>0</v>
      </c>
      <c r="I192" s="36">
        <f t="shared" ca="1" si="283"/>
        <v>1</v>
      </c>
      <c r="J192" s="32">
        <f t="shared" ca="1" si="284"/>
        <v>0</v>
      </c>
      <c r="K192" s="38">
        <f t="shared" ca="1" si="285"/>
        <v>0</v>
      </c>
      <c r="L192" s="38">
        <f t="shared" ref="L192" ca="1" si="371">EXP(-G192*E192/(1-Recovery))</f>
        <v>0.94294420826361591</v>
      </c>
      <c r="M192" s="33">
        <f t="shared" ca="1" si="281"/>
        <v>5.7055791736384087E-2</v>
      </c>
      <c r="N192" s="12"/>
      <c r="O192" s="12"/>
      <c r="P192" s="12"/>
      <c r="Q192" s="12"/>
      <c r="R192" s="12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</row>
    <row r="193" spans="2:110" x14ac:dyDescent="0.25">
      <c r="B193" s="121"/>
      <c r="C193" s="122"/>
      <c r="D193" s="122"/>
      <c r="E193" s="108">
        <f t="shared" si="309"/>
        <v>8.600000000000005</v>
      </c>
      <c r="F193" s="118">
        <f t="shared" ref="F193" si="372">EXP(-IRate*E193)</f>
        <v>0.77259523210692793</v>
      </c>
      <c r="G193" s="36" cm="1">
        <f t="array" aca="1" ref="G193" ca="1">CubicSpline(Tenors,Spreads,E193)</f>
        <v>4.1378038433385568E-3</v>
      </c>
      <c r="H193" s="32" cm="1">
        <f t="array" aca="1" ref="H193" ca="1">IF(Method="CubicSpline",CubicSpline(Tenors,HRs,E193),FindHR(E193,Tenors,HRs,Method))</f>
        <v>0</v>
      </c>
      <c r="I193" s="36">
        <f t="shared" ca="1" si="283"/>
        <v>1</v>
      </c>
      <c r="J193" s="32">
        <f t="shared" ca="1" si="284"/>
        <v>0</v>
      </c>
      <c r="K193" s="38">
        <f t="shared" ca="1" si="285"/>
        <v>0</v>
      </c>
      <c r="L193" s="38">
        <f t="shared" ref="L193" ca="1" si="373">EXP(-G193*E193/(1-Recovery))</f>
        <v>0.94241596847215758</v>
      </c>
      <c r="M193" s="33">
        <f t="shared" ca="1" si="281"/>
        <v>5.7584031527842416E-2</v>
      </c>
      <c r="N193" s="12"/>
      <c r="O193" s="12"/>
      <c r="P193" s="12"/>
      <c r="Q193" s="12"/>
      <c r="R193" s="12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</row>
    <row r="194" spans="2:110" x14ac:dyDescent="0.25">
      <c r="B194" s="121"/>
      <c r="C194" s="122"/>
      <c r="D194" s="122"/>
      <c r="E194" s="108">
        <f t="shared" si="309"/>
        <v>8.6500000000000057</v>
      </c>
      <c r="F194" s="118">
        <f t="shared" ref="F194" si="374">EXP(-IRate*E194)</f>
        <v>0.77143720799398174</v>
      </c>
      <c r="G194" s="36" cm="1">
        <f t="array" aca="1" ref="G194" ca="1">CubicSpline(Tenors,Spreads,E194)</f>
        <v>4.1527069255150083E-3</v>
      </c>
      <c r="H194" s="32" cm="1">
        <f t="array" aca="1" ref="H194" ca="1">IF(Method="CubicSpline",CubicSpline(Tenors,HRs,E194),FindHR(E194,Tenors,HRs,Method))</f>
        <v>0</v>
      </c>
      <c r="I194" s="36">
        <f t="shared" ca="1" si="283"/>
        <v>1</v>
      </c>
      <c r="J194" s="32">
        <f t="shared" ca="1" si="284"/>
        <v>0</v>
      </c>
      <c r="K194" s="38">
        <f t="shared" ca="1" si="285"/>
        <v>0</v>
      </c>
      <c r="L194" s="38">
        <f t="shared" ref="L194" ca="1" si="375">EXP(-G194*E194/(1-Recovery))</f>
        <v>0.94188867432704149</v>
      </c>
      <c r="M194" s="33">
        <f t="shared" ca="1" si="281"/>
        <v>5.8111325672958514E-2</v>
      </c>
      <c r="N194" s="12"/>
      <c r="O194" s="12"/>
      <c r="P194" s="12"/>
      <c r="Q194" s="12"/>
      <c r="R194" s="12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</row>
    <row r="195" spans="2:110" x14ac:dyDescent="0.25">
      <c r="B195" s="121"/>
      <c r="C195" s="122"/>
      <c r="D195" s="122"/>
      <c r="E195" s="108">
        <f t="shared" si="309"/>
        <v>8.7000000000000064</v>
      </c>
      <c r="F195" s="118">
        <f t="shared" ref="F195" si="376">EXP(-IRate*E195)</f>
        <v>0.77028091961507905</v>
      </c>
      <c r="G195" s="36" cm="1">
        <f t="array" aca="1" ref="G195" ca="1">CubicSpline(Tenors,Spreads,E195)</f>
        <v>4.1673954837349739E-3</v>
      </c>
      <c r="H195" s="32" cm="1">
        <f t="array" aca="1" ref="H195" ca="1">IF(Method="CubicSpline",CubicSpline(Tenors,HRs,E195),FindHR(E195,Tenors,HRs,Method))</f>
        <v>0</v>
      </c>
      <c r="I195" s="36">
        <f t="shared" ca="1" si="283"/>
        <v>1</v>
      </c>
      <c r="J195" s="32">
        <f t="shared" ca="1" si="284"/>
        <v>0</v>
      </c>
      <c r="K195" s="38">
        <f t="shared" ca="1" si="285"/>
        <v>0</v>
      </c>
      <c r="L195" s="38">
        <f t="shared" ref="L195" ca="1" si="377">EXP(-G195*E195/(1-Recovery))</f>
        <v>0.94136226520887811</v>
      </c>
      <c r="M195" s="33">
        <f t="shared" ca="1" si="281"/>
        <v>5.8637734791121887E-2</v>
      </c>
      <c r="N195" s="12"/>
      <c r="O195" s="12"/>
      <c r="P195" s="12"/>
      <c r="Q195" s="12"/>
      <c r="R195" s="12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</row>
    <row r="196" spans="2:110" x14ac:dyDescent="0.25">
      <c r="B196" s="121"/>
      <c r="C196" s="122"/>
      <c r="D196" s="122"/>
      <c r="E196" s="108">
        <f t="shared" si="309"/>
        <v>8.7500000000000071</v>
      </c>
      <c r="F196" s="118">
        <f t="shared" ref="F196" si="378">EXP(-IRate*E196)</f>
        <v>0.7691263643685704</v>
      </c>
      <c r="G196" s="36" cm="1">
        <f t="array" aca="1" ref="G196" ca="1">CubicSpline(Tenors,Spreads,E196)</f>
        <v>4.1818772278696724E-3</v>
      </c>
      <c r="H196" s="32" cm="1">
        <f t="array" aca="1" ref="H196" ca="1">IF(Method="CubicSpline",CubicSpline(Tenors,HRs,E196),FindHR(E196,Tenors,HRs,Method))</f>
        <v>0</v>
      </c>
      <c r="I196" s="36">
        <f t="shared" ca="1" si="283"/>
        <v>1</v>
      </c>
      <c r="J196" s="32">
        <f t="shared" ca="1" si="284"/>
        <v>0</v>
      </c>
      <c r="K196" s="38">
        <f t="shared" ca="1" si="285"/>
        <v>0</v>
      </c>
      <c r="L196" s="38">
        <f t="shared" ref="L196" ca="1" si="379">EXP(-G196*E196/(1-Recovery))</f>
        <v>0.94083668463781023</v>
      </c>
      <c r="M196" s="33">
        <f t="shared" ca="1" si="281"/>
        <v>5.9163315362189772E-2</v>
      </c>
      <c r="N196" s="12"/>
      <c r="O196" s="12"/>
      <c r="P196" s="12"/>
      <c r="Q196" s="12"/>
      <c r="R196" s="12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</row>
    <row r="197" spans="2:110" x14ac:dyDescent="0.25">
      <c r="B197" s="121"/>
      <c r="C197" s="122"/>
      <c r="D197" s="122"/>
      <c r="E197" s="108">
        <f t="shared" si="309"/>
        <v>8.8000000000000078</v>
      </c>
      <c r="F197" s="118">
        <f t="shared" ref="F197" si="380">EXP(-IRate*E197)</f>
        <v>0.76797353965670601</v>
      </c>
      <c r="G197" s="36" cm="1">
        <f t="array" aca="1" ref="G197" ca="1">CubicSpline(Tenors,Spreads,E197)</f>
        <v>4.1961603483208071E-3</v>
      </c>
      <c r="H197" s="32" cm="1">
        <f t="array" aca="1" ref="H197" ca="1">IF(Method="CubicSpline",CubicSpline(Tenors,HRs,E197),FindHR(E197,Tenors,HRs,Method))</f>
        <v>0</v>
      </c>
      <c r="I197" s="36">
        <f t="shared" ca="1" si="283"/>
        <v>1</v>
      </c>
      <c r="J197" s="32">
        <f t="shared" ca="1" si="284"/>
        <v>0</v>
      </c>
      <c r="K197" s="38">
        <f t="shared" ca="1" si="285"/>
        <v>0</v>
      </c>
      <c r="L197" s="38">
        <f t="shared" ref="L197" ca="1" si="381">EXP(-G197*E197/(1-Recovery))</f>
        <v>0.94031186721603921</v>
      </c>
      <c r="M197" s="33">
        <f t="shared" ca="1" si="281"/>
        <v>5.968813278396079E-2</v>
      </c>
      <c r="N197" s="12"/>
      <c r="O197" s="12"/>
      <c r="P197" s="12"/>
      <c r="Q197" s="12"/>
      <c r="R197" s="12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</row>
    <row r="198" spans="2:110" x14ac:dyDescent="0.25">
      <c r="B198" s="121"/>
      <c r="C198" s="122"/>
      <c r="D198" s="122"/>
      <c r="E198" s="108">
        <f t="shared" si="309"/>
        <v>8.8500000000000085</v>
      </c>
      <c r="F198" s="118">
        <f t="shared" ref="F198" si="382">EXP(-IRate*E198)</f>
        <v>0.76682244288562984</v>
      </c>
      <c r="G198" s="36" cm="1">
        <f t="array" aca="1" ref="G198" ca="1">CubicSpline(Tenors,Spreads,E198)</f>
        <v>4.2102525535096342E-3</v>
      </c>
      <c r="H198" s="32" cm="1">
        <f t="array" aca="1" ref="H198" ca="1">IF(Method="CubicSpline",CubicSpline(Tenors,HRs,E198),FindHR(E198,Tenors,HRs,Method))</f>
        <v>0</v>
      </c>
      <c r="I198" s="36">
        <f t="shared" ca="1" si="283"/>
        <v>1</v>
      </c>
      <c r="J198" s="32">
        <f t="shared" ca="1" si="284"/>
        <v>0</v>
      </c>
      <c r="K198" s="38">
        <f t="shared" ca="1" si="285"/>
        <v>0</v>
      </c>
      <c r="L198" s="38">
        <f t="shared" ref="L198" ca="1" si="383">EXP(-G198*E198/(1-Recovery))</f>
        <v>0.93978775180659002</v>
      </c>
      <c r="M198" s="33">
        <f t="shared" ca="1" si="281"/>
        <v>6.0212248193409978E-2</v>
      </c>
      <c r="N198" s="12"/>
      <c r="O198" s="12"/>
      <c r="P198" s="12"/>
      <c r="Q198" s="12"/>
      <c r="R198" s="12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</row>
    <row r="199" spans="2:110" x14ac:dyDescent="0.25">
      <c r="B199" s="121"/>
      <c r="C199" s="122"/>
      <c r="D199" s="122"/>
      <c r="E199" s="108">
        <f t="shared" si="309"/>
        <v>8.9000000000000092</v>
      </c>
      <c r="F199" s="118">
        <f t="shared" ref="F199" si="384">EXP(-IRate*E199)</f>
        <v>0.76567307146537367</v>
      </c>
      <c r="G199" s="36" cm="1">
        <f t="array" aca="1" ref="G199" ca="1">CubicSpline(Tenors,Spreads,E199)</f>
        <v>4.2241620352309562E-3</v>
      </c>
      <c r="H199" s="32" cm="1">
        <f t="array" aca="1" ref="H199" ca="1">IF(Method="CubicSpline",CubicSpline(Tenors,HRs,E199),FindHR(E199,Tenors,HRs,Method))</f>
        <v>0</v>
      </c>
      <c r="I199" s="36">
        <f t="shared" ca="1" si="283"/>
        <v>1</v>
      </c>
      <c r="J199" s="32">
        <f t="shared" ca="1" si="284"/>
        <v>0</v>
      </c>
      <c r="K199" s="38">
        <f t="shared" ca="1" si="285"/>
        <v>0</v>
      </c>
      <c r="L199" s="38">
        <f t="shared" ref="L199" ca="1" si="385">EXP(-G199*E199/(1-Recovery))</f>
        <v>0.93926426826025844</v>
      </c>
      <c r="M199" s="33">
        <f t="shared" ca="1" si="281"/>
        <v>6.0735731739741561E-2</v>
      </c>
      <c r="N199" s="12"/>
      <c r="O199" s="12"/>
      <c r="P199" s="12"/>
      <c r="Q199" s="12"/>
      <c r="R199" s="12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</row>
    <row r="200" spans="2:110" x14ac:dyDescent="0.25">
      <c r="B200" s="121"/>
      <c r="C200" s="122"/>
      <c r="D200" s="122"/>
      <c r="E200" s="108">
        <f t="shared" si="309"/>
        <v>8.9500000000000099</v>
      </c>
      <c r="F200" s="118">
        <f t="shared" ref="F200" si="386">EXP(-IRate*E200)</f>
        <v>0.76452542280985136</v>
      </c>
      <c r="G200" s="36" cm="1">
        <f t="array" aca="1" ref="G200" ca="1">CubicSpline(Tenors,Spreads,E200)</f>
        <v>4.2378965005697945E-3</v>
      </c>
      <c r="H200" s="32" cm="1">
        <f t="array" aca="1" ref="H200" ca="1">IF(Method="CubicSpline",CubicSpline(Tenors,HRs,E200),FindHR(E200,Tenors,HRs,Method))</f>
        <v>0</v>
      </c>
      <c r="I200" s="36">
        <f t="shared" ca="1" si="283"/>
        <v>1</v>
      </c>
      <c r="J200" s="32">
        <f t="shared" ca="1" si="284"/>
        <v>0</v>
      </c>
      <c r="K200" s="38">
        <f t="shared" ca="1" si="285"/>
        <v>0</v>
      </c>
      <c r="L200" s="38">
        <f t="shared" ref="L200" ca="1" si="387">EXP(-G200*E200/(1-Recovery))</f>
        <v>0.93874135080754095</v>
      </c>
      <c r="M200" s="33">
        <f t="shared" ca="1" si="281"/>
        <v>6.1258649192459047E-2</v>
      </c>
      <c r="N200" s="12"/>
      <c r="O200" s="12"/>
      <c r="P200" s="12"/>
      <c r="Q200" s="12"/>
      <c r="R200" s="12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</row>
    <row r="201" spans="2:110" x14ac:dyDescent="0.25">
      <c r="B201" s="121"/>
      <c r="C201" s="122"/>
      <c r="D201" s="122"/>
      <c r="E201" s="108">
        <f t="shared" si="309"/>
        <v>9.0000000000000107</v>
      </c>
      <c r="F201" s="118">
        <f t="shared" ref="F201" si="388">EXP(-IRate*E201)</f>
        <v>0.76337949433685293</v>
      </c>
      <c r="G201" s="36" cm="1">
        <f t="array" aca="1" ref="G201" ca="1">CubicSpline(Tenors,Spreads,E201)</f>
        <v>4.2514641426003247E-3</v>
      </c>
      <c r="H201" s="32" cm="1">
        <f t="array" aca="1" ref="H201" ca="1">IF(Method="CubicSpline",CubicSpline(Tenors,HRs,E201),FindHR(E201,Tenors,HRs,Method))</f>
        <v>0</v>
      </c>
      <c r="I201" s="36">
        <f t="shared" ca="1" si="283"/>
        <v>1</v>
      </c>
      <c r="J201" s="32">
        <f t="shared" ca="1" si="284"/>
        <v>0</v>
      </c>
      <c r="K201" s="38">
        <f t="shared" ca="1" si="285"/>
        <v>0</v>
      </c>
      <c r="L201" s="38">
        <f t="shared" ref="L201" ca="1" si="389">EXP(-G201*E201/(1-Recovery))</f>
        <v>0.93821892457500289</v>
      </c>
      <c r="M201" s="33">
        <f t="shared" ca="1" si="281"/>
        <v>6.1781075424997112E-2</v>
      </c>
      <c r="N201" s="12"/>
      <c r="O201" s="12"/>
      <c r="P201" s="12"/>
      <c r="Q201" s="12"/>
      <c r="R201" s="12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</row>
    <row r="202" spans="2:110" x14ac:dyDescent="0.25">
      <c r="B202" s="121"/>
      <c r="C202" s="122"/>
      <c r="D202" s="122"/>
      <c r="E202" s="108">
        <f t="shared" si="309"/>
        <v>9.0500000000000114</v>
      </c>
      <c r="F202" s="118">
        <f t="shared" ref="F202" si="390">EXP(-IRate*E202)</f>
        <v>0.76223528346803882</v>
      </c>
      <c r="G202" s="36" cm="1">
        <f t="array" aca="1" ref="G202" ca="1">CubicSpline(Tenors,Spreads,E202)</f>
        <v>4.2648726671850549E-3</v>
      </c>
      <c r="H202" s="32" cm="1">
        <f t="array" aca="1" ref="H202" ca="1">IF(Method="CubicSpline",CubicSpline(Tenors,HRs,E202),FindHR(E202,Tenors,HRs,Method))</f>
        <v>0</v>
      </c>
      <c r="I202" s="36">
        <f t="shared" ca="1" si="283"/>
        <v>1</v>
      </c>
      <c r="J202" s="32">
        <f t="shared" ca="1" si="284"/>
        <v>0</v>
      </c>
      <c r="K202" s="38">
        <f t="shared" ca="1" si="285"/>
        <v>0</v>
      </c>
      <c r="L202" s="38">
        <f t="shared" ref="L202" ca="1" si="391">EXP(-G202*E202/(1-Recovery))</f>
        <v>0.93769691918531861</v>
      </c>
      <c r="M202" s="33">
        <f t="shared" ca="1" si="281"/>
        <v>6.2303080814681389E-2</v>
      </c>
      <c r="N202" s="12"/>
      <c r="O202" s="12"/>
      <c r="P202" s="12"/>
      <c r="Q202" s="12"/>
      <c r="R202" s="12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</row>
    <row r="203" spans="2:110" x14ac:dyDescent="0.25">
      <c r="B203" s="121"/>
      <c r="C203" s="122"/>
      <c r="D203" s="122"/>
      <c r="E203" s="108">
        <f t="shared" si="309"/>
        <v>9.1000000000000121</v>
      </c>
      <c r="F203" s="118">
        <f t="shared" ref="F203" si="392">EXP(-IRate*E203)</f>
        <v>0.76109278762893406</v>
      </c>
      <c r="G203" s="36" cm="1">
        <f t="array" aca="1" ref="G203" ca="1">CubicSpline(Tenors,Spreads,E203)</f>
        <v>4.2781302685638142E-3</v>
      </c>
      <c r="H203" s="32" cm="1">
        <f t="array" aca="1" ref="H203" ca="1">IF(Method="CubicSpline",CubicSpline(Tenors,HRs,E203),FindHR(E203,Tenors,HRs,Method))</f>
        <v>0</v>
      </c>
      <c r="I203" s="36">
        <f t="shared" ca="1" si="283"/>
        <v>1</v>
      </c>
      <c r="J203" s="32">
        <f t="shared" ca="1" si="284"/>
        <v>0</v>
      </c>
      <c r="K203" s="38">
        <f t="shared" ca="1" si="285"/>
        <v>0</v>
      </c>
      <c r="L203" s="38">
        <f t="shared" ref="L203" ca="1" si="393">EXP(-G203*E203/(1-Recovery))</f>
        <v>0.93717525506826749</v>
      </c>
      <c r="M203" s="33">
        <f t="shared" ca="1" si="281"/>
        <v>6.2824744931732512E-2</v>
      </c>
      <c r="N203" s="12"/>
      <c r="O203" s="12"/>
      <c r="P203" s="12"/>
      <c r="Q203" s="12"/>
      <c r="R203" s="12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</row>
    <row r="204" spans="2:110" x14ac:dyDescent="0.25">
      <c r="B204" s="121"/>
      <c r="C204" s="122"/>
      <c r="D204" s="122"/>
      <c r="E204" s="108">
        <f t="shared" si="309"/>
        <v>9.1500000000000128</v>
      </c>
      <c r="F204" s="118">
        <f t="shared" ref="F204" si="394">EXP(-IRate*E204)</f>
        <v>0.75995200424892251</v>
      </c>
      <c r="G204" s="36" cm="1">
        <f t="array" aca="1" ref="G204" ca="1">CubicSpline(Tenors,Spreads,E204)</f>
        <v>4.2912446514903162E-3</v>
      </c>
      <c r="H204" s="32" cm="1">
        <f t="array" aca="1" ref="H204" ca="1">IF(Method="CubicSpline",CubicSpline(Tenors,HRs,E204),FindHR(E204,Tenors,HRs,Method))</f>
        <v>0</v>
      </c>
      <c r="I204" s="36">
        <f t="shared" ca="1" si="283"/>
        <v>1</v>
      </c>
      <c r="J204" s="32">
        <f t="shared" ca="1" si="284"/>
        <v>0</v>
      </c>
      <c r="K204" s="38">
        <f t="shared" ca="1" si="285"/>
        <v>0</v>
      </c>
      <c r="L204" s="38">
        <f t="shared" ref="L204" ca="1" si="395">EXP(-G204*E204/(1-Recovery))</f>
        <v>0.93665385726362516</v>
      </c>
      <c r="M204" s="33">
        <f t="shared" ca="1" si="281"/>
        <v>6.3346142736374844E-2</v>
      </c>
      <c r="N204" s="12"/>
      <c r="O204" s="12"/>
      <c r="P204" s="12"/>
      <c r="Q204" s="12"/>
      <c r="R204" s="12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</row>
    <row r="205" spans="2:110" x14ac:dyDescent="0.25">
      <c r="B205" s="121"/>
      <c r="C205" s="122"/>
      <c r="D205" s="122"/>
      <c r="E205" s="108">
        <f t="shared" si="309"/>
        <v>9.2000000000000135</v>
      </c>
      <c r="F205" s="118">
        <f t="shared" ref="F205" si="396">EXP(-IRate*E205)</f>
        <v>0.75881293076124112</v>
      </c>
      <c r="G205" s="36" cm="1">
        <f t="array" aca="1" ref="G205" ca="1">CubicSpline(Tenors,Spreads,E205)</f>
        <v>4.3042240112563255E-3</v>
      </c>
      <c r="H205" s="32" cm="1">
        <f t="array" aca="1" ref="H205" ca="1">IF(Method="CubicSpline",CubicSpline(Tenors,HRs,E205),FindHR(E205,Tenors,HRs,Method))</f>
        <v>0</v>
      </c>
      <c r="I205" s="36">
        <f t="shared" ca="1" si="283"/>
        <v>1</v>
      </c>
      <c r="J205" s="32">
        <f t="shared" ca="1" si="284"/>
        <v>0</v>
      </c>
      <c r="K205" s="38">
        <f t="shared" ca="1" si="285"/>
        <v>0</v>
      </c>
      <c r="L205" s="38">
        <f t="shared" ref="L205" ca="1" si="397">EXP(-G205*E205/(1-Recovery))</f>
        <v>0.9361326415322001</v>
      </c>
      <c r="M205" s="33">
        <f t="shared" ca="1" si="281"/>
        <v>6.3867358467799895E-2</v>
      </c>
      <c r="N205" s="12"/>
      <c r="O205" s="12"/>
      <c r="P205" s="12"/>
      <c r="Q205" s="12"/>
      <c r="R205" s="12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</row>
    <row r="206" spans="2:110" x14ac:dyDescent="0.25">
      <c r="B206" s="121"/>
      <c r="C206" s="122"/>
      <c r="D206" s="122"/>
      <c r="E206" s="108">
        <f t="shared" si="309"/>
        <v>9.2500000000000142</v>
      </c>
      <c r="F206" s="118">
        <f t="shared" ref="F206" si="398">EXP(-IRate*E206)</f>
        <v>0.75767556460297403</v>
      </c>
      <c r="G206" s="36" cm="1">
        <f t="array" aca="1" ref="G206" ca="1">CubicSpline(Tenors,Spreads,E206)</f>
        <v>4.3170760516204826E-3</v>
      </c>
      <c r="H206" s="32" cm="1">
        <f t="array" aca="1" ref="H206" ca="1">IF(Method="CubicSpline",CubicSpline(Tenors,HRs,E206),FindHR(E206,Tenors,HRs,Method))</f>
        <v>0</v>
      </c>
      <c r="I206" s="36">
        <f t="shared" ca="1" si="283"/>
        <v>1</v>
      </c>
      <c r="J206" s="32">
        <f t="shared" ca="1" si="284"/>
        <v>0</v>
      </c>
      <c r="K206" s="38">
        <f t="shared" ca="1" si="285"/>
        <v>0</v>
      </c>
      <c r="L206" s="38">
        <f t="shared" ref="L206" ca="1" si="399">EXP(-G206*E206/(1-Recovery))</f>
        <v>0.93561152835611527</v>
      </c>
      <c r="M206" s="33">
        <f t="shared" ca="1" si="281"/>
        <v>6.4388471643884726E-2</v>
      </c>
      <c r="N206" s="12"/>
      <c r="O206" s="12"/>
      <c r="P206" s="12"/>
      <c r="Q206" s="12"/>
      <c r="R206" s="12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</row>
    <row r="207" spans="2:110" x14ac:dyDescent="0.25">
      <c r="B207" s="121"/>
      <c r="C207" s="122"/>
      <c r="D207" s="122"/>
      <c r="E207" s="108">
        <f t="shared" si="309"/>
        <v>9.3000000000000149</v>
      </c>
      <c r="F207" s="118">
        <f t="shared" ref="F207" si="400">EXP(-IRate*E207)</f>
        <v>0.75653990321504705</v>
      </c>
      <c r="G207" s="36" cm="1">
        <f t="array" aca="1" ref="G207" ca="1">CubicSpline(Tenors,Spreads,E207)</f>
        <v>4.329808907037061E-3</v>
      </c>
      <c r="H207" s="32" cm="1">
        <f t="array" aca="1" ref="H207" ca="1">IF(Method="CubicSpline",CubicSpline(Tenors,HRs,E207),FindHR(E207,Tenors,HRs,Method))</f>
        <v>0</v>
      </c>
      <c r="I207" s="36">
        <f t="shared" ca="1" si="283"/>
        <v>1</v>
      </c>
      <c r="J207" s="32">
        <f t="shared" ca="1" si="284"/>
        <v>0</v>
      </c>
      <c r="K207" s="38">
        <f t="shared" ca="1" si="285"/>
        <v>0</v>
      </c>
      <c r="L207" s="38">
        <f t="shared" ref="L207" ca="1" si="401">EXP(-G207*E207/(1-Recovery))</f>
        <v>0.93509042975087509</v>
      </c>
      <c r="M207" s="33">
        <f t="shared" ca="1" si="281"/>
        <v>6.4909570249124915E-2</v>
      </c>
      <c r="N207" s="12"/>
      <c r="O207" s="12"/>
      <c r="P207" s="12"/>
      <c r="Q207" s="12"/>
      <c r="R207" s="12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</row>
    <row r="208" spans="2:110" x14ac:dyDescent="0.25">
      <c r="B208" s="121"/>
      <c r="C208" s="122"/>
      <c r="D208" s="122"/>
      <c r="E208" s="108">
        <f t="shared" si="309"/>
        <v>9.3500000000000156</v>
      </c>
      <c r="F208" s="118">
        <f t="shared" ref="F208" si="402">EXP(-IRate*E208)</f>
        <v>0.75540594404222139</v>
      </c>
      <c r="G208" s="36" cm="1">
        <f t="array" aca="1" ref="G208" ca="1">CubicSpline(Tenors,Spreads,E208)</f>
        <v>4.3424304657104541E-3</v>
      </c>
      <c r="H208" s="32" cm="1">
        <f t="array" aca="1" ref="H208" ca="1">IF(Method="CubicSpline",CubicSpline(Tenors,HRs,E208),FindHR(E208,Tenors,HRs,Method))</f>
        <v>0</v>
      </c>
      <c r="I208" s="36">
        <f t="shared" ca="1" si="283"/>
        <v>1</v>
      </c>
      <c r="J208" s="32">
        <f t="shared" ca="1" si="284"/>
        <v>0</v>
      </c>
      <c r="K208" s="38">
        <f t="shared" ca="1" si="285"/>
        <v>0</v>
      </c>
      <c r="L208" s="38">
        <f t="shared" ref="L208" ca="1" si="403">EXP(-G208*E208/(1-Recovery))</f>
        <v>0.93456925898051846</v>
      </c>
      <c r="M208" s="33">
        <f t="shared" ca="1" si="281"/>
        <v>6.5430741019481542E-2</v>
      </c>
      <c r="N208" s="12"/>
      <c r="O208" s="12"/>
      <c r="P208" s="12"/>
      <c r="Q208" s="12"/>
      <c r="R208" s="12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</row>
    <row r="209" spans="2:110" x14ac:dyDescent="0.25">
      <c r="B209" s="121"/>
      <c r="C209" s="122"/>
      <c r="D209" s="122"/>
      <c r="E209" s="108">
        <f t="shared" si="309"/>
        <v>9.4000000000000163</v>
      </c>
      <c r="F209" s="118">
        <f t="shared" ref="F209" si="404">EXP(-IRate*E209)</f>
        <v>0.75427368453308863</v>
      </c>
      <c r="G209" s="36" cm="1">
        <f t="array" aca="1" ref="G209" ca="1">CubicSpline(Tenors,Spreads,E209)</f>
        <v>4.3549486774075242E-3</v>
      </c>
      <c r="H209" s="32" cm="1">
        <f t="array" aca="1" ref="H209" ca="1">IF(Method="CubicSpline",CubicSpline(Tenors,HRs,E209),FindHR(E209,Tenors,HRs,Method))</f>
        <v>0</v>
      </c>
      <c r="I209" s="36">
        <f t="shared" ca="1" si="283"/>
        <v>1</v>
      </c>
      <c r="J209" s="32">
        <f t="shared" ca="1" si="284"/>
        <v>0</v>
      </c>
      <c r="K209" s="38">
        <f t="shared" ca="1" si="285"/>
        <v>0</v>
      </c>
      <c r="L209" s="38">
        <f t="shared" ref="L209" ca="1" si="405">EXP(-G209*E209/(1-Recovery))</f>
        <v>0.9340479261462018</v>
      </c>
      <c r="M209" s="33">
        <f t="shared" ca="1" si="281"/>
        <v>6.5952073853798199E-2</v>
      </c>
      <c r="N209" s="12"/>
      <c r="O209" s="12"/>
      <c r="P209" s="12"/>
      <c r="Q209" s="12"/>
      <c r="R209" s="12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</row>
    <row r="210" spans="2:110" x14ac:dyDescent="0.25">
      <c r="B210" s="121"/>
      <c r="C210" s="122"/>
      <c r="D210" s="122"/>
      <c r="E210" s="108">
        <f t="shared" si="309"/>
        <v>9.4500000000000171</v>
      </c>
      <c r="F210" s="118">
        <f t="shared" ref="F210" si="406">EXP(-IRate*E210)</f>
        <v>0.75314312214006418</v>
      </c>
      <c r="G210" s="36" cm="1">
        <f t="array" aca="1" ref="G210" ca="1">CubicSpline(Tenors,Spreads,E210)</f>
        <v>4.3673714918951332E-3</v>
      </c>
      <c r="H210" s="32" cm="1">
        <f t="array" aca="1" ref="H210" ca="1">IF(Method="CubicSpline",CubicSpline(Tenors,HRs,E210),FindHR(E210,Tenors,HRs,Method))</f>
        <v>0</v>
      </c>
      <c r="I210" s="36">
        <f t="shared" ca="1" si="283"/>
        <v>1</v>
      </c>
      <c r="J210" s="32">
        <f t="shared" ca="1" si="284"/>
        <v>0</v>
      </c>
      <c r="K210" s="38">
        <f t="shared" ca="1" si="285"/>
        <v>0</v>
      </c>
      <c r="L210" s="38">
        <f t="shared" ref="L210" ca="1" si="407">EXP(-G210*E210/(1-Recovery))</f>
        <v>0.93352633907688787</v>
      </c>
      <c r="M210" s="33">
        <f t="shared" ca="1" si="281"/>
        <v>6.6473660923112132E-2</v>
      </c>
      <c r="N210" s="12"/>
      <c r="O210" s="12"/>
      <c r="P210" s="12"/>
      <c r="Q210" s="12"/>
      <c r="R210" s="12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</row>
    <row r="211" spans="2:110" x14ac:dyDescent="0.25">
      <c r="B211" s="121"/>
      <c r="C211" s="122"/>
      <c r="D211" s="122"/>
      <c r="E211" s="108">
        <f t="shared" si="309"/>
        <v>9.5000000000000178</v>
      </c>
      <c r="F211" s="118">
        <f t="shared" ref="F211" si="408">EXP(-IRate*E211)</f>
        <v>0.75201425431938218</v>
      </c>
      <c r="G211" s="36" cm="1">
        <f t="array" aca="1" ref="G211" ca="1">CubicSpline(Tenors,Spreads,E211)</f>
        <v>4.3797068589401453E-3</v>
      </c>
      <c r="H211" s="32" cm="1">
        <f t="array" aca="1" ref="H211" ca="1">IF(Method="CubicSpline",CubicSpline(Tenors,HRs,E211),FindHR(E211,Tenors,HRs,Method))</f>
        <v>0</v>
      </c>
      <c r="I211" s="36">
        <f t="shared" ca="1" si="283"/>
        <v>1</v>
      </c>
      <c r="J211" s="32">
        <f t="shared" ca="1" si="284"/>
        <v>0</v>
      </c>
      <c r="K211" s="38">
        <f t="shared" ca="1" si="285"/>
        <v>0</v>
      </c>
      <c r="L211" s="38">
        <f t="shared" ref="L211" ca="1" si="409">EXP(-G211*E211/(1-Recovery))</f>
        <v>0.93300440333645951</v>
      </c>
      <c r="M211" s="33">
        <f t="shared" ca="1" si="281"/>
        <v>6.6995596663540491E-2</v>
      </c>
      <c r="N211" s="12"/>
      <c r="O211" s="12"/>
      <c r="P211" s="12"/>
      <c r="Q211" s="12"/>
      <c r="R211" s="12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</row>
    <row r="212" spans="2:110" x14ac:dyDescent="0.25">
      <c r="B212" s="121"/>
      <c r="C212" s="122"/>
      <c r="D212" s="122"/>
      <c r="E212" s="108">
        <f t="shared" si="309"/>
        <v>9.5500000000000185</v>
      </c>
      <c r="F212" s="118">
        <f t="shared" ref="F212" si="410">EXP(-IRate*E212)</f>
        <v>0.75088707853108982</v>
      </c>
      <c r="G212" s="36" cm="1">
        <f t="array" aca="1" ref="G212" ca="1">CubicSpline(Tenors,Spreads,E212)</f>
        <v>4.3919627283094224E-3</v>
      </c>
      <c r="H212" s="32" cm="1">
        <f t="array" aca="1" ref="H212" ca="1">IF(Method="CubicSpline",CubicSpline(Tenors,HRs,E212),FindHR(E212,Tenors,HRs,Method))</f>
        <v>0</v>
      </c>
      <c r="I212" s="36">
        <f t="shared" ca="1" si="283"/>
        <v>1</v>
      </c>
      <c r="J212" s="32">
        <f t="shared" ca="1" si="284"/>
        <v>0</v>
      </c>
      <c r="K212" s="38">
        <f t="shared" ca="1" si="285"/>
        <v>0</v>
      </c>
      <c r="L212" s="38">
        <f t="shared" ref="L212" ca="1" si="411">EXP(-G212*E212/(1-Recovery))</f>
        <v>0.93248202223093746</v>
      </c>
      <c r="M212" s="33">
        <f t="shared" ca="1" si="281"/>
        <v>6.7517977769062543E-2</v>
      </c>
      <c r="N212" s="12"/>
      <c r="O212" s="12"/>
      <c r="P212" s="12"/>
      <c r="Q212" s="12"/>
      <c r="R212" s="12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</row>
    <row r="213" spans="2:110" x14ac:dyDescent="0.25">
      <c r="B213" s="121"/>
      <c r="C213" s="122"/>
      <c r="D213" s="122"/>
      <c r="E213" s="108">
        <f t="shared" si="309"/>
        <v>9.6000000000000192</v>
      </c>
      <c r="F213" s="118">
        <f t="shared" ref="F213" si="412">EXP(-IRate*E213)</f>
        <v>0.74976159223904082</v>
      </c>
      <c r="G213" s="36" cm="1">
        <f t="array" aca="1" ref="G213" ca="1">CubicSpline(Tenors,Spreads,E213)</f>
        <v>4.4041470497698252E-3</v>
      </c>
      <c r="H213" s="32" cm="1">
        <f t="array" aca="1" ref="H213" ca="1">IF(Method="CubicSpline",CubicSpline(Tenors,HRs,E213),FindHR(E213,Tenors,HRs,Method))</f>
        <v>0</v>
      </c>
      <c r="I213" s="36">
        <f t="shared" ca="1" si="283"/>
        <v>1</v>
      </c>
      <c r="J213" s="32">
        <f t="shared" ca="1" si="284"/>
        <v>0</v>
      </c>
      <c r="K213" s="38">
        <f t="shared" ca="1" si="285"/>
        <v>0</v>
      </c>
      <c r="L213" s="38">
        <f t="shared" ref="L213" ca="1" si="413">EXP(-G213*E213/(1-Recovery))</f>
        <v>0.93195909681580924</v>
      </c>
      <c r="M213" s="33">
        <f t="shared" ref="M213:M220" ca="1" si="414">1-L213</f>
        <v>6.804090318419076E-2</v>
      </c>
      <c r="N213" s="12"/>
      <c r="O213" s="12"/>
      <c r="P213" s="12"/>
      <c r="Q213" s="12"/>
      <c r="R213" s="12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</row>
    <row r="214" spans="2:110" x14ac:dyDescent="0.25">
      <c r="B214" s="121"/>
      <c r="C214" s="122"/>
      <c r="D214" s="122"/>
      <c r="E214" s="108">
        <f t="shared" si="309"/>
        <v>9.6500000000000199</v>
      </c>
      <c r="F214" s="118">
        <f t="shared" ref="F214" si="415">EXP(-IRate*E214)</f>
        <v>0.74863779291089083</v>
      </c>
      <c r="G214" s="36" cm="1">
        <f t="array" aca="1" ref="G214" ca="1">CubicSpline(Tenors,Spreads,E214)</f>
        <v>4.4162677419391652E-3</v>
      </c>
      <c r="H214" s="32" cm="1">
        <f t="array" aca="1" ref="H214" ca="1">IF(Method="CubicSpline",CubicSpline(Tenors,HRs,E214),FindHR(E214,Tenors,HRs,Method))</f>
        <v>0</v>
      </c>
      <c r="I214" s="36">
        <f t="shared" ref="I214:I221" ca="1" si="416">EXP(-H214*(E214-E213))*I213</f>
        <v>1</v>
      </c>
      <c r="J214" s="32">
        <f t="shared" ref="J214:J221" ca="1" si="417">1-I214</f>
        <v>0</v>
      </c>
      <c r="K214" s="38">
        <f t="shared" ref="K214:K221" ca="1" si="418">I213-I214</f>
        <v>0</v>
      </c>
      <c r="L214" s="38">
        <f t="shared" ref="L214" ca="1" si="419">EXP(-G214*E214/(1-Recovery))</f>
        <v>0.93143552637010973</v>
      </c>
      <c r="M214" s="33">
        <f t="shared" ca="1" si="414"/>
        <v>6.8564473629890266E-2</v>
      </c>
      <c r="N214" s="12"/>
      <c r="O214" s="12"/>
      <c r="P214" s="12"/>
      <c r="Q214" s="12"/>
      <c r="R214" s="12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</row>
    <row r="215" spans="2:110" x14ac:dyDescent="0.25">
      <c r="B215" s="121"/>
      <c r="C215" s="122"/>
      <c r="D215" s="122"/>
      <c r="E215" s="108">
        <f t="shared" si="309"/>
        <v>9.7000000000000206</v>
      </c>
      <c r="F215" s="118">
        <f t="shared" ref="F215" si="420">EXP(-IRate*E215)</f>
        <v>0.7475156780180906</v>
      </c>
      <c r="G215" s="36" cm="1">
        <f t="array" aca="1" ref="G215" ca="1">CubicSpline(Tenors,Spreads,E215)</f>
        <v>4.4283328168593147E-3</v>
      </c>
      <c r="H215" s="32" cm="1">
        <f t="array" aca="1" ref="H215" ca="1">IF(Method="CubicSpline",CubicSpline(Tenors,HRs,E215),FindHR(E215,Tenors,HRs,Method))</f>
        <v>0</v>
      </c>
      <c r="I215" s="36">
        <f t="shared" ca="1" si="416"/>
        <v>1</v>
      </c>
      <c r="J215" s="32">
        <f t="shared" ca="1" si="417"/>
        <v>0</v>
      </c>
      <c r="K215" s="38">
        <f t="shared" ca="1" si="418"/>
        <v>0</v>
      </c>
      <c r="L215" s="38">
        <f t="shared" ref="L215" ca="1" si="421">EXP(-G215*E215/(1-Recovery))</f>
        <v>0.93091120653997661</v>
      </c>
      <c r="M215" s="33">
        <f t="shared" ca="1" si="414"/>
        <v>6.908879346002339E-2</v>
      </c>
      <c r="N215" s="12"/>
      <c r="O215" s="12"/>
      <c r="P215" s="12"/>
      <c r="Q215" s="12"/>
      <c r="R215" s="12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</row>
    <row r="216" spans="2:110" x14ac:dyDescent="0.25">
      <c r="B216" s="121"/>
      <c r="C216" s="122"/>
      <c r="D216" s="122"/>
      <c r="E216" s="108">
        <f t="shared" si="309"/>
        <v>9.7500000000000213</v>
      </c>
      <c r="F216" s="118">
        <f t="shared" ref="F216" si="422">EXP(-IRate*E216)</f>
        <v>0.74639524503588128</v>
      </c>
      <c r="G216" s="36" cm="1">
        <f t="array" aca="1" ref="G216" ca="1">CubicSpline(Tenors,Spreads,E216)</f>
        <v>4.4403501931747323E-3</v>
      </c>
      <c r="H216" s="32" cm="1">
        <f t="array" aca="1" ref="H216" ca="1">IF(Method="CubicSpline",CubicSpline(Tenors,HRs,E216),FindHR(E216,Tenors,HRs,Method))</f>
        <v>0</v>
      </c>
      <c r="I216" s="36">
        <f t="shared" ca="1" si="416"/>
        <v>1</v>
      </c>
      <c r="J216" s="32">
        <f t="shared" ca="1" si="417"/>
        <v>0</v>
      </c>
      <c r="K216" s="38">
        <f t="shared" ca="1" si="418"/>
        <v>0</v>
      </c>
      <c r="L216" s="38">
        <f t="shared" ref="L216" ca="1" si="423">EXP(-G216*E216/(1-Recovery))</f>
        <v>0.93038603213859583</v>
      </c>
      <c r="M216" s="33">
        <f t="shared" ca="1" si="414"/>
        <v>6.9613967861404169E-2</v>
      </c>
      <c r="N216" s="12"/>
      <c r="O216" s="12"/>
      <c r="P216" s="12"/>
      <c r="Q216" s="12"/>
      <c r="R216" s="12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</row>
    <row r="217" spans="2:110" x14ac:dyDescent="0.25">
      <c r="B217" s="121"/>
      <c r="C217" s="122"/>
      <c r="D217" s="122"/>
      <c r="E217" s="108">
        <f t="shared" si="309"/>
        <v>9.800000000000022</v>
      </c>
      <c r="F217" s="118">
        <f t="shared" ref="F217" si="424">EXP(-IRate*E217)</f>
        <v>0.74527649144328811</v>
      </c>
      <c r="G217" s="36" cm="1">
        <f t="array" aca="1" ref="G217" ca="1">CubicSpline(Tenors,Spreads,E217)</f>
        <v>4.452327820652283E-3</v>
      </c>
      <c r="H217" s="32" cm="1">
        <f t="array" aca="1" ref="H217" ca="1">IF(Method="CubicSpline",CubicSpline(Tenors,HRs,E217),FindHR(E217,Tenors,HRs,Method))</f>
        <v>0</v>
      </c>
      <c r="I217" s="36">
        <f t="shared" ca="1" si="416"/>
        <v>1</v>
      </c>
      <c r="J217" s="32">
        <f t="shared" ca="1" si="417"/>
        <v>0</v>
      </c>
      <c r="K217" s="38">
        <f t="shared" ca="1" si="418"/>
        <v>0</v>
      </c>
      <c r="L217" s="38">
        <f t="shared" ref="L217" ca="1" si="425">EXP(-G217*E217/(1-Recovery))</f>
        <v>0.92985989529515101</v>
      </c>
      <c r="M217" s="33">
        <f t="shared" ca="1" si="414"/>
        <v>7.0140104704848993E-2</v>
      </c>
      <c r="N217" s="12"/>
      <c r="O217" s="12"/>
      <c r="P217" s="12"/>
      <c r="Q217" s="12"/>
      <c r="R217" s="12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</row>
    <row r="218" spans="2:110" x14ac:dyDescent="0.25">
      <c r="B218" s="121"/>
      <c r="C218" s="122"/>
      <c r="D218" s="122"/>
      <c r="E218" s="108">
        <f t="shared" si="309"/>
        <v>9.8500000000000227</v>
      </c>
      <c r="F218" s="118">
        <f t="shared" ref="F218" si="426">EXP(-IRate*E218)</f>
        <v>0.7441594147231152</v>
      </c>
      <c r="G218" s="36" cm="1">
        <f t="array" aca="1" ref="G218" ca="1">CubicSpline(Tenors,Spreads,E218)</f>
        <v>4.4642736334487634E-3</v>
      </c>
      <c r="H218" s="32" cm="1">
        <f t="array" aca="1" ref="H218" ca="1">IF(Method="CubicSpline",CubicSpline(Tenors,HRs,E218),FindHR(E218,Tenors,HRs,Method))</f>
        <v>0</v>
      </c>
      <c r="I218" s="36">
        <f t="shared" ca="1" si="416"/>
        <v>1</v>
      </c>
      <c r="J218" s="32">
        <f t="shared" ca="1" si="417"/>
        <v>0</v>
      </c>
      <c r="K218" s="38">
        <f t="shared" ca="1" si="418"/>
        <v>0</v>
      </c>
      <c r="L218" s="38">
        <f t="shared" ref="L218" ca="1" si="427">EXP(-G218*E218/(1-Recovery))</f>
        <v>0.92933268616507636</v>
      </c>
      <c r="M218" s="33">
        <f t="shared" ca="1" si="414"/>
        <v>7.066731383492364E-2</v>
      </c>
      <c r="N218" s="12"/>
      <c r="O218" s="12"/>
      <c r="P218" s="12"/>
      <c r="Q218" s="12"/>
      <c r="R218" s="12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</row>
    <row r="219" spans="2:110" x14ac:dyDescent="0.25">
      <c r="B219" s="121"/>
      <c r="C219" s="122"/>
      <c r="D219" s="122"/>
      <c r="E219" s="108">
        <f t="shared" si="309"/>
        <v>9.9000000000000234</v>
      </c>
      <c r="F219" s="118">
        <f t="shared" ref="F219" si="428">EXP(-IRate*E219)</f>
        <v>0.74304401236193929</v>
      </c>
      <c r="G219" s="36" cm="1">
        <f t="array" aca="1" ref="G219" ca="1">CubicSpline(Tenors,Spreads,E219)</f>
        <v>4.4761956125467239E-3</v>
      </c>
      <c r="H219" s="32" cm="1">
        <f t="array" aca="1" ref="H219" ca="1">IF(Method="CubicSpline",CubicSpline(Tenors,HRs,E219),FindHR(E219,Tenors,HRs,Method))</f>
        <v>0</v>
      </c>
      <c r="I219" s="36">
        <f t="shared" ca="1" si="416"/>
        <v>1</v>
      </c>
      <c r="J219" s="32">
        <f t="shared" ca="1" si="417"/>
        <v>0</v>
      </c>
      <c r="K219" s="38">
        <f t="shared" ca="1" si="418"/>
        <v>0</v>
      </c>
      <c r="L219" s="38">
        <f t="shared" ref="L219" ca="1" si="429">EXP(-G219*E219/(1-Recovery))</f>
        <v>0.92880429198676073</v>
      </c>
      <c r="M219" s="33">
        <f t="shared" ca="1" si="414"/>
        <v>7.1195708013239267E-2</v>
      </c>
      <c r="N219" s="12"/>
      <c r="O219" s="12"/>
      <c r="P219" s="12"/>
      <c r="Q219" s="12"/>
      <c r="R219" s="12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</row>
    <row r="220" spans="2:110" x14ac:dyDescent="0.25">
      <c r="B220" s="121"/>
      <c r="C220" s="122"/>
      <c r="D220" s="122"/>
      <c r="E220" s="108">
        <f t="shared" si="309"/>
        <v>9.9500000000000242</v>
      </c>
      <c r="F220" s="118">
        <f t="shared" ref="F220" si="430">EXP(-IRate*E220)</f>
        <v>0.74193028185010479</v>
      </c>
      <c r="G220" s="36" cm="1">
        <f t="array" aca="1" ref="G220" ca="1">CubicSpline(Tenors,Spreads,E220)</f>
        <v>4.4881016843005975E-3</v>
      </c>
      <c r="H220" s="32" cm="1">
        <f t="array" aca="1" ref="H220" ca="1">IF(Method="CubicSpline",CubicSpline(Tenors,HRs,E220),FindHR(E220,Tenors,HRs,Method))</f>
        <v>0</v>
      </c>
      <c r="I220" s="36">
        <f t="shared" ca="1" si="416"/>
        <v>1</v>
      </c>
      <c r="J220" s="32">
        <f t="shared" ca="1" si="417"/>
        <v>0</v>
      </c>
      <c r="K220" s="38">
        <f t="shared" ca="1" si="418"/>
        <v>0</v>
      </c>
      <c r="L220" s="38">
        <f t="shared" ref="L220" ca="1" si="431">EXP(-G220*E220/(1-Recovery))</f>
        <v>0.92827459863559592</v>
      </c>
      <c r="M220" s="33">
        <f t="shared" ca="1" si="414"/>
        <v>7.1725401364404084E-2</v>
      </c>
      <c r="N220" s="12"/>
      <c r="O220" s="12"/>
      <c r="P220" s="12"/>
      <c r="Q220" s="12"/>
      <c r="R220" s="12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</row>
    <row r="221" spans="2:110" ht="13.8" thickBot="1" x14ac:dyDescent="0.3">
      <c r="B221" s="121"/>
      <c r="C221" s="122"/>
      <c r="D221" s="122"/>
      <c r="E221" s="123">
        <f t="shared" si="309"/>
        <v>10.000000000000025</v>
      </c>
      <c r="F221" s="124">
        <f t="shared" ref="F221" si="432">EXP(-IRate*E221)</f>
        <v>0.74081822068171732</v>
      </c>
      <c r="G221" s="37" cm="1">
        <f t="array" aca="1" ref="G221" ca="1">CubicSpline(Tenors,Spreads,E221)</f>
        <v>4.4999998062849106E-3</v>
      </c>
      <c r="H221" s="34" cm="1">
        <f t="array" aca="1" ref="H221" ca="1">IF(Method="CubicSpline",CubicSpline(Tenors,HRs,E221),FindHR(E221,Tenors,HRs,Method))</f>
        <v>0</v>
      </c>
      <c r="I221" s="37">
        <f t="shared" ca="1" si="416"/>
        <v>1</v>
      </c>
      <c r="J221" s="34">
        <f t="shared" ca="1" si="417"/>
        <v>0</v>
      </c>
      <c r="K221" s="39">
        <f t="shared" ca="1" si="418"/>
        <v>0</v>
      </c>
      <c r="L221" s="39">
        <f t="shared" ref="L221" ca="1" si="433">EXP(-G221*E221/(1-Recovery))</f>
        <v>0.92774348932385131</v>
      </c>
      <c r="M221" s="35">
        <f ca="1">1-L221</f>
        <v>7.2256510676148689E-2</v>
      </c>
      <c r="N221" s="12"/>
      <c r="O221" s="12"/>
      <c r="P221" s="12"/>
      <c r="Q221" s="12"/>
      <c r="R221" s="12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</row>
    <row r="222" spans="2:110" x14ac:dyDescent="0.25">
      <c r="B222" s="121"/>
      <c r="C222" s="122"/>
      <c r="D222" s="122"/>
      <c r="E222" s="89"/>
      <c r="F222" s="125"/>
      <c r="G222" s="122"/>
      <c r="H222" s="126"/>
      <c r="I222" s="126"/>
      <c r="J222" s="126"/>
      <c r="K222" s="119"/>
      <c r="L222" s="12"/>
      <c r="M222" s="12"/>
      <c r="N222" s="12"/>
      <c r="O222" s="12"/>
      <c r="P222" s="12"/>
      <c r="Q222" s="12"/>
      <c r="R222" s="12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</row>
    <row r="223" spans="2:110" x14ac:dyDescent="0.25">
      <c r="B223" s="121"/>
      <c r="C223" s="122"/>
      <c r="D223" s="122"/>
      <c r="E223" s="89"/>
      <c r="F223" s="125"/>
      <c r="G223" s="122"/>
      <c r="H223" s="126"/>
      <c r="I223" s="126"/>
      <c r="J223" s="126"/>
      <c r="K223" s="119"/>
      <c r="L223" s="12"/>
      <c r="M223" s="12"/>
      <c r="N223" s="12"/>
      <c r="O223" s="12"/>
      <c r="P223" s="12"/>
      <c r="Q223" s="12"/>
      <c r="R223" s="12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</row>
    <row r="224" spans="2:110" x14ac:dyDescent="0.25">
      <c r="B224" s="121"/>
      <c r="C224" s="122"/>
      <c r="D224" s="122"/>
      <c r="E224" s="89"/>
      <c r="F224" s="125"/>
      <c r="G224" s="122"/>
      <c r="H224" s="126"/>
      <c r="I224" s="126"/>
      <c r="J224" s="126"/>
      <c r="K224" s="119"/>
      <c r="L224" s="12"/>
      <c r="M224" s="12"/>
      <c r="N224" s="12"/>
      <c r="O224" s="12"/>
      <c r="P224" s="12"/>
      <c r="Q224" s="12"/>
      <c r="R224" s="12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</row>
    <row r="225" spans="2:110" x14ac:dyDescent="0.25">
      <c r="B225" s="121"/>
      <c r="C225" s="122"/>
      <c r="D225" s="122"/>
      <c r="E225" s="89"/>
      <c r="F225" s="125"/>
      <c r="G225" s="122"/>
      <c r="H225" s="126"/>
      <c r="I225" s="126"/>
      <c r="J225" s="126"/>
      <c r="K225" s="119"/>
      <c r="L225" s="12"/>
      <c r="M225" s="12"/>
      <c r="N225" s="12"/>
      <c r="O225" s="12"/>
      <c r="P225" s="12"/>
      <c r="Q225" s="12"/>
      <c r="R225" s="12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</row>
    <row r="226" spans="2:110" x14ac:dyDescent="0.25">
      <c r="B226" s="121"/>
      <c r="C226" s="122"/>
      <c r="D226" s="122"/>
      <c r="E226" s="89"/>
      <c r="F226" s="125"/>
      <c r="G226" s="122"/>
      <c r="H226" s="126"/>
      <c r="I226" s="126"/>
      <c r="J226" s="126"/>
      <c r="K226" s="119"/>
      <c r="L226" s="12"/>
      <c r="M226" s="12"/>
      <c r="N226" s="12"/>
      <c r="O226" s="12"/>
      <c r="P226" s="12"/>
      <c r="Q226" s="12"/>
      <c r="R226" s="12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</row>
    <row r="227" spans="2:110" x14ac:dyDescent="0.25">
      <c r="B227" s="121"/>
      <c r="C227" s="122"/>
      <c r="D227" s="122"/>
      <c r="E227" s="89"/>
      <c r="F227" s="125"/>
      <c r="G227" s="122"/>
      <c r="H227" s="126"/>
      <c r="I227" s="126"/>
      <c r="J227" s="126"/>
      <c r="K227" s="119"/>
      <c r="L227" s="12"/>
      <c r="M227" s="12"/>
      <c r="N227" s="12"/>
      <c r="O227" s="12"/>
      <c r="P227" s="12"/>
      <c r="Q227" s="12"/>
      <c r="R227" s="12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</row>
    <row r="228" spans="2:110" x14ac:dyDescent="0.25">
      <c r="B228" s="121"/>
      <c r="C228" s="122"/>
      <c r="D228" s="122"/>
      <c r="E228" s="89"/>
      <c r="F228" s="125"/>
      <c r="G228" s="122"/>
      <c r="H228" s="126"/>
      <c r="I228" s="126"/>
      <c r="J228" s="126"/>
      <c r="K228" s="119"/>
      <c r="L228" s="12"/>
      <c r="M228" s="12"/>
      <c r="N228" s="12"/>
      <c r="O228" s="12"/>
      <c r="P228" s="12"/>
      <c r="Q228" s="12"/>
      <c r="R228" s="12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</row>
    <row r="229" spans="2:110" x14ac:dyDescent="0.25">
      <c r="B229" s="121"/>
      <c r="C229" s="122"/>
      <c r="D229" s="122"/>
      <c r="E229" s="89"/>
      <c r="F229" s="125"/>
      <c r="G229" s="122"/>
      <c r="H229" s="126"/>
      <c r="I229" s="126"/>
      <c r="J229" s="126"/>
      <c r="K229" s="119"/>
      <c r="L229" s="12"/>
      <c r="M229" s="12"/>
      <c r="N229" s="12"/>
      <c r="O229" s="12"/>
      <c r="P229" s="12"/>
      <c r="Q229" s="12"/>
      <c r="R229" s="12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</row>
    <row r="230" spans="2:110" x14ac:dyDescent="0.25">
      <c r="B230" s="121"/>
      <c r="C230" s="122"/>
      <c r="D230" s="122"/>
      <c r="E230" s="89"/>
      <c r="F230" s="125"/>
      <c r="G230" s="122"/>
      <c r="H230" s="126"/>
      <c r="I230" s="126"/>
      <c r="J230" s="126"/>
      <c r="K230" s="119"/>
      <c r="L230" s="12"/>
      <c r="M230" s="12"/>
      <c r="N230" s="12"/>
      <c r="O230" s="12"/>
      <c r="P230" s="12"/>
      <c r="Q230" s="12"/>
      <c r="R230" s="12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</row>
    <row r="231" spans="2:110" x14ac:dyDescent="0.25">
      <c r="E231" s="89"/>
      <c r="K231" s="119"/>
      <c r="L231" s="12"/>
      <c r="M231" s="12"/>
      <c r="N231" s="12"/>
      <c r="O231" s="12"/>
      <c r="P231" s="12"/>
      <c r="Q231" s="12"/>
      <c r="R231" s="12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</row>
    <row r="232" spans="2:110" x14ac:dyDescent="0.25">
      <c r="E232" s="89"/>
      <c r="K232" s="119"/>
      <c r="L232" s="12"/>
      <c r="M232" s="12"/>
      <c r="N232" s="12"/>
      <c r="O232" s="12"/>
      <c r="P232" s="12"/>
      <c r="Q232" s="12"/>
      <c r="R232" s="12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</row>
    <row r="233" spans="2:110" x14ac:dyDescent="0.25">
      <c r="E233" s="89"/>
      <c r="K233" s="119"/>
      <c r="L233" s="12"/>
      <c r="M233" s="12"/>
      <c r="N233" s="12"/>
      <c r="O233" s="12"/>
      <c r="P233" s="12"/>
      <c r="Q233" s="12"/>
      <c r="R233" s="12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</row>
    <row r="234" spans="2:110" x14ac:dyDescent="0.25">
      <c r="E234" s="89"/>
      <c r="K234" s="119"/>
      <c r="L234" s="12"/>
      <c r="M234" s="12"/>
      <c r="N234" s="12"/>
      <c r="O234" s="12"/>
      <c r="P234" s="12"/>
      <c r="Q234" s="12"/>
      <c r="R234" s="12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</row>
    <row r="235" spans="2:110" x14ac:dyDescent="0.25">
      <c r="E235" s="89"/>
      <c r="K235" s="119"/>
      <c r="L235" s="12"/>
      <c r="M235" s="12"/>
      <c r="N235" s="12"/>
      <c r="O235" s="12"/>
      <c r="P235" s="12"/>
      <c r="Q235" s="12"/>
      <c r="R235" s="12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</row>
    <row r="236" spans="2:110" x14ac:dyDescent="0.25">
      <c r="E236" s="89"/>
      <c r="K236" s="119"/>
      <c r="L236" s="12"/>
      <c r="M236" s="12"/>
      <c r="N236" s="12"/>
      <c r="O236" s="12"/>
      <c r="P236" s="12"/>
      <c r="Q236" s="12"/>
      <c r="R236" s="12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</row>
    <row r="237" spans="2:110" x14ac:dyDescent="0.25">
      <c r="E237" s="89"/>
      <c r="K237" s="119"/>
      <c r="L237" s="12"/>
      <c r="M237" s="12"/>
      <c r="N237" s="12"/>
      <c r="O237" s="12"/>
      <c r="P237" s="12"/>
      <c r="Q237" s="12"/>
      <c r="R237" s="12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</row>
    <row r="238" spans="2:110" x14ac:dyDescent="0.25">
      <c r="E238" s="89"/>
      <c r="K238" s="119"/>
      <c r="L238" s="12"/>
      <c r="M238" s="12"/>
      <c r="N238" s="12"/>
      <c r="O238" s="12"/>
      <c r="P238" s="12"/>
      <c r="Q238" s="12"/>
      <c r="R238" s="12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</row>
    <row r="239" spans="2:110" x14ac:dyDescent="0.25">
      <c r="E239" s="89"/>
      <c r="K239" s="119"/>
      <c r="L239" s="12"/>
      <c r="M239" s="12"/>
      <c r="N239" s="12"/>
      <c r="O239" s="12"/>
      <c r="P239" s="12"/>
      <c r="Q239" s="12"/>
      <c r="R239" s="12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</row>
    <row r="240" spans="2:110" x14ac:dyDescent="0.25">
      <c r="E240" s="89"/>
      <c r="K240" s="119"/>
      <c r="L240" s="12"/>
      <c r="M240" s="12"/>
      <c r="N240" s="12"/>
      <c r="O240" s="12"/>
      <c r="P240" s="12"/>
      <c r="Q240" s="12"/>
      <c r="R240" s="12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</row>
    <row r="241" spans="5:110" x14ac:dyDescent="0.25">
      <c r="E241" s="89"/>
      <c r="K241" s="119"/>
      <c r="L241" s="12"/>
      <c r="M241" s="12"/>
      <c r="N241" s="12"/>
      <c r="O241" s="12"/>
      <c r="P241" s="12"/>
      <c r="Q241" s="12"/>
      <c r="R241" s="12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</row>
    <row r="242" spans="5:110" x14ac:dyDescent="0.25">
      <c r="E242" s="89"/>
      <c r="K242" s="119"/>
      <c r="L242" s="12"/>
      <c r="M242" s="12"/>
      <c r="N242" s="12"/>
      <c r="O242" s="12"/>
      <c r="P242" s="12"/>
      <c r="Q242" s="12"/>
      <c r="R242" s="12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</row>
    <row r="243" spans="5:110" x14ac:dyDescent="0.25">
      <c r="E243" s="89"/>
      <c r="K243" s="119"/>
      <c r="L243" s="12"/>
      <c r="M243" s="12"/>
      <c r="N243" s="12"/>
      <c r="O243" s="12"/>
      <c r="P243" s="12"/>
      <c r="Q243" s="12"/>
      <c r="R243" s="12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</row>
    <row r="244" spans="5:110" x14ac:dyDescent="0.25">
      <c r="E244" s="89"/>
      <c r="K244" s="119"/>
      <c r="L244" s="12"/>
      <c r="M244" s="12"/>
      <c r="N244" s="12"/>
      <c r="O244" s="12"/>
      <c r="P244" s="12"/>
      <c r="Q244" s="12"/>
      <c r="R244" s="12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</row>
    <row r="245" spans="5:110" x14ac:dyDescent="0.25">
      <c r="E245" s="89"/>
      <c r="K245" s="119"/>
      <c r="L245" s="12"/>
      <c r="M245" s="12"/>
      <c r="N245" s="12"/>
      <c r="O245" s="12"/>
      <c r="P245" s="12"/>
      <c r="Q245" s="12"/>
      <c r="R245" s="12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</row>
    <row r="246" spans="5:110" x14ac:dyDescent="0.25">
      <c r="E246" s="89"/>
      <c r="K246" s="119"/>
      <c r="L246" s="12"/>
      <c r="M246" s="12"/>
      <c r="N246" s="12"/>
      <c r="O246" s="12"/>
      <c r="P246" s="12"/>
      <c r="Q246" s="12"/>
      <c r="R246" s="12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</row>
    <row r="247" spans="5:110" x14ac:dyDescent="0.25">
      <c r="E247" s="89"/>
      <c r="K247" s="119"/>
      <c r="L247" s="12"/>
      <c r="M247" s="12"/>
      <c r="N247" s="12"/>
      <c r="O247" s="12"/>
      <c r="P247" s="12"/>
      <c r="Q247" s="12"/>
      <c r="R247" s="12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</row>
    <row r="248" spans="5:110" x14ac:dyDescent="0.25">
      <c r="E248" s="89"/>
      <c r="K248" s="119"/>
      <c r="L248" s="12"/>
      <c r="M248" s="12"/>
      <c r="N248" s="12"/>
      <c r="O248" s="12"/>
      <c r="P248" s="12"/>
      <c r="Q248" s="12"/>
      <c r="R248" s="12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</row>
    <row r="249" spans="5:110" x14ac:dyDescent="0.25">
      <c r="E249" s="89"/>
      <c r="K249" s="119"/>
      <c r="L249" s="12"/>
      <c r="M249" s="12"/>
      <c r="N249" s="12"/>
      <c r="O249" s="12"/>
      <c r="P249" s="12"/>
      <c r="Q249" s="12"/>
      <c r="R249" s="12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</row>
    <row r="250" spans="5:110" x14ac:dyDescent="0.25">
      <c r="E250" s="89"/>
      <c r="K250" s="119"/>
      <c r="L250" s="12"/>
      <c r="M250" s="12"/>
      <c r="N250" s="12"/>
      <c r="O250" s="12"/>
      <c r="P250" s="12"/>
      <c r="Q250" s="12"/>
      <c r="R250" s="12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</row>
    <row r="251" spans="5:110" x14ac:dyDescent="0.25">
      <c r="E251" s="89"/>
      <c r="K251" s="119"/>
      <c r="L251" s="12"/>
      <c r="M251" s="12"/>
      <c r="N251" s="12"/>
      <c r="O251" s="12"/>
      <c r="P251" s="12"/>
      <c r="Q251" s="12"/>
      <c r="R251" s="12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</row>
    <row r="252" spans="5:110" x14ac:dyDescent="0.25">
      <c r="E252" s="89"/>
      <c r="K252" s="119"/>
      <c r="L252" s="12"/>
      <c r="M252" s="12"/>
      <c r="N252" s="12"/>
      <c r="O252" s="12"/>
      <c r="P252" s="12"/>
      <c r="Q252" s="12"/>
      <c r="R252" s="12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</row>
    <row r="253" spans="5:110" x14ac:dyDescent="0.25">
      <c r="E253" s="89"/>
      <c r="K253" s="119"/>
      <c r="L253" s="12"/>
      <c r="M253" s="12"/>
      <c r="N253" s="12"/>
      <c r="O253" s="12"/>
      <c r="P253" s="12"/>
      <c r="Q253" s="12"/>
      <c r="R253" s="12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</row>
    <row r="254" spans="5:110" x14ac:dyDescent="0.25">
      <c r="E254" s="89"/>
      <c r="K254" s="119"/>
      <c r="L254" s="12"/>
      <c r="M254" s="12"/>
      <c r="N254" s="12"/>
      <c r="O254" s="12"/>
      <c r="P254" s="12"/>
      <c r="Q254" s="12"/>
      <c r="R254" s="12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</row>
    <row r="255" spans="5:110" x14ac:dyDescent="0.25">
      <c r="E255" s="89"/>
      <c r="K255" s="119"/>
      <c r="L255" s="12"/>
      <c r="M255" s="12"/>
      <c r="N255" s="12"/>
      <c r="O255" s="12"/>
      <c r="P255" s="12"/>
      <c r="Q255" s="12"/>
      <c r="R255" s="12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</row>
    <row r="256" spans="5:110" x14ac:dyDescent="0.25">
      <c r="K256" s="119"/>
      <c r="L256" s="12"/>
      <c r="M256" s="12"/>
      <c r="N256" s="12"/>
      <c r="O256" s="12"/>
      <c r="P256" s="12"/>
      <c r="Q256" s="12"/>
      <c r="R256" s="12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</row>
    <row r="257" spans="11:110" x14ac:dyDescent="0.25">
      <c r="K257" s="119"/>
      <c r="L257" s="12"/>
      <c r="M257" s="12"/>
      <c r="N257" s="12"/>
      <c r="O257" s="12"/>
      <c r="P257" s="12"/>
      <c r="Q257" s="12"/>
      <c r="R257" s="12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</row>
    <row r="258" spans="11:110" x14ac:dyDescent="0.25">
      <c r="K258" s="119"/>
      <c r="L258" s="12"/>
      <c r="M258" s="12"/>
      <c r="N258" s="12"/>
      <c r="O258" s="12"/>
      <c r="P258" s="12"/>
      <c r="Q258" s="12"/>
      <c r="R258" s="12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</row>
    <row r="259" spans="11:110" x14ac:dyDescent="0.25">
      <c r="K259" s="119"/>
      <c r="L259" s="12"/>
      <c r="M259" s="12"/>
      <c r="N259" s="12"/>
      <c r="O259" s="12"/>
      <c r="P259" s="12"/>
      <c r="Q259" s="12"/>
      <c r="R259" s="12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</row>
    <row r="260" spans="11:110" x14ac:dyDescent="0.25">
      <c r="K260" s="119"/>
      <c r="L260" s="12"/>
      <c r="M260" s="12"/>
      <c r="N260" s="12"/>
      <c r="O260" s="12"/>
      <c r="P260" s="12"/>
      <c r="Q260" s="12"/>
      <c r="R260" s="12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</row>
    <row r="263" spans="11:110" x14ac:dyDescent="0.25">
      <c r="K263" s="119"/>
      <c r="L263" s="12"/>
      <c r="M263" s="12"/>
      <c r="N263" s="12"/>
      <c r="O263" s="12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</row>
    <row r="264" spans="11:110" x14ac:dyDescent="0.25">
      <c r="K264" s="119"/>
      <c r="L264" s="12"/>
      <c r="M264" s="12"/>
      <c r="N264" s="12"/>
      <c r="O264" s="12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</row>
    <row r="265" spans="11:110" x14ac:dyDescent="0.25">
      <c r="K265" s="119"/>
      <c r="L265" s="12"/>
      <c r="M265" s="12"/>
      <c r="N265" s="12"/>
      <c r="O265" s="12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</row>
    <row r="266" spans="11:110" x14ac:dyDescent="0.25">
      <c r="K266" s="119"/>
      <c r="L266" s="12"/>
      <c r="M266" s="12"/>
      <c r="N266" s="12"/>
      <c r="O266" s="12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</row>
    <row r="267" spans="11:110" x14ac:dyDescent="0.25">
      <c r="K267" s="119"/>
      <c r="L267" s="12"/>
      <c r="M267" s="12"/>
      <c r="N267" s="12"/>
      <c r="O267" s="12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</row>
    <row r="268" spans="11:110" x14ac:dyDescent="0.25">
      <c r="K268" s="119"/>
      <c r="L268" s="12"/>
      <c r="M268" s="12"/>
      <c r="N268" s="12"/>
      <c r="O268" s="12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</row>
    <row r="269" spans="11:110" x14ac:dyDescent="0.25">
      <c r="K269" s="119"/>
      <c r="L269" s="12"/>
      <c r="M269" s="12"/>
      <c r="N269" s="12"/>
      <c r="O269" s="12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</row>
    <row r="270" spans="11:110" x14ac:dyDescent="0.25">
      <c r="K270" s="119"/>
      <c r="L270" s="12"/>
      <c r="M270" s="12"/>
      <c r="N270" s="12"/>
      <c r="O270" s="12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</row>
    <row r="271" spans="11:110" x14ac:dyDescent="0.25">
      <c r="K271" s="119"/>
      <c r="L271" s="12"/>
      <c r="M271" s="12"/>
      <c r="N271" s="12"/>
      <c r="O271" s="12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</row>
    <row r="272" spans="11:110" x14ac:dyDescent="0.25">
      <c r="K272" s="119"/>
      <c r="L272" s="12"/>
      <c r="M272" s="12"/>
      <c r="N272" s="12"/>
      <c r="O272" s="12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</row>
    <row r="273" spans="11:110" x14ac:dyDescent="0.25">
      <c r="K273" s="119"/>
      <c r="L273" s="12"/>
      <c r="M273" s="12"/>
      <c r="N273" s="12"/>
      <c r="O273" s="12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</row>
    <row r="274" spans="11:110" x14ac:dyDescent="0.25">
      <c r="K274" s="119"/>
      <c r="L274" s="12"/>
      <c r="M274" s="12"/>
      <c r="N274" s="12"/>
      <c r="O274" s="12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</row>
    <row r="275" spans="11:110" x14ac:dyDescent="0.25">
      <c r="K275" s="119"/>
      <c r="L275" s="12"/>
      <c r="M275" s="12"/>
      <c r="N275" s="12"/>
      <c r="O275" s="12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</row>
    <row r="276" spans="11:110" x14ac:dyDescent="0.25">
      <c r="K276" s="119"/>
      <c r="L276" s="12"/>
      <c r="M276" s="12"/>
      <c r="N276" s="12"/>
      <c r="O276" s="12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</row>
    <row r="277" spans="11:110" x14ac:dyDescent="0.25">
      <c r="K277" s="119"/>
      <c r="L277" s="12"/>
      <c r="M277" s="12"/>
      <c r="N277" s="12"/>
      <c r="O277" s="12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</row>
    <row r="278" spans="11:110" x14ac:dyDescent="0.25">
      <c r="K278" s="119"/>
      <c r="L278" s="12"/>
      <c r="M278" s="12"/>
      <c r="N278" s="12"/>
      <c r="O278" s="12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</row>
    <row r="279" spans="11:110" x14ac:dyDescent="0.25">
      <c r="K279" s="119"/>
      <c r="L279" s="12"/>
      <c r="M279" s="12"/>
      <c r="N279" s="12"/>
      <c r="O279" s="12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</row>
    <row r="280" spans="11:110" x14ac:dyDescent="0.25">
      <c r="K280" s="119"/>
      <c r="L280" s="12"/>
      <c r="M280" s="12"/>
      <c r="N280" s="12"/>
      <c r="O280" s="12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</row>
    <row r="281" spans="11:110" x14ac:dyDescent="0.25">
      <c r="K281" s="119"/>
      <c r="L281" s="12"/>
      <c r="M281" s="12"/>
      <c r="N281" s="12"/>
      <c r="O281" s="12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</row>
    <row r="282" spans="11:110" x14ac:dyDescent="0.25">
      <c r="K282" s="119"/>
      <c r="L282" s="12"/>
      <c r="M282" s="12"/>
      <c r="N282" s="12"/>
      <c r="O282" s="12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</row>
    <row r="283" spans="11:110" x14ac:dyDescent="0.25">
      <c r="K283" s="119"/>
      <c r="L283" s="12"/>
      <c r="M283" s="12"/>
      <c r="N283" s="12"/>
      <c r="O283" s="12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</row>
    <row r="284" spans="11:110" x14ac:dyDescent="0.25">
      <c r="K284" s="119"/>
      <c r="L284" s="12"/>
      <c r="M284" s="12"/>
      <c r="N284" s="12"/>
      <c r="O284" s="12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</row>
    <row r="285" spans="11:110" x14ac:dyDescent="0.25">
      <c r="K285" s="119"/>
      <c r="L285" s="12"/>
      <c r="M285" s="12"/>
      <c r="N285" s="12"/>
      <c r="O285" s="12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</row>
    <row r="286" spans="11:110" x14ac:dyDescent="0.25">
      <c r="K286" s="119"/>
      <c r="L286" s="12"/>
      <c r="M286" s="12"/>
      <c r="N286" s="12"/>
      <c r="O286" s="12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</row>
    <row r="287" spans="11:110" x14ac:dyDescent="0.25">
      <c r="K287" s="119"/>
      <c r="L287" s="12"/>
      <c r="M287" s="12"/>
      <c r="N287" s="12"/>
      <c r="O287" s="12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</row>
    <row r="288" spans="11:110" x14ac:dyDescent="0.25">
      <c r="K288" s="119"/>
      <c r="L288" s="12"/>
      <c r="M288" s="12"/>
      <c r="N288" s="12"/>
      <c r="O288" s="12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</row>
    <row r="289" spans="11:110" x14ac:dyDescent="0.25">
      <c r="K289" s="119"/>
      <c r="L289" s="12"/>
      <c r="M289" s="12"/>
      <c r="N289" s="12"/>
      <c r="O289" s="12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</row>
    <row r="290" spans="11:110" x14ac:dyDescent="0.25">
      <c r="K290" s="119"/>
      <c r="L290" s="12"/>
      <c r="M290" s="12"/>
      <c r="N290" s="12"/>
      <c r="O290" s="12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</row>
    <row r="291" spans="11:110" x14ac:dyDescent="0.25">
      <c r="K291" s="119"/>
      <c r="L291" s="12"/>
      <c r="M291" s="12"/>
      <c r="N291" s="12"/>
      <c r="O291" s="12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</row>
    <row r="292" spans="11:110" x14ac:dyDescent="0.25">
      <c r="K292" s="119"/>
      <c r="L292" s="12"/>
      <c r="M292" s="12"/>
      <c r="N292" s="12"/>
      <c r="O292" s="12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</row>
    <row r="293" spans="11:110" x14ac:dyDescent="0.25">
      <c r="K293" s="119"/>
      <c r="L293" s="12"/>
      <c r="M293" s="12"/>
      <c r="N293" s="12"/>
      <c r="O293" s="12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</row>
    <row r="294" spans="11:110" x14ac:dyDescent="0.25">
      <c r="K294" s="119"/>
      <c r="L294" s="12"/>
      <c r="M294" s="12"/>
      <c r="N294" s="12"/>
      <c r="O294" s="12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</row>
    <row r="295" spans="11:110" x14ac:dyDescent="0.25">
      <c r="K295" s="119"/>
      <c r="L295" s="12"/>
      <c r="M295" s="12"/>
      <c r="N295" s="12"/>
      <c r="O295" s="12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</row>
    <row r="296" spans="11:110" x14ac:dyDescent="0.25">
      <c r="K296" s="119"/>
      <c r="L296" s="12"/>
      <c r="M296" s="12"/>
      <c r="N296" s="12"/>
      <c r="O296" s="12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</row>
    <row r="297" spans="11:110" x14ac:dyDescent="0.25">
      <c r="K297" s="119"/>
      <c r="L297" s="12"/>
      <c r="M297" s="12"/>
      <c r="N297" s="12"/>
      <c r="O297" s="12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</row>
    <row r="298" spans="11:110" x14ac:dyDescent="0.25">
      <c r="K298" s="119"/>
      <c r="L298" s="12"/>
      <c r="M298" s="12"/>
      <c r="N298" s="12"/>
      <c r="O298" s="12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</row>
    <row r="299" spans="11:110" x14ac:dyDescent="0.25">
      <c r="K299" s="119"/>
      <c r="L299" s="12"/>
      <c r="M299" s="12"/>
      <c r="N299" s="12"/>
      <c r="O299" s="12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</row>
    <row r="300" spans="11:110" x14ac:dyDescent="0.25">
      <c r="K300" s="119"/>
      <c r="L300" s="12"/>
      <c r="M300" s="12"/>
      <c r="N300" s="12"/>
      <c r="O300" s="12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</row>
    <row r="301" spans="11:110" x14ac:dyDescent="0.25">
      <c r="K301" s="119"/>
      <c r="L301" s="12"/>
      <c r="M301" s="12"/>
      <c r="N301" s="12"/>
      <c r="O301" s="12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</row>
    <row r="302" spans="11:110" x14ac:dyDescent="0.25">
      <c r="K302" s="119"/>
      <c r="L302" s="12"/>
      <c r="M302" s="12"/>
      <c r="N302" s="12"/>
      <c r="O302" s="12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</row>
    <row r="303" spans="11:110" x14ac:dyDescent="0.25">
      <c r="K303" s="119"/>
      <c r="L303" s="12"/>
      <c r="M303" s="12"/>
      <c r="N303" s="12"/>
      <c r="O303" s="12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</row>
    <row r="304" spans="11:110" x14ac:dyDescent="0.25">
      <c r="K304" s="119"/>
      <c r="L304" s="12"/>
      <c r="M304" s="12"/>
      <c r="N304" s="12"/>
      <c r="O304" s="12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</row>
    <row r="305" spans="11:110" x14ac:dyDescent="0.25">
      <c r="K305" s="119"/>
      <c r="L305" s="12"/>
      <c r="M305" s="12"/>
      <c r="N305" s="12"/>
      <c r="O305" s="12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</row>
    <row r="306" spans="11:110" x14ac:dyDescent="0.25">
      <c r="K306" s="119"/>
      <c r="L306" s="12"/>
      <c r="M306" s="12"/>
      <c r="N306" s="12"/>
      <c r="O306" s="12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</row>
    <row r="307" spans="11:110" x14ac:dyDescent="0.25">
      <c r="K307" s="119"/>
      <c r="L307" s="12"/>
      <c r="M307" s="12"/>
      <c r="N307" s="12"/>
      <c r="O307" s="12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</row>
    <row r="308" spans="11:110" x14ac:dyDescent="0.25">
      <c r="K308" s="119"/>
      <c r="L308" s="12"/>
      <c r="M308" s="12"/>
      <c r="N308" s="12"/>
      <c r="O308" s="12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</row>
    <row r="309" spans="11:110" x14ac:dyDescent="0.25">
      <c r="K309" s="119"/>
      <c r="L309" s="17"/>
      <c r="M309" s="17"/>
      <c r="N309" s="17"/>
      <c r="O309" s="17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</row>
    <row r="310" spans="11:110" x14ac:dyDescent="0.25">
      <c r="K310" s="119"/>
      <c r="L310" s="17"/>
      <c r="M310" s="17"/>
      <c r="N310" s="17"/>
      <c r="O310" s="17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</row>
    <row r="311" spans="11:110" x14ac:dyDescent="0.25">
      <c r="K311" s="119"/>
      <c r="L311" s="17"/>
      <c r="M311" s="17"/>
      <c r="N311" s="17"/>
      <c r="O311" s="17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</row>
    <row r="312" spans="11:110" x14ac:dyDescent="0.25">
      <c r="K312" s="119"/>
      <c r="L312" s="17"/>
      <c r="M312" s="17"/>
      <c r="N312" s="17"/>
      <c r="O312" s="17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</row>
    <row r="313" spans="11:110" x14ac:dyDescent="0.25">
      <c r="K313" s="119"/>
      <c r="L313" s="17"/>
      <c r="M313" s="17"/>
      <c r="N313" s="17"/>
      <c r="O313" s="17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</row>
    <row r="314" spans="11:110" x14ac:dyDescent="0.25">
      <c r="K314" s="119"/>
      <c r="L314" s="17"/>
      <c r="M314" s="17"/>
      <c r="N314" s="17"/>
      <c r="O314" s="17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</row>
    <row r="315" spans="11:110" x14ac:dyDescent="0.25">
      <c r="K315" s="119"/>
      <c r="L315" s="17"/>
      <c r="M315" s="17"/>
      <c r="N315" s="17"/>
      <c r="O315" s="17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</row>
    <row r="316" spans="11:110" x14ac:dyDescent="0.25">
      <c r="K316" s="119"/>
      <c r="L316" s="17"/>
      <c r="M316" s="17"/>
      <c r="N316" s="17"/>
      <c r="O316" s="17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</row>
    <row r="317" spans="11:110" x14ac:dyDescent="0.25">
      <c r="K317" s="119"/>
      <c r="L317" s="17"/>
      <c r="M317" s="17"/>
      <c r="N317" s="17"/>
      <c r="O317" s="17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</row>
    <row r="318" spans="11:110" x14ac:dyDescent="0.25">
      <c r="K318" s="119"/>
      <c r="L318" s="17"/>
      <c r="M318" s="17"/>
      <c r="N318" s="17"/>
      <c r="O318" s="17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</row>
    <row r="319" spans="11:110" x14ac:dyDescent="0.25">
      <c r="K319" s="119"/>
      <c r="L319" s="17"/>
      <c r="M319" s="17"/>
      <c r="N319" s="17"/>
      <c r="O319" s="17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</row>
    <row r="320" spans="11:110" x14ac:dyDescent="0.25">
      <c r="K320" s="119"/>
      <c r="L320" s="17"/>
      <c r="M320" s="17"/>
      <c r="N320" s="17"/>
      <c r="O320" s="17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</row>
    <row r="321" spans="11:110" x14ac:dyDescent="0.25">
      <c r="K321" s="119"/>
      <c r="L321" s="17"/>
      <c r="M321" s="17"/>
      <c r="N321" s="17"/>
      <c r="O321" s="17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</row>
    <row r="322" spans="11:110" x14ac:dyDescent="0.25">
      <c r="K322" s="119"/>
      <c r="L322" s="17"/>
      <c r="M322" s="17"/>
      <c r="N322" s="17"/>
      <c r="O322" s="17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</row>
    <row r="323" spans="11:110" x14ac:dyDescent="0.25">
      <c r="K323" s="119"/>
      <c r="L323" s="17"/>
      <c r="M323" s="17"/>
      <c r="N323" s="17"/>
      <c r="O323" s="17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</row>
    <row r="324" spans="11:110" x14ac:dyDescent="0.25">
      <c r="K324" s="119"/>
      <c r="L324" s="17"/>
      <c r="M324" s="17"/>
      <c r="N324" s="17"/>
      <c r="O324" s="17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</row>
    <row r="325" spans="11:110" x14ac:dyDescent="0.25">
      <c r="K325" s="119"/>
      <c r="L325" s="17"/>
      <c r="M325" s="17"/>
      <c r="N325" s="17"/>
      <c r="O325" s="17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</row>
    <row r="326" spans="11:110" x14ac:dyDescent="0.25">
      <c r="K326" s="119"/>
      <c r="L326" s="17"/>
      <c r="M326" s="17"/>
      <c r="N326" s="17"/>
      <c r="O326" s="17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</row>
    <row r="327" spans="11:110" x14ac:dyDescent="0.25">
      <c r="K327" s="119"/>
      <c r="L327" s="17"/>
      <c r="M327" s="17"/>
      <c r="N327" s="17"/>
      <c r="O327" s="17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</row>
    <row r="328" spans="11:110" x14ac:dyDescent="0.25">
      <c r="K328" s="119"/>
      <c r="L328" s="17"/>
      <c r="M328" s="17"/>
      <c r="N328" s="17"/>
      <c r="O328" s="17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</row>
    <row r="329" spans="11:110" x14ac:dyDescent="0.25">
      <c r="K329" s="119"/>
      <c r="L329" s="17"/>
      <c r="M329" s="17"/>
      <c r="N329" s="17"/>
      <c r="O329" s="17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</row>
    <row r="330" spans="11:110" x14ac:dyDescent="0.25">
      <c r="K330" s="119"/>
      <c r="L330" s="17"/>
      <c r="M330" s="17"/>
      <c r="N330" s="17"/>
      <c r="O330" s="17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</row>
    <row r="331" spans="11:110" x14ac:dyDescent="0.25">
      <c r="K331" s="119"/>
      <c r="L331" s="17"/>
      <c r="M331" s="17"/>
      <c r="N331" s="17"/>
      <c r="O331" s="17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</row>
    <row r="332" spans="11:110" x14ac:dyDescent="0.25">
      <c r="K332" s="119"/>
      <c r="L332" s="17"/>
      <c r="M332" s="17"/>
      <c r="N332" s="17"/>
      <c r="O332" s="17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</row>
    <row r="333" spans="11:110" x14ac:dyDescent="0.25">
      <c r="K333" s="119"/>
      <c r="L333" s="17"/>
      <c r="M333" s="17"/>
      <c r="N333" s="17"/>
      <c r="O333" s="17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</row>
    <row r="334" spans="11:110" x14ac:dyDescent="0.25">
      <c r="K334" s="119"/>
      <c r="L334" s="17"/>
      <c r="M334" s="17"/>
      <c r="N334" s="17"/>
      <c r="O334" s="17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</row>
    <row r="335" spans="11:110" x14ac:dyDescent="0.25">
      <c r="K335" s="119"/>
      <c r="L335" s="17"/>
      <c r="M335" s="17"/>
      <c r="N335" s="17"/>
      <c r="O335" s="17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</row>
    <row r="336" spans="11:110" x14ac:dyDescent="0.25">
      <c r="K336" s="119"/>
      <c r="L336" s="17"/>
      <c r="M336" s="17"/>
      <c r="N336" s="17"/>
      <c r="O336" s="17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</row>
    <row r="337" spans="11:110" x14ac:dyDescent="0.25">
      <c r="K337" s="119"/>
      <c r="L337" s="17"/>
      <c r="M337" s="17"/>
      <c r="N337" s="17"/>
      <c r="O337" s="17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</row>
    <row r="338" spans="11:110" x14ac:dyDescent="0.25">
      <c r="K338" s="119"/>
      <c r="L338" s="17"/>
      <c r="M338" s="17"/>
      <c r="N338" s="17"/>
      <c r="O338" s="17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</row>
    <row r="339" spans="11:110" x14ac:dyDescent="0.25">
      <c r="K339" s="119"/>
      <c r="L339" s="17"/>
      <c r="M339" s="17"/>
      <c r="N339" s="17"/>
      <c r="O339" s="17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</row>
    <row r="340" spans="11:110" x14ac:dyDescent="0.25">
      <c r="K340" s="119"/>
      <c r="L340" s="17"/>
      <c r="M340" s="17"/>
      <c r="N340" s="17"/>
      <c r="O340" s="17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</row>
    <row r="341" spans="11:110" x14ac:dyDescent="0.25">
      <c r="K341" s="119"/>
      <c r="L341" s="17"/>
      <c r="M341" s="17"/>
      <c r="N341" s="17"/>
      <c r="O341" s="17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</row>
    <row r="342" spans="11:110" x14ac:dyDescent="0.25">
      <c r="K342" s="119"/>
      <c r="L342" s="17"/>
      <c r="M342" s="17"/>
      <c r="N342" s="17"/>
      <c r="O342" s="17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</row>
    <row r="343" spans="11:110" x14ac:dyDescent="0.25">
      <c r="K343" s="119"/>
      <c r="L343" s="17"/>
      <c r="M343" s="17"/>
      <c r="N343" s="17"/>
      <c r="O343" s="17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</row>
    <row r="344" spans="11:110" x14ac:dyDescent="0.25">
      <c r="K344" s="119"/>
      <c r="L344" s="17"/>
      <c r="M344" s="17"/>
      <c r="N344" s="17"/>
      <c r="O344" s="17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</row>
    <row r="345" spans="11:110" x14ac:dyDescent="0.25">
      <c r="K345" s="119"/>
      <c r="L345" s="17"/>
      <c r="M345" s="17"/>
      <c r="N345" s="17"/>
      <c r="O345" s="17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</row>
    <row r="346" spans="11:110" x14ac:dyDescent="0.25">
      <c r="K346" s="119"/>
      <c r="L346" s="17"/>
      <c r="M346" s="17"/>
      <c r="N346" s="17"/>
      <c r="O346" s="17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</row>
    <row r="347" spans="11:110" x14ac:dyDescent="0.25">
      <c r="K347" s="119"/>
      <c r="L347" s="17"/>
      <c r="M347" s="17"/>
      <c r="N347" s="17"/>
      <c r="O347" s="17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</row>
    <row r="348" spans="11:110" x14ac:dyDescent="0.25">
      <c r="K348" s="119"/>
      <c r="L348" s="17"/>
      <c r="M348" s="17"/>
      <c r="N348" s="17"/>
      <c r="O348" s="17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</row>
    <row r="349" spans="11:110" x14ac:dyDescent="0.25">
      <c r="K349" s="119"/>
      <c r="L349" s="17"/>
      <c r="M349" s="17"/>
      <c r="N349" s="17"/>
      <c r="O349" s="17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</row>
    <row r="350" spans="11:110" x14ac:dyDescent="0.25">
      <c r="K350" s="119"/>
      <c r="L350" s="17"/>
      <c r="M350" s="17"/>
      <c r="N350" s="17"/>
      <c r="O350" s="17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</row>
    <row r="351" spans="11:110" x14ac:dyDescent="0.25">
      <c r="K351" s="119"/>
      <c r="L351" s="17"/>
      <c r="M351" s="17"/>
      <c r="N351" s="17"/>
      <c r="O351" s="17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</row>
    <row r="352" spans="11:110" x14ac:dyDescent="0.25">
      <c r="K352" s="119"/>
      <c r="L352" s="17"/>
      <c r="M352" s="17"/>
      <c r="N352" s="17"/>
      <c r="O352" s="17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</row>
    <row r="353" spans="11:110" x14ac:dyDescent="0.25">
      <c r="K353" s="119"/>
      <c r="L353" s="17"/>
      <c r="M353" s="17"/>
      <c r="N353" s="17"/>
      <c r="O353" s="17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</row>
    <row r="354" spans="11:110" x14ac:dyDescent="0.25">
      <c r="K354" s="119"/>
      <c r="L354" s="17"/>
      <c r="M354" s="17"/>
      <c r="N354" s="17"/>
      <c r="O354" s="17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</row>
    <row r="355" spans="11:110" x14ac:dyDescent="0.25">
      <c r="K355" s="119"/>
      <c r="L355" s="17"/>
      <c r="M355" s="17"/>
      <c r="N355" s="17"/>
      <c r="O355" s="17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</row>
    <row r="356" spans="11:110" x14ac:dyDescent="0.25">
      <c r="K356" s="119"/>
      <c r="L356" s="17"/>
      <c r="M356" s="17"/>
      <c r="N356" s="17"/>
      <c r="O356" s="17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</row>
    <row r="357" spans="11:110" x14ac:dyDescent="0.25">
      <c r="K357" s="119"/>
      <c r="L357" s="17"/>
      <c r="M357" s="17"/>
      <c r="N357" s="17"/>
      <c r="O357" s="17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</row>
    <row r="358" spans="11:110" x14ac:dyDescent="0.25">
      <c r="K358" s="119"/>
      <c r="L358" s="17"/>
      <c r="M358" s="17"/>
      <c r="N358" s="17"/>
      <c r="O358" s="17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</row>
    <row r="359" spans="11:110" x14ac:dyDescent="0.25">
      <c r="K359" s="119"/>
      <c r="L359" s="17"/>
      <c r="M359" s="17"/>
      <c r="N359" s="17"/>
      <c r="O359" s="17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</row>
    <row r="360" spans="11:110" x14ac:dyDescent="0.25">
      <c r="K360" s="119"/>
      <c r="L360" s="17"/>
      <c r="M360" s="17"/>
      <c r="N360" s="17"/>
      <c r="O360" s="17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</row>
    <row r="361" spans="11:110" x14ac:dyDescent="0.25">
      <c r="K361" s="119"/>
      <c r="L361" s="17"/>
      <c r="M361" s="17"/>
      <c r="N361" s="17"/>
      <c r="O361" s="17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</row>
    <row r="362" spans="11:110" x14ac:dyDescent="0.25">
      <c r="K362" s="119"/>
      <c r="L362" s="17"/>
      <c r="M362" s="17"/>
      <c r="N362" s="17"/>
      <c r="O362" s="17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</row>
    <row r="363" spans="11:110" x14ac:dyDescent="0.25">
      <c r="K363" s="119"/>
      <c r="L363" s="17"/>
      <c r="M363" s="17"/>
      <c r="N363" s="17"/>
      <c r="O363" s="17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</row>
    <row r="364" spans="11:110" x14ac:dyDescent="0.25">
      <c r="K364" s="119"/>
      <c r="L364" s="17"/>
      <c r="M364" s="17"/>
      <c r="N364" s="17"/>
      <c r="O364" s="17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</row>
    <row r="365" spans="11:110" x14ac:dyDescent="0.25">
      <c r="K365" s="119"/>
      <c r="L365" s="17"/>
      <c r="M365" s="17"/>
      <c r="N365" s="17"/>
      <c r="O365" s="17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</row>
    <row r="366" spans="11:110" x14ac:dyDescent="0.25">
      <c r="K366" s="119"/>
      <c r="L366" s="17"/>
      <c r="M366" s="17"/>
      <c r="N366" s="17"/>
      <c r="O366" s="17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</row>
    <row r="367" spans="11:110" x14ac:dyDescent="0.25">
      <c r="K367" s="119"/>
      <c r="L367" s="17"/>
      <c r="M367" s="17"/>
      <c r="N367" s="17"/>
      <c r="O367" s="17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</row>
    <row r="368" spans="11:110" x14ac:dyDescent="0.25">
      <c r="K368" s="119"/>
      <c r="L368" s="17"/>
      <c r="M368" s="17"/>
      <c r="N368" s="17"/>
      <c r="O368" s="17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</row>
    <row r="369" spans="11:110" x14ac:dyDescent="0.25">
      <c r="K369" s="119"/>
      <c r="L369" s="17"/>
      <c r="M369" s="17"/>
      <c r="N369" s="17"/>
      <c r="O369" s="17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</row>
    <row r="370" spans="11:110" x14ac:dyDescent="0.25">
      <c r="K370" s="119"/>
      <c r="L370" s="17"/>
      <c r="M370" s="17"/>
      <c r="N370" s="17"/>
      <c r="O370" s="17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</row>
    <row r="371" spans="11:110" x14ac:dyDescent="0.25">
      <c r="K371" s="119"/>
      <c r="L371" s="17"/>
      <c r="M371" s="17"/>
      <c r="N371" s="17"/>
      <c r="O371" s="17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</row>
    <row r="372" spans="11:110" x14ac:dyDescent="0.25">
      <c r="K372" s="119"/>
      <c r="L372" s="17"/>
      <c r="M372" s="17"/>
      <c r="N372" s="17"/>
      <c r="O372" s="17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</row>
    <row r="373" spans="11:110" x14ac:dyDescent="0.25">
      <c r="K373" s="119"/>
      <c r="L373" s="17"/>
      <c r="M373" s="17"/>
      <c r="N373" s="17"/>
      <c r="O373" s="17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</row>
    <row r="374" spans="11:110" x14ac:dyDescent="0.25">
      <c r="K374" s="119"/>
      <c r="L374" s="17"/>
      <c r="M374" s="17"/>
      <c r="N374" s="17"/>
      <c r="O374" s="17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</row>
    <row r="375" spans="11:110" x14ac:dyDescent="0.25">
      <c r="K375" s="119"/>
      <c r="L375" s="17"/>
      <c r="M375" s="17"/>
      <c r="N375" s="17"/>
      <c r="O375" s="17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</row>
    <row r="376" spans="11:110" x14ac:dyDescent="0.25">
      <c r="K376" s="119"/>
      <c r="L376" s="17"/>
      <c r="M376" s="17"/>
      <c r="N376" s="17"/>
      <c r="O376" s="17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</row>
    <row r="377" spans="11:110" x14ac:dyDescent="0.25">
      <c r="K377" s="119"/>
      <c r="L377" s="17"/>
      <c r="M377" s="17"/>
      <c r="N377" s="17"/>
      <c r="O377" s="17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</row>
    <row r="378" spans="11:110" x14ac:dyDescent="0.25">
      <c r="K378" s="119"/>
      <c r="L378" s="17"/>
      <c r="M378" s="17"/>
      <c r="N378" s="17"/>
      <c r="O378" s="17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</row>
    <row r="379" spans="11:110" x14ac:dyDescent="0.25">
      <c r="K379" s="119"/>
      <c r="L379" s="17"/>
      <c r="M379" s="17"/>
      <c r="N379" s="17"/>
      <c r="O379" s="17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</row>
    <row r="380" spans="11:110" x14ac:dyDescent="0.25">
      <c r="K380" s="119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</row>
    <row r="381" spans="11:110" x14ac:dyDescent="0.25">
      <c r="K381" s="119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</row>
    <row r="382" spans="11:110" x14ac:dyDescent="0.25">
      <c r="K382" s="119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</row>
    <row r="383" spans="11:110" x14ac:dyDescent="0.25">
      <c r="K383" s="119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</row>
    <row r="384" spans="11:110" x14ac:dyDescent="0.25">
      <c r="K384" s="119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</row>
    <row r="385" spans="11:110" x14ac:dyDescent="0.25">
      <c r="K385" s="119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</row>
    <row r="386" spans="11:110" x14ac:dyDescent="0.25">
      <c r="K386" s="119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</row>
    <row r="387" spans="11:110" x14ac:dyDescent="0.25">
      <c r="K387" s="119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</row>
    <row r="401" s="88" customFormat="1" x14ac:dyDescent="0.25"/>
    <row r="402" s="88" customFormat="1" x14ac:dyDescent="0.25"/>
    <row r="403" s="88" customFormat="1" x14ac:dyDescent="0.25"/>
    <row r="404" s="88" customFormat="1" x14ac:dyDescent="0.25"/>
    <row r="405" s="88" customFormat="1" x14ac:dyDescent="0.25"/>
    <row r="406" s="88" customFormat="1" x14ac:dyDescent="0.25"/>
    <row r="407" s="88" customFormat="1" x14ac:dyDescent="0.25"/>
    <row r="408" s="88" customFormat="1" x14ac:dyDescent="0.25"/>
    <row r="409" s="88" customFormat="1" x14ac:dyDescent="0.25"/>
    <row r="410" s="88" customFormat="1" x14ac:dyDescent="0.25"/>
    <row r="411" s="88" customFormat="1" x14ac:dyDescent="0.25"/>
    <row r="412" s="88" customFormat="1" x14ac:dyDescent="0.25"/>
    <row r="413" s="88" customFormat="1" x14ac:dyDescent="0.25"/>
    <row r="414" s="88" customFormat="1" x14ac:dyDescent="0.25"/>
    <row r="415" s="88" customFormat="1" x14ac:dyDescent="0.25"/>
    <row r="416" s="88" customFormat="1" x14ac:dyDescent="0.25"/>
    <row r="417" s="88" customFormat="1" x14ac:dyDescent="0.25"/>
    <row r="418" s="88" customFormat="1" x14ac:dyDescent="0.25"/>
    <row r="419" s="88" customFormat="1" x14ac:dyDescent="0.25"/>
    <row r="420" s="88" customFormat="1" x14ac:dyDescent="0.25"/>
    <row r="421" s="88" customFormat="1" x14ac:dyDescent="0.25"/>
    <row r="422" s="88" customFormat="1" x14ac:dyDescent="0.25"/>
    <row r="423" s="88" customFormat="1" x14ac:dyDescent="0.25"/>
    <row r="424" s="88" customFormat="1" x14ac:dyDescent="0.25"/>
    <row r="425" s="88" customFormat="1" x14ac:dyDescent="0.25"/>
    <row r="426" s="88" customFormat="1" x14ac:dyDescent="0.25"/>
    <row r="427" s="88" customFormat="1" x14ac:dyDescent="0.25"/>
    <row r="428" s="88" customFormat="1" x14ac:dyDescent="0.25"/>
    <row r="429" s="88" customFormat="1" x14ac:dyDescent="0.25"/>
    <row r="430" s="88" customFormat="1" x14ac:dyDescent="0.25"/>
    <row r="431" s="88" customFormat="1" x14ac:dyDescent="0.25"/>
    <row r="432" s="88" customFormat="1" x14ac:dyDescent="0.25"/>
    <row r="433" s="88" customFormat="1" x14ac:dyDescent="0.25"/>
    <row r="434" s="88" customFormat="1" x14ac:dyDescent="0.25"/>
    <row r="435" s="88" customFormat="1" x14ac:dyDescent="0.25"/>
    <row r="436" s="88" customFormat="1" x14ac:dyDescent="0.25"/>
    <row r="437" s="88" customFormat="1" x14ac:dyDescent="0.25"/>
    <row r="438" s="88" customFormat="1" x14ac:dyDescent="0.25"/>
    <row r="439" s="88" customFormat="1" x14ac:dyDescent="0.25"/>
    <row r="440" s="88" customFormat="1" x14ac:dyDescent="0.25"/>
    <row r="441" s="88" customFormat="1" x14ac:dyDescent="0.25"/>
    <row r="442" s="88" customFormat="1" x14ac:dyDescent="0.25"/>
    <row r="443" s="88" customFormat="1" x14ac:dyDescent="0.25"/>
    <row r="444" s="88" customFormat="1" x14ac:dyDescent="0.25"/>
    <row r="445" s="88" customFormat="1" x14ac:dyDescent="0.25"/>
    <row r="446" s="88" customFormat="1" x14ac:dyDescent="0.25"/>
    <row r="447" s="88" customFormat="1" x14ac:dyDescent="0.25"/>
    <row r="448" s="88" customFormat="1" x14ac:dyDescent="0.25"/>
    <row r="449" s="88" customFormat="1" x14ac:dyDescent="0.25"/>
    <row r="450" s="88" customFormat="1" x14ac:dyDescent="0.25"/>
    <row r="451" s="88" customFormat="1" x14ac:dyDescent="0.25"/>
    <row r="452" s="88" customFormat="1" x14ac:dyDescent="0.25"/>
    <row r="453" s="88" customFormat="1" x14ac:dyDescent="0.25"/>
    <row r="454" s="88" customFormat="1" x14ac:dyDescent="0.25"/>
    <row r="455" s="88" customFormat="1" x14ac:dyDescent="0.25"/>
    <row r="456" s="88" customFormat="1" x14ac:dyDescent="0.25"/>
    <row r="457" s="88" customFormat="1" x14ac:dyDescent="0.25"/>
    <row r="458" s="88" customFormat="1" x14ac:dyDescent="0.25"/>
    <row r="459" s="88" customFormat="1" x14ac:dyDescent="0.25"/>
    <row r="460" s="88" customFormat="1" x14ac:dyDescent="0.25"/>
    <row r="461" s="88" customFormat="1" x14ac:dyDescent="0.25"/>
    <row r="462" s="88" customFormat="1" x14ac:dyDescent="0.25"/>
    <row r="463" s="88" customFormat="1" x14ac:dyDescent="0.25"/>
    <row r="464" s="88" customFormat="1" x14ac:dyDescent="0.25"/>
    <row r="465" s="88" customFormat="1" x14ac:dyDescent="0.25"/>
    <row r="466" s="88" customFormat="1" x14ac:dyDescent="0.25"/>
    <row r="467" s="88" customFormat="1" x14ac:dyDescent="0.25"/>
    <row r="468" s="88" customFormat="1" x14ac:dyDescent="0.25"/>
    <row r="469" s="88" customFormat="1" x14ac:dyDescent="0.25"/>
    <row r="470" s="88" customFormat="1" x14ac:dyDescent="0.25"/>
    <row r="471" s="88" customFormat="1" x14ac:dyDescent="0.25"/>
    <row r="472" s="88" customFormat="1" x14ac:dyDescent="0.25"/>
    <row r="473" s="88" customFormat="1" x14ac:dyDescent="0.25"/>
    <row r="474" s="88" customFormat="1" x14ac:dyDescent="0.25"/>
    <row r="475" s="88" customFormat="1" x14ac:dyDescent="0.25"/>
    <row r="476" s="88" customFormat="1" x14ac:dyDescent="0.25"/>
    <row r="477" s="88" customFormat="1" x14ac:dyDescent="0.25"/>
    <row r="478" s="88" customFormat="1" x14ac:dyDescent="0.25"/>
    <row r="479" s="88" customFormat="1" x14ac:dyDescent="0.25"/>
    <row r="480" s="88" customFormat="1" x14ac:dyDescent="0.25"/>
    <row r="481" s="88" customFormat="1" x14ac:dyDescent="0.25"/>
    <row r="482" s="88" customFormat="1" x14ac:dyDescent="0.25"/>
    <row r="483" s="88" customFormat="1" x14ac:dyDescent="0.25"/>
    <row r="484" s="88" customFormat="1" x14ac:dyDescent="0.25"/>
    <row r="485" s="88" customFormat="1" x14ac:dyDescent="0.25"/>
    <row r="486" s="88" customFormat="1" x14ac:dyDescent="0.25"/>
    <row r="487" s="88" customFormat="1" x14ac:dyDescent="0.25"/>
    <row r="488" s="88" customFormat="1" x14ac:dyDescent="0.25"/>
    <row r="489" s="88" customFormat="1" x14ac:dyDescent="0.25"/>
    <row r="490" s="88" customFormat="1" x14ac:dyDescent="0.25"/>
    <row r="491" s="88" customFormat="1" x14ac:dyDescent="0.25"/>
    <row r="492" s="88" customFormat="1" x14ac:dyDescent="0.25"/>
    <row r="493" s="88" customFormat="1" x14ac:dyDescent="0.25"/>
    <row r="494" s="88" customFormat="1" x14ac:dyDescent="0.25"/>
    <row r="495" s="88" customFormat="1" x14ac:dyDescent="0.25"/>
    <row r="496" s="88" customFormat="1" x14ac:dyDescent="0.25"/>
    <row r="497" s="88" customFormat="1" x14ac:dyDescent="0.25"/>
    <row r="498" s="88" customFormat="1" x14ac:dyDescent="0.25"/>
    <row r="499" s="88" customFormat="1" x14ac:dyDescent="0.25"/>
    <row r="500" s="88" customFormat="1" x14ac:dyDescent="0.25"/>
    <row r="501" s="88" customFormat="1" x14ac:dyDescent="0.25"/>
    <row r="502" s="88" customFormat="1" x14ac:dyDescent="0.25"/>
    <row r="503" s="88" customFormat="1" x14ac:dyDescent="0.25"/>
    <row r="504" s="88" customFormat="1" x14ac:dyDescent="0.25"/>
    <row r="505" s="88" customFormat="1" x14ac:dyDescent="0.25"/>
    <row r="506" s="88" customFormat="1" x14ac:dyDescent="0.25"/>
    <row r="507" s="88" customFormat="1" x14ac:dyDescent="0.25"/>
    <row r="508" s="88" customFormat="1" x14ac:dyDescent="0.25"/>
    <row r="509" s="88" customFormat="1" x14ac:dyDescent="0.25"/>
    <row r="510" s="88" customFormat="1" x14ac:dyDescent="0.25"/>
    <row r="511" s="88" customFormat="1" x14ac:dyDescent="0.25"/>
    <row r="512" s="88" customFormat="1" x14ac:dyDescent="0.25"/>
    <row r="513" s="88" customFormat="1" x14ac:dyDescent="0.25"/>
    <row r="514" s="88" customFormat="1" x14ac:dyDescent="0.25"/>
    <row r="515" s="88" customFormat="1" x14ac:dyDescent="0.25"/>
    <row r="516" s="88" customFormat="1" x14ac:dyDescent="0.25"/>
    <row r="517" s="88" customFormat="1" x14ac:dyDescent="0.25"/>
    <row r="518" s="88" customFormat="1" x14ac:dyDescent="0.25"/>
    <row r="519" s="88" customFormat="1" x14ac:dyDescent="0.25"/>
    <row r="520" s="88" customFormat="1" x14ac:dyDescent="0.25"/>
    <row r="521" s="88" customFormat="1" x14ac:dyDescent="0.25"/>
    <row r="522" s="88" customFormat="1" x14ac:dyDescent="0.25"/>
    <row r="523" s="88" customFormat="1" x14ac:dyDescent="0.25"/>
    <row r="524" s="88" customFormat="1" x14ac:dyDescent="0.25"/>
    <row r="525" s="88" customFormat="1" x14ac:dyDescent="0.25"/>
    <row r="526" s="88" customFormat="1" x14ac:dyDescent="0.25"/>
    <row r="527" s="88" customFormat="1" x14ac:dyDescent="0.25"/>
    <row r="528" s="88" customFormat="1" x14ac:dyDescent="0.25"/>
    <row r="529" s="88" customFormat="1" x14ac:dyDescent="0.25"/>
    <row r="530" s="88" customFormat="1" x14ac:dyDescent="0.25"/>
    <row r="531" s="88" customFormat="1" x14ac:dyDescent="0.25"/>
    <row r="532" s="88" customFormat="1" x14ac:dyDescent="0.25"/>
    <row r="533" s="88" customFormat="1" x14ac:dyDescent="0.25"/>
    <row r="534" s="88" customFormat="1" x14ac:dyDescent="0.25"/>
    <row r="535" s="88" customFormat="1" x14ac:dyDescent="0.25"/>
    <row r="536" s="88" customFormat="1" x14ac:dyDescent="0.25"/>
    <row r="537" s="88" customFormat="1" x14ac:dyDescent="0.25"/>
    <row r="538" s="88" customFormat="1" x14ac:dyDescent="0.25"/>
    <row r="539" s="88" customFormat="1" x14ac:dyDescent="0.25"/>
    <row r="540" s="88" customFormat="1" x14ac:dyDescent="0.25"/>
    <row r="541" s="88" customFormat="1" x14ac:dyDescent="0.25"/>
    <row r="542" s="88" customFormat="1" x14ac:dyDescent="0.25"/>
    <row r="543" s="88" customFormat="1" x14ac:dyDescent="0.25"/>
    <row r="544" s="88" customFormat="1" x14ac:dyDescent="0.25"/>
    <row r="545" s="88" customFormat="1" x14ac:dyDescent="0.25"/>
    <row r="546" s="88" customFormat="1" x14ac:dyDescent="0.25"/>
    <row r="547" s="88" customFormat="1" x14ac:dyDescent="0.25"/>
    <row r="548" s="88" customFormat="1" x14ac:dyDescent="0.25"/>
    <row r="549" s="88" customFormat="1" x14ac:dyDescent="0.25"/>
    <row r="550" s="88" customFormat="1" x14ac:dyDescent="0.25"/>
    <row r="551" s="88" customFormat="1" x14ac:dyDescent="0.25"/>
    <row r="552" s="88" customFormat="1" x14ac:dyDescent="0.25"/>
    <row r="553" s="88" customFormat="1" x14ac:dyDescent="0.25"/>
    <row r="554" s="88" customFormat="1" x14ac:dyDescent="0.25"/>
    <row r="555" s="88" customFormat="1" x14ac:dyDescent="0.25"/>
    <row r="556" s="88" customFormat="1" x14ac:dyDescent="0.25"/>
    <row r="557" s="88" customFormat="1" x14ac:dyDescent="0.25"/>
    <row r="558" s="88" customFormat="1" x14ac:dyDescent="0.25"/>
    <row r="559" s="88" customFormat="1" x14ac:dyDescent="0.25"/>
    <row r="560" s="88" customFormat="1" x14ac:dyDescent="0.25"/>
    <row r="561" s="88" customFormat="1" x14ac:dyDescent="0.25"/>
    <row r="562" s="88" customFormat="1" x14ac:dyDescent="0.25"/>
    <row r="563" s="88" customFormat="1" x14ac:dyDescent="0.25"/>
    <row r="564" s="88" customFormat="1" x14ac:dyDescent="0.25"/>
    <row r="565" s="88" customFormat="1" x14ac:dyDescent="0.25"/>
    <row r="566" s="88" customFormat="1" x14ac:dyDescent="0.25"/>
    <row r="567" s="88" customFormat="1" x14ac:dyDescent="0.25"/>
    <row r="568" s="88" customFormat="1" x14ac:dyDescent="0.25"/>
    <row r="569" s="88" customFormat="1" x14ac:dyDescent="0.25"/>
    <row r="570" s="88" customFormat="1" x14ac:dyDescent="0.25"/>
    <row r="571" s="88" customFormat="1" x14ac:dyDescent="0.25"/>
    <row r="572" s="88" customFormat="1" x14ac:dyDescent="0.25"/>
    <row r="573" s="88" customFormat="1" x14ac:dyDescent="0.25"/>
    <row r="574" s="88" customFormat="1" x14ac:dyDescent="0.25"/>
    <row r="575" s="88" customFormat="1" x14ac:dyDescent="0.25"/>
    <row r="576" s="88" customFormat="1" x14ac:dyDescent="0.25"/>
    <row r="577" s="88" customFormat="1" x14ac:dyDescent="0.25"/>
    <row r="578" s="88" customFormat="1" x14ac:dyDescent="0.25"/>
    <row r="579" s="88" customFormat="1" x14ac:dyDescent="0.25"/>
    <row r="580" s="88" customFormat="1" x14ac:dyDescent="0.25"/>
    <row r="581" s="88" customFormat="1" x14ac:dyDescent="0.25"/>
    <row r="582" s="88" customFormat="1" x14ac:dyDescent="0.25"/>
    <row r="583" s="88" customFormat="1" x14ac:dyDescent="0.25"/>
    <row r="584" s="88" customFormat="1" x14ac:dyDescent="0.25"/>
    <row r="585" s="88" customFormat="1" x14ac:dyDescent="0.25"/>
    <row r="586" s="88" customFormat="1" x14ac:dyDescent="0.25"/>
    <row r="587" s="88" customFormat="1" x14ac:dyDescent="0.25"/>
    <row r="588" s="88" customFormat="1" x14ac:dyDescent="0.25"/>
    <row r="589" s="88" customFormat="1" x14ac:dyDescent="0.25"/>
    <row r="590" s="88" customFormat="1" x14ac:dyDescent="0.25"/>
    <row r="591" s="88" customFormat="1" x14ac:dyDescent="0.25"/>
    <row r="592" s="88" customFormat="1" x14ac:dyDescent="0.25"/>
    <row r="593" s="88" customFormat="1" x14ac:dyDescent="0.25"/>
    <row r="594" s="88" customFormat="1" x14ac:dyDescent="0.25"/>
    <row r="595" s="88" customFormat="1" x14ac:dyDescent="0.25"/>
    <row r="596" s="88" customFormat="1" x14ac:dyDescent="0.25"/>
    <row r="597" s="88" customFormat="1" x14ac:dyDescent="0.25"/>
    <row r="598" s="88" customFormat="1" x14ac:dyDescent="0.25"/>
    <row r="599" s="88" customFormat="1" x14ac:dyDescent="0.25"/>
    <row r="600" s="88" customFormat="1" x14ac:dyDescent="0.25"/>
    <row r="601" s="88" customFormat="1" x14ac:dyDescent="0.25"/>
    <row r="602" s="88" customFormat="1" x14ac:dyDescent="0.25"/>
    <row r="603" s="88" customFormat="1" x14ac:dyDescent="0.25"/>
    <row r="604" s="88" customFormat="1" x14ac:dyDescent="0.25"/>
    <row r="605" s="88" customFormat="1" x14ac:dyDescent="0.25"/>
    <row r="606" s="88" customFormat="1" x14ac:dyDescent="0.25"/>
    <row r="607" s="88" customFormat="1" x14ac:dyDescent="0.25"/>
    <row r="608" s="88" customFormat="1" x14ac:dyDescent="0.25"/>
    <row r="609" s="88" customFormat="1" x14ac:dyDescent="0.25"/>
    <row r="610" s="88" customFormat="1" x14ac:dyDescent="0.25"/>
    <row r="611" s="88" customFormat="1" x14ac:dyDescent="0.25"/>
    <row r="612" s="88" customFormat="1" x14ac:dyDescent="0.25"/>
    <row r="613" s="88" customFormat="1" x14ac:dyDescent="0.25"/>
    <row r="614" s="88" customFormat="1" x14ac:dyDescent="0.25"/>
    <row r="615" s="88" customFormat="1" x14ac:dyDescent="0.25"/>
    <row r="616" s="88" customFormat="1" x14ac:dyDescent="0.25"/>
    <row r="617" s="88" customFormat="1" x14ac:dyDescent="0.25"/>
    <row r="618" s="88" customFormat="1" x14ac:dyDescent="0.25"/>
    <row r="619" s="88" customFormat="1" x14ac:dyDescent="0.25"/>
    <row r="620" s="88" customFormat="1" x14ac:dyDescent="0.25"/>
    <row r="621" s="88" customFormat="1" x14ac:dyDescent="0.25"/>
    <row r="622" s="88" customFormat="1" x14ac:dyDescent="0.25"/>
    <row r="623" s="88" customFormat="1" x14ac:dyDescent="0.25"/>
    <row r="624" s="88" customFormat="1" x14ac:dyDescent="0.25"/>
    <row r="625" s="88" customFormat="1" x14ac:dyDescent="0.25"/>
    <row r="626" s="88" customFormat="1" x14ac:dyDescent="0.25"/>
    <row r="627" s="88" customFormat="1" x14ac:dyDescent="0.25"/>
    <row r="628" s="88" customFormat="1" x14ac:dyDescent="0.25"/>
    <row r="629" s="88" customFormat="1" x14ac:dyDescent="0.25"/>
    <row r="630" s="88" customFormat="1" x14ac:dyDescent="0.25"/>
    <row r="631" s="88" customFormat="1" x14ac:dyDescent="0.25"/>
    <row r="632" s="88" customFormat="1" x14ac:dyDescent="0.25"/>
    <row r="633" s="88" customFormat="1" x14ac:dyDescent="0.25"/>
    <row r="634" s="88" customFormat="1" x14ac:dyDescent="0.25"/>
    <row r="635" s="88" customFormat="1" x14ac:dyDescent="0.25"/>
    <row r="636" s="88" customFormat="1" x14ac:dyDescent="0.25"/>
    <row r="637" s="88" customFormat="1" x14ac:dyDescent="0.25"/>
    <row r="638" s="88" customFormat="1" x14ac:dyDescent="0.25"/>
    <row r="639" s="88" customFormat="1" x14ac:dyDescent="0.25"/>
    <row r="640" s="88" customFormat="1" x14ac:dyDescent="0.25"/>
    <row r="641" s="88" customFormat="1" x14ac:dyDescent="0.25"/>
    <row r="642" s="88" customFormat="1" x14ac:dyDescent="0.25"/>
    <row r="643" s="88" customFormat="1" x14ac:dyDescent="0.25"/>
    <row r="644" s="88" customFormat="1" x14ac:dyDescent="0.25"/>
    <row r="645" s="88" customFormat="1" x14ac:dyDescent="0.25"/>
    <row r="646" s="88" customFormat="1" x14ac:dyDescent="0.25"/>
    <row r="647" s="88" customFormat="1" x14ac:dyDescent="0.25"/>
    <row r="648" s="88" customFormat="1" x14ac:dyDescent="0.25"/>
    <row r="649" s="88" customFormat="1" x14ac:dyDescent="0.25"/>
    <row r="650" s="88" customFormat="1" x14ac:dyDescent="0.25"/>
    <row r="651" s="88" customFormat="1" x14ac:dyDescent="0.25"/>
    <row r="652" s="88" customFormat="1" x14ac:dyDescent="0.25"/>
    <row r="653" s="88" customFormat="1" x14ac:dyDescent="0.25"/>
    <row r="654" s="88" customFormat="1" x14ac:dyDescent="0.25"/>
    <row r="655" s="88" customFormat="1" x14ac:dyDescent="0.25"/>
    <row r="656" s="88" customFormat="1" x14ac:dyDescent="0.25"/>
    <row r="657" s="88" customFormat="1" x14ac:dyDescent="0.25"/>
    <row r="658" s="88" customFormat="1" x14ac:dyDescent="0.25"/>
    <row r="659" s="88" customFormat="1" x14ac:dyDescent="0.25"/>
    <row r="660" s="88" customFormat="1" x14ac:dyDescent="0.25"/>
    <row r="661" s="88" customFormat="1" x14ac:dyDescent="0.25"/>
    <row r="662" s="88" customFormat="1" x14ac:dyDescent="0.25"/>
    <row r="663" s="88" customFormat="1" x14ac:dyDescent="0.25"/>
    <row r="664" s="88" customFormat="1" x14ac:dyDescent="0.25"/>
    <row r="665" s="88" customFormat="1" x14ac:dyDescent="0.25"/>
    <row r="666" s="88" customFormat="1" x14ac:dyDescent="0.25"/>
    <row r="667" s="88" customFormat="1" x14ac:dyDescent="0.25"/>
    <row r="668" s="88" customFormat="1" x14ac:dyDescent="0.25"/>
    <row r="669" s="88" customFormat="1" x14ac:dyDescent="0.25"/>
    <row r="670" s="88" customFormat="1" x14ac:dyDescent="0.25"/>
    <row r="671" s="88" customFormat="1" x14ac:dyDescent="0.25"/>
    <row r="672" s="88" customFormat="1" x14ac:dyDescent="0.25"/>
    <row r="673" s="88" customFormat="1" x14ac:dyDescent="0.25"/>
    <row r="674" s="88" customFormat="1" x14ac:dyDescent="0.25"/>
    <row r="675" s="88" customFormat="1" x14ac:dyDescent="0.25"/>
    <row r="676" s="88" customFormat="1" x14ac:dyDescent="0.25"/>
    <row r="677" s="88" customFormat="1" x14ac:dyDescent="0.25"/>
    <row r="678" s="88" customFormat="1" x14ac:dyDescent="0.25"/>
    <row r="679" s="88" customFormat="1" x14ac:dyDescent="0.25"/>
    <row r="680" s="88" customFormat="1" x14ac:dyDescent="0.25"/>
    <row r="681" s="88" customFormat="1" x14ac:dyDescent="0.25"/>
    <row r="682" s="88" customFormat="1" x14ac:dyDescent="0.25"/>
    <row r="683" s="88" customFormat="1" x14ac:dyDescent="0.25"/>
    <row r="684" s="88" customFormat="1" x14ac:dyDescent="0.25"/>
    <row r="685" s="88" customFormat="1" x14ac:dyDescent="0.25"/>
    <row r="686" s="88" customFormat="1" x14ac:dyDescent="0.25"/>
    <row r="687" s="88" customFormat="1" x14ac:dyDescent="0.25"/>
    <row r="688" s="88" customFormat="1" x14ac:dyDescent="0.25"/>
    <row r="689" s="88" customFormat="1" x14ac:dyDescent="0.25"/>
    <row r="690" s="88" customFormat="1" x14ac:dyDescent="0.25"/>
    <row r="691" s="88" customFormat="1" x14ac:dyDescent="0.25"/>
    <row r="692" s="88" customFormat="1" x14ac:dyDescent="0.25"/>
    <row r="693" s="88" customFormat="1" x14ac:dyDescent="0.25"/>
    <row r="694" s="88" customFormat="1" x14ac:dyDescent="0.25"/>
    <row r="695" s="88" customFormat="1" x14ac:dyDescent="0.25"/>
    <row r="696" s="88" customFormat="1" x14ac:dyDescent="0.25"/>
    <row r="697" s="88" customFormat="1" x14ac:dyDescent="0.25"/>
    <row r="698" s="88" customFormat="1" x14ac:dyDescent="0.25"/>
    <row r="699" s="88" customFormat="1" x14ac:dyDescent="0.25"/>
    <row r="700" s="88" customFormat="1" x14ac:dyDescent="0.25"/>
    <row r="701" s="88" customFormat="1" x14ac:dyDescent="0.25"/>
    <row r="702" s="88" customFormat="1" x14ac:dyDescent="0.25"/>
    <row r="703" s="88" customFormat="1" x14ac:dyDescent="0.25"/>
    <row r="704" s="88" customFormat="1" x14ac:dyDescent="0.25"/>
    <row r="705" s="88" customFormat="1" x14ac:dyDescent="0.25"/>
    <row r="706" s="88" customFormat="1" x14ac:dyDescent="0.25"/>
    <row r="707" s="88" customFormat="1" x14ac:dyDescent="0.25"/>
    <row r="708" s="88" customFormat="1" x14ac:dyDescent="0.25"/>
    <row r="709" s="88" customFormat="1" x14ac:dyDescent="0.25"/>
    <row r="710" s="88" customFormat="1" x14ac:dyDescent="0.25"/>
    <row r="711" s="88" customFormat="1" x14ac:dyDescent="0.25"/>
    <row r="712" s="88" customFormat="1" x14ac:dyDescent="0.25"/>
    <row r="713" s="88" customFormat="1" x14ac:dyDescent="0.25"/>
    <row r="714" s="88" customFormat="1" x14ac:dyDescent="0.25"/>
    <row r="715" s="88" customFormat="1" x14ac:dyDescent="0.25"/>
    <row r="716" s="88" customFormat="1" x14ac:dyDescent="0.25"/>
    <row r="717" s="88" customFormat="1" x14ac:dyDescent="0.25"/>
    <row r="718" s="88" customFormat="1" x14ac:dyDescent="0.25"/>
    <row r="719" s="88" customFormat="1" x14ac:dyDescent="0.25"/>
    <row r="720" s="88" customFormat="1" x14ac:dyDescent="0.25"/>
    <row r="721" s="88" customFormat="1" x14ac:dyDescent="0.25"/>
    <row r="722" s="88" customFormat="1" x14ac:dyDescent="0.25"/>
    <row r="723" s="88" customFormat="1" x14ac:dyDescent="0.25"/>
    <row r="724" s="88" customFormat="1" x14ac:dyDescent="0.25"/>
    <row r="725" s="88" customFormat="1" x14ac:dyDescent="0.25"/>
    <row r="726" s="88" customFormat="1" x14ac:dyDescent="0.25"/>
    <row r="727" s="88" customFormat="1" x14ac:dyDescent="0.25"/>
    <row r="728" s="88" customFormat="1" x14ac:dyDescent="0.25"/>
    <row r="729" s="88" customFormat="1" x14ac:dyDescent="0.25"/>
    <row r="730" s="88" customFormat="1" x14ac:dyDescent="0.25"/>
    <row r="731" s="88" customFormat="1" x14ac:dyDescent="0.25"/>
  </sheetData>
  <mergeCells count="6">
    <mergeCell ref="P9:Q9"/>
    <mergeCell ref="B10:C10"/>
    <mergeCell ref="F8:G8"/>
    <mergeCell ref="F9:G9"/>
    <mergeCell ref="J9:K9"/>
    <mergeCell ref="L9:M9"/>
  </mergeCells>
  <dataValidations count="2">
    <dataValidation type="list" allowBlank="1" showInputMessage="1" showErrorMessage="1" sqref="C14" xr:uid="{D5C67039-3212-4DA4-BEA2-DF358B1FAF21}">
      <formula1>$S$10:$V$10</formula1>
    </dataValidation>
    <dataValidation type="list" allowBlank="1" showInputMessage="1" showErrorMessage="1" sqref="C13" xr:uid="{F21EE088-BE35-4A13-979D-C343B9425FE6}">
      <formula1>"PWC,PWL,CubicSpline"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locked="0" defaultSize="0" print="0" autoFill="0" autoPict="0" macro="[0]!SolveCDSCurve">
                <anchor moveWithCells="1" sizeWithCells="1">
                  <from>
                    <xdr:col>7</xdr:col>
                    <xdr:colOff>45720</xdr:colOff>
                    <xdr:row>7</xdr:row>
                    <xdr:rowOff>83820</xdr:rowOff>
                  </from>
                  <to>
                    <xdr:col>8</xdr:col>
                    <xdr:colOff>15240</xdr:colOff>
                    <xdr:row>8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46234-585D-4CEC-BE9D-62463C73192B}">
  <sheetPr codeName="Sheet7"/>
  <dimension ref="A1:GO315"/>
  <sheetViews>
    <sheetView showGridLines="0" zoomScale="120" zoomScaleNormal="120" workbookViewId="0">
      <selection activeCell="O9" sqref="O9"/>
    </sheetView>
  </sheetViews>
  <sheetFormatPr defaultColWidth="8.88671875" defaultRowHeight="13.2" x14ac:dyDescent="0.25"/>
  <cols>
    <col min="1" max="1" width="8.88671875" style="130"/>
    <col min="2" max="2" width="11.33203125" style="130" customWidth="1"/>
    <col min="3" max="6" width="9.88671875" style="130" customWidth="1"/>
    <col min="7" max="7" width="10" style="130" customWidth="1"/>
    <col min="8" max="8" width="11.77734375" style="130" bestFit="1" customWidth="1"/>
    <col min="9" max="9" width="10.77734375" style="130" customWidth="1"/>
    <col min="10" max="10" width="9.77734375" style="130" customWidth="1"/>
    <col min="11" max="11" width="8.44140625" style="130" customWidth="1"/>
    <col min="12" max="12" width="7.6640625" style="130" customWidth="1"/>
    <col min="13" max="13" width="10.88671875" style="130" bestFit="1" customWidth="1"/>
    <col min="14" max="14" width="9.109375" style="130" customWidth="1"/>
    <col min="15" max="193" width="8.88671875" style="130"/>
    <col min="194" max="194" width="11.33203125" style="130" bestFit="1" customWidth="1"/>
    <col min="195" max="16384" width="8.88671875" style="130"/>
  </cols>
  <sheetData>
    <row r="1" spans="2:197" x14ac:dyDescent="0.25">
      <c r="B1" s="129"/>
      <c r="C1" s="129"/>
      <c r="D1" s="129"/>
      <c r="E1" s="129"/>
      <c r="F1" s="129"/>
      <c r="G1" s="129"/>
      <c r="H1" s="129"/>
      <c r="J1" s="129"/>
      <c r="K1" s="129"/>
      <c r="L1" s="129"/>
      <c r="M1" s="129"/>
      <c r="N1" s="129"/>
      <c r="O1" s="129"/>
    </row>
    <row r="2" spans="2:197" x14ac:dyDescent="0.25">
      <c r="B2" s="129"/>
      <c r="C2" s="129"/>
      <c r="D2" s="129"/>
      <c r="E2" s="129"/>
      <c r="F2" s="129"/>
      <c r="J2" s="129"/>
      <c r="K2" s="129"/>
      <c r="L2" s="129"/>
      <c r="M2" s="129"/>
      <c r="N2" s="129"/>
      <c r="O2" s="129"/>
    </row>
    <row r="3" spans="2:197" x14ac:dyDescent="0.25">
      <c r="B3" s="129"/>
      <c r="C3" s="129"/>
      <c r="D3" s="129"/>
      <c r="E3" s="129"/>
      <c r="F3" s="129"/>
      <c r="J3" s="129"/>
      <c r="K3" s="129"/>
      <c r="L3" s="129"/>
      <c r="M3" s="129"/>
      <c r="N3" s="129"/>
      <c r="O3" s="129"/>
    </row>
    <row r="4" spans="2:197" x14ac:dyDescent="0.25">
      <c r="B4" s="129"/>
      <c r="C4" s="129"/>
      <c r="D4" s="129"/>
      <c r="E4" s="129"/>
      <c r="F4" s="129"/>
      <c r="J4" s="129"/>
      <c r="K4" s="129"/>
      <c r="L4" s="129"/>
      <c r="M4" s="129"/>
      <c r="N4" s="129"/>
      <c r="O4" s="129"/>
    </row>
    <row r="5" spans="2:197" x14ac:dyDescent="0.25">
      <c r="B5" s="129"/>
      <c r="C5" s="129"/>
      <c r="D5" s="129"/>
      <c r="E5" s="129"/>
      <c r="F5" s="129"/>
      <c r="J5" s="129"/>
      <c r="K5" s="129"/>
      <c r="L5" s="129"/>
      <c r="M5" s="129"/>
      <c r="N5" s="129"/>
      <c r="O5" s="129"/>
    </row>
    <row r="6" spans="2:197" x14ac:dyDescent="0.25">
      <c r="B6" s="129"/>
      <c r="C6" s="129"/>
      <c r="D6" s="129"/>
      <c r="E6" s="129"/>
      <c r="F6" s="129"/>
      <c r="J6" s="129"/>
      <c r="K6" s="129"/>
      <c r="L6" s="129"/>
      <c r="M6" s="129"/>
      <c r="N6" s="129"/>
    </row>
    <row r="7" spans="2:197" ht="13.8" thickBot="1" x14ac:dyDescent="0.3"/>
    <row r="8" spans="2:197" ht="13.8" thickBot="1" x14ac:dyDescent="0.3">
      <c r="B8" s="132"/>
      <c r="C8" s="133" t="s">
        <v>65</v>
      </c>
      <c r="E8" s="240" t="s">
        <v>84</v>
      </c>
      <c r="F8" s="241"/>
      <c r="G8" s="242"/>
    </row>
    <row r="9" spans="2:197" x14ac:dyDescent="0.25">
      <c r="B9" s="137" t="s">
        <v>71</v>
      </c>
      <c r="C9" s="138" t="s">
        <v>14</v>
      </c>
      <c r="E9" s="132"/>
      <c r="F9" s="134" t="s">
        <v>69</v>
      </c>
      <c r="G9" s="135" t="s">
        <v>70</v>
      </c>
      <c r="T9" s="136" t="s">
        <v>62</v>
      </c>
      <c r="U9" s="136" t="s">
        <v>63</v>
      </c>
      <c r="V9" s="136" t="s">
        <v>64</v>
      </c>
      <c r="W9" s="136" t="s">
        <v>65</v>
      </c>
    </row>
    <row r="10" spans="2:197" x14ac:dyDescent="0.25">
      <c r="B10" s="181">
        <v>1</v>
      </c>
      <c r="C10" s="182">
        <f t="array" aca="1" ref="C10:C15" ca="1">OFFSET(T9,1,MATCH(C8,$T$9:$W$9,0)-1,6,1)</f>
        <v>0.14499999999999999</v>
      </c>
      <c r="E10" s="139" t="s">
        <v>72</v>
      </c>
      <c r="F10" s="185">
        <v>0.1</v>
      </c>
      <c r="G10" s="140" cm="1">
        <f t="array" aca="1" ref="G10:G15" ca="1">Simplex_Min("CIRMin",F10:F13, B19:B59,D19:D59,1000)</f>
        <v>0.92229544747163272</v>
      </c>
      <c r="S10" s="130">
        <v>1</v>
      </c>
      <c r="T10" s="144">
        <v>5.0000000000000001E-4</v>
      </c>
      <c r="U10" s="145">
        <v>5.0000000000000001E-3</v>
      </c>
      <c r="V10" s="145">
        <v>1.8E-3</v>
      </c>
      <c r="W10" s="145">
        <v>0.14499999999999999</v>
      </c>
    </row>
    <row r="11" spans="2:197" x14ac:dyDescent="0.25">
      <c r="B11" s="183">
        <v>3</v>
      </c>
      <c r="C11" s="146">
        <f ca="1"/>
        <v>0.13</v>
      </c>
      <c r="E11" s="139" t="s">
        <v>73</v>
      </c>
      <c r="F11" s="186">
        <f ca="1">C15/LGD</f>
        <v>0.19166666666666668</v>
      </c>
      <c r="G11" s="140">
        <f ca="1"/>
        <v>0.22319739276111791</v>
      </c>
      <c r="S11" s="130">
        <v>3</v>
      </c>
      <c r="T11" s="144">
        <v>8.9999999999999998E-4</v>
      </c>
      <c r="U11" s="145">
        <v>1.2E-2</v>
      </c>
      <c r="V11" s="145">
        <v>5.0000000000000001E-3</v>
      </c>
      <c r="W11" s="145">
        <v>0.13</v>
      </c>
    </row>
    <row r="12" spans="2:197" x14ac:dyDescent="0.25">
      <c r="B12" s="183">
        <v>5</v>
      </c>
      <c r="C12" s="146">
        <f ca="1"/>
        <v>0.125</v>
      </c>
      <c r="E12" s="139" t="s">
        <v>74</v>
      </c>
      <c r="F12" s="186">
        <f ca="1">SQRT(2*F10*F11)*0.5</f>
        <v>9.7894501037256096E-2</v>
      </c>
      <c r="G12" s="140">
        <f ca="1"/>
        <v>0.55309939802051122</v>
      </c>
      <c r="S12" s="130">
        <v>5</v>
      </c>
      <c r="T12" s="144">
        <v>2.2000000000000001E-3</v>
      </c>
      <c r="U12" s="145">
        <v>1.7000000000000001E-2</v>
      </c>
      <c r="V12" s="145">
        <v>9.1999999999999998E-3</v>
      </c>
      <c r="W12" s="145">
        <v>0.125</v>
      </c>
    </row>
    <row r="13" spans="2:197" x14ac:dyDescent="0.25">
      <c r="B13" s="183">
        <v>7</v>
      </c>
      <c r="C13" s="146">
        <f ca="1"/>
        <v>0.1225</v>
      </c>
      <c r="E13" s="148" t="s">
        <v>75</v>
      </c>
      <c r="F13" s="187">
        <f ca="1">C10/LGD</f>
        <v>0.24166666666666667</v>
      </c>
      <c r="G13" s="141">
        <f ca="1"/>
        <v>0.2613694544382299</v>
      </c>
      <c r="R13" s="149"/>
      <c r="S13" s="130">
        <v>7</v>
      </c>
      <c r="T13" s="144">
        <v>3.5000000000000001E-3</v>
      </c>
      <c r="U13" s="145">
        <v>1.95E-2</v>
      </c>
      <c r="V13" s="145">
        <v>1.2E-2</v>
      </c>
      <c r="W13" s="145">
        <v>0.1225</v>
      </c>
      <c r="X13" s="149"/>
      <c r="Y13" s="149"/>
      <c r="Z13" s="149"/>
      <c r="AA13" s="149"/>
      <c r="AB13" s="149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  <c r="AW13" s="149"/>
      <c r="AX13" s="149"/>
      <c r="AY13" s="149"/>
      <c r="AZ13" s="149"/>
      <c r="BA13" s="149"/>
      <c r="BB13" s="149"/>
      <c r="BC13" s="149"/>
      <c r="BD13" s="149"/>
      <c r="BE13" s="149"/>
      <c r="BF13" s="149"/>
      <c r="BG13" s="149"/>
      <c r="BH13" s="149"/>
      <c r="BI13" s="149"/>
      <c r="BJ13" s="149"/>
      <c r="BK13" s="149"/>
      <c r="BL13" s="149"/>
      <c r="BM13" s="149"/>
      <c r="BN13" s="149"/>
      <c r="BO13" s="149"/>
      <c r="BP13" s="149"/>
      <c r="BQ13" s="149"/>
      <c r="BR13" s="149"/>
      <c r="BS13" s="149"/>
      <c r="BT13" s="149"/>
      <c r="BU13" s="149"/>
      <c r="BV13" s="149"/>
      <c r="BW13" s="149"/>
      <c r="BX13" s="149"/>
      <c r="BY13" s="149"/>
      <c r="BZ13" s="149"/>
      <c r="CA13" s="149"/>
      <c r="CB13" s="149"/>
      <c r="CC13" s="149"/>
      <c r="CD13" s="149"/>
      <c r="CE13" s="149"/>
      <c r="CF13" s="149"/>
      <c r="CG13" s="149"/>
      <c r="CH13" s="149"/>
      <c r="CI13" s="149"/>
      <c r="CJ13" s="149"/>
      <c r="CK13" s="149"/>
      <c r="CL13" s="149"/>
      <c r="CM13" s="149"/>
      <c r="CN13" s="149"/>
      <c r="CO13" s="149"/>
      <c r="CP13" s="149"/>
      <c r="CQ13" s="149"/>
      <c r="CR13" s="149"/>
      <c r="CS13" s="149"/>
      <c r="CT13" s="149"/>
      <c r="CU13" s="149"/>
      <c r="CV13" s="149"/>
      <c r="CW13" s="149"/>
      <c r="CX13" s="149"/>
      <c r="CY13" s="149"/>
      <c r="CZ13" s="149"/>
      <c r="DA13" s="149"/>
      <c r="DB13" s="149"/>
      <c r="DC13" s="149"/>
      <c r="DD13" s="149"/>
      <c r="DE13" s="149"/>
      <c r="DF13" s="149"/>
      <c r="DG13" s="149"/>
      <c r="DH13" s="149"/>
      <c r="DI13" s="149"/>
      <c r="DJ13" s="149"/>
      <c r="DK13" s="149"/>
      <c r="DL13" s="149"/>
      <c r="DM13" s="149"/>
      <c r="DN13" s="149"/>
      <c r="DO13" s="149"/>
      <c r="DP13" s="149"/>
      <c r="DQ13" s="149"/>
      <c r="DR13" s="149"/>
      <c r="DS13" s="149"/>
      <c r="DT13" s="149"/>
      <c r="DU13" s="149"/>
      <c r="DV13" s="149"/>
      <c r="DW13" s="149"/>
      <c r="DX13" s="149"/>
      <c r="DY13" s="149"/>
      <c r="DZ13" s="149"/>
      <c r="EA13" s="149"/>
      <c r="EB13" s="149"/>
      <c r="EC13" s="149"/>
      <c r="ED13" s="149"/>
      <c r="EE13" s="149"/>
      <c r="EF13" s="149"/>
      <c r="EG13" s="149"/>
      <c r="EH13" s="149"/>
      <c r="EI13" s="149"/>
      <c r="EJ13" s="149"/>
      <c r="EK13" s="149"/>
      <c r="EL13" s="149"/>
      <c r="EM13" s="149"/>
      <c r="EN13" s="149"/>
      <c r="EO13" s="149"/>
      <c r="EP13" s="149"/>
      <c r="EQ13" s="149"/>
      <c r="ER13" s="149"/>
      <c r="ES13" s="149"/>
      <c r="ET13" s="149"/>
      <c r="EU13" s="149"/>
      <c r="EV13" s="149"/>
      <c r="EW13" s="149"/>
      <c r="EX13" s="149"/>
      <c r="EY13" s="149"/>
      <c r="EZ13" s="149"/>
      <c r="FA13" s="149"/>
      <c r="FB13" s="149"/>
      <c r="FC13" s="149"/>
      <c r="FD13" s="149"/>
      <c r="FE13" s="149"/>
      <c r="FF13" s="149"/>
      <c r="FG13" s="149"/>
      <c r="FH13" s="149"/>
      <c r="FI13" s="149"/>
      <c r="FJ13" s="149"/>
      <c r="FK13" s="149"/>
      <c r="FL13" s="149"/>
      <c r="FM13" s="149"/>
      <c r="FN13" s="149"/>
      <c r="FO13" s="149"/>
      <c r="FP13" s="149"/>
      <c r="FQ13" s="149"/>
      <c r="FR13" s="149"/>
      <c r="FS13" s="149"/>
      <c r="FT13" s="149"/>
      <c r="FU13" s="149"/>
      <c r="FV13" s="149"/>
      <c r="FW13" s="149"/>
      <c r="FX13" s="149"/>
      <c r="FY13" s="149"/>
      <c r="FZ13" s="149"/>
      <c r="GA13" s="149"/>
      <c r="GB13" s="149"/>
      <c r="GC13" s="149"/>
      <c r="GD13" s="149"/>
      <c r="GE13" s="149"/>
      <c r="GF13" s="149"/>
      <c r="GG13" s="149"/>
      <c r="GH13" s="149"/>
      <c r="GI13" s="149"/>
      <c r="GJ13" s="149"/>
      <c r="GK13" s="149"/>
      <c r="GL13" s="150"/>
    </row>
    <row r="14" spans="2:197" x14ac:dyDescent="0.25">
      <c r="B14" s="183">
        <v>10</v>
      </c>
      <c r="C14" s="146">
        <f ca="1"/>
        <v>0.12</v>
      </c>
      <c r="D14" s="149"/>
      <c r="E14" s="139"/>
      <c r="F14" s="151" t="s">
        <v>76</v>
      </c>
      <c r="G14" s="142">
        <f ca="1"/>
        <v>2.9734997828886473E-5</v>
      </c>
      <c r="S14" s="130">
        <v>10</v>
      </c>
      <c r="T14" s="144">
        <v>4.4999999999999997E-3</v>
      </c>
      <c r="U14" s="145">
        <v>2.07E-2</v>
      </c>
      <c r="V14" s="145">
        <v>1.35E-2</v>
      </c>
      <c r="W14" s="145">
        <v>0.12</v>
      </c>
    </row>
    <row r="15" spans="2:197" x14ac:dyDescent="0.25">
      <c r="B15" s="183">
        <v>20</v>
      </c>
      <c r="C15" s="146">
        <f ca="1"/>
        <v>0.115</v>
      </c>
      <c r="D15" s="131"/>
      <c r="E15" s="139"/>
      <c r="F15" s="152" t="s">
        <v>77</v>
      </c>
      <c r="G15" s="143">
        <f ca="1"/>
        <v>173</v>
      </c>
      <c r="S15" s="130">
        <v>20</v>
      </c>
      <c r="T15" s="144">
        <v>4.8999999999999998E-3</v>
      </c>
      <c r="U15" s="145">
        <v>2.1100000000000001E-2</v>
      </c>
      <c r="V15" s="145">
        <v>1.4200000000000001E-2</v>
      </c>
      <c r="W15" s="145">
        <v>0.115</v>
      </c>
    </row>
    <row r="16" spans="2:197" ht="13.8" thickBot="1" x14ac:dyDescent="0.3">
      <c r="B16" s="184" t="s">
        <v>79</v>
      </c>
      <c r="C16" s="157">
        <v>0.6</v>
      </c>
      <c r="D16" s="153"/>
      <c r="E16" s="154"/>
      <c r="F16" s="155" t="s">
        <v>78</v>
      </c>
      <c r="G16" s="156" t="str">
        <f ca="1">IF(2*CIR_a*CIR_b&gt;CIR_vol^2,"OK","FAIL")</f>
        <v>OK</v>
      </c>
      <c r="R16" s="150"/>
      <c r="T16" s="144"/>
      <c r="U16" s="145"/>
      <c r="V16" s="145"/>
      <c r="W16" s="145"/>
      <c r="X16" s="150"/>
      <c r="Y16" s="150"/>
      <c r="Z16" s="150"/>
      <c r="AA16" s="150"/>
      <c r="AB16" s="150"/>
      <c r="AC16" s="150"/>
      <c r="AD16" s="150"/>
      <c r="AE16" s="150"/>
      <c r="AF16" s="150"/>
      <c r="AG16" s="150"/>
      <c r="AH16" s="150"/>
      <c r="AI16" s="150"/>
      <c r="AJ16" s="150"/>
      <c r="AK16" s="150"/>
      <c r="AL16" s="150"/>
      <c r="AM16" s="150"/>
      <c r="AN16" s="150"/>
      <c r="AO16" s="150"/>
      <c r="AP16" s="150"/>
      <c r="AQ16" s="150"/>
      <c r="AR16" s="150"/>
      <c r="AS16" s="150"/>
      <c r="AT16" s="150"/>
      <c r="AU16" s="150"/>
      <c r="AV16" s="150"/>
      <c r="AW16" s="150"/>
      <c r="AX16" s="150"/>
      <c r="AY16" s="150"/>
      <c r="AZ16" s="150"/>
      <c r="BA16" s="150"/>
      <c r="BB16" s="150"/>
      <c r="BC16" s="150"/>
      <c r="BD16" s="150"/>
      <c r="BE16" s="150"/>
      <c r="BF16" s="150"/>
      <c r="BG16" s="150"/>
      <c r="BH16" s="150"/>
      <c r="BI16" s="150"/>
      <c r="BJ16" s="150"/>
      <c r="BK16" s="150"/>
      <c r="BL16" s="150"/>
      <c r="BM16" s="150"/>
      <c r="BN16" s="150"/>
      <c r="BO16" s="150"/>
      <c r="BP16" s="150"/>
      <c r="BQ16" s="150"/>
      <c r="BR16" s="150"/>
      <c r="BS16" s="150"/>
      <c r="BT16" s="150"/>
      <c r="BU16" s="150"/>
      <c r="BV16" s="150"/>
      <c r="BW16" s="150"/>
      <c r="BX16" s="150"/>
      <c r="BY16" s="150"/>
      <c r="BZ16" s="150"/>
      <c r="CA16" s="150"/>
      <c r="CB16" s="150"/>
      <c r="CC16" s="150"/>
      <c r="CD16" s="150"/>
      <c r="CE16" s="150"/>
      <c r="CF16" s="150"/>
      <c r="CG16" s="150"/>
      <c r="CH16" s="150"/>
      <c r="CI16" s="150"/>
      <c r="CJ16" s="150"/>
      <c r="CK16" s="150"/>
      <c r="CL16" s="150"/>
      <c r="CM16" s="150"/>
      <c r="CN16" s="150"/>
      <c r="CO16" s="150"/>
      <c r="CP16" s="150"/>
      <c r="CQ16" s="150"/>
      <c r="CR16" s="150"/>
      <c r="CS16" s="150"/>
      <c r="CT16" s="150"/>
      <c r="CU16" s="150"/>
      <c r="CV16" s="150"/>
      <c r="CW16" s="150"/>
      <c r="CX16" s="150"/>
      <c r="CY16" s="150"/>
      <c r="CZ16" s="150"/>
      <c r="DA16" s="150"/>
      <c r="DB16" s="150"/>
      <c r="DC16" s="150"/>
      <c r="DD16" s="150"/>
      <c r="DE16" s="150"/>
      <c r="DF16" s="150"/>
      <c r="DG16" s="150"/>
      <c r="DH16" s="150"/>
      <c r="DI16" s="150"/>
      <c r="DJ16" s="150"/>
      <c r="DK16" s="150"/>
      <c r="DL16" s="150"/>
      <c r="DM16" s="150"/>
      <c r="DN16" s="150"/>
      <c r="DO16" s="150"/>
      <c r="DP16" s="150"/>
      <c r="DQ16" s="150"/>
      <c r="DR16" s="150"/>
      <c r="DS16" s="150"/>
      <c r="DT16" s="150"/>
      <c r="DU16" s="150"/>
      <c r="DV16" s="150"/>
      <c r="DW16" s="150"/>
      <c r="DX16" s="150"/>
      <c r="DY16" s="150"/>
      <c r="DZ16" s="150"/>
      <c r="EA16" s="150"/>
      <c r="EB16" s="150"/>
      <c r="EC16" s="150"/>
      <c r="ED16" s="150"/>
      <c r="EE16" s="150"/>
      <c r="EF16" s="150"/>
      <c r="EG16" s="150"/>
      <c r="EH16" s="150"/>
      <c r="EI16" s="150"/>
      <c r="EJ16" s="150"/>
      <c r="EK16" s="150"/>
      <c r="EL16" s="150"/>
      <c r="EM16" s="150"/>
      <c r="EN16" s="150"/>
      <c r="EO16" s="150"/>
      <c r="EP16" s="150"/>
      <c r="EQ16" s="150"/>
      <c r="ER16" s="150"/>
      <c r="ES16" s="150"/>
      <c r="ET16" s="150"/>
      <c r="EU16" s="150"/>
      <c r="EV16" s="150"/>
      <c r="EW16" s="150"/>
      <c r="EX16" s="150"/>
      <c r="EY16" s="150"/>
      <c r="EZ16" s="150"/>
      <c r="FA16" s="150"/>
      <c r="FB16" s="150"/>
      <c r="FC16" s="150"/>
      <c r="FD16" s="150"/>
      <c r="FE16" s="150"/>
      <c r="FF16" s="150"/>
      <c r="FG16" s="150"/>
      <c r="FH16" s="150"/>
      <c r="FI16" s="150"/>
      <c r="FJ16" s="150"/>
      <c r="FK16" s="150"/>
      <c r="FL16" s="150"/>
      <c r="FM16" s="150"/>
      <c r="FN16" s="150"/>
      <c r="FO16" s="150"/>
      <c r="FP16" s="150"/>
      <c r="FQ16" s="150"/>
      <c r="FR16" s="150"/>
      <c r="FS16" s="150"/>
      <c r="FT16" s="150"/>
      <c r="FU16" s="150"/>
      <c r="FV16" s="150"/>
      <c r="FW16" s="150"/>
      <c r="FX16" s="150"/>
      <c r="FY16" s="150"/>
      <c r="FZ16" s="150"/>
      <c r="GA16" s="150"/>
      <c r="GB16" s="150"/>
      <c r="GC16" s="150"/>
      <c r="GD16" s="150"/>
      <c r="GE16" s="150"/>
      <c r="GF16" s="150"/>
      <c r="GG16" s="150"/>
      <c r="GH16" s="150"/>
      <c r="GI16" s="150"/>
      <c r="GJ16" s="150"/>
      <c r="GK16" s="150"/>
      <c r="GL16" s="150"/>
      <c r="GM16" s="150"/>
      <c r="GN16" s="150"/>
      <c r="GO16" s="150"/>
    </row>
    <row r="17" spans="1:197" ht="13.8" thickBot="1" x14ac:dyDescent="0.3">
      <c r="B17" s="175"/>
      <c r="C17" s="179"/>
      <c r="D17" s="175"/>
      <c r="E17" s="180"/>
      <c r="F17" s="175"/>
      <c r="K17" s="153"/>
      <c r="L17" s="153"/>
      <c r="R17" s="149"/>
      <c r="T17" s="144"/>
      <c r="U17" s="145"/>
      <c r="V17" s="145"/>
      <c r="W17" s="145"/>
      <c r="X17" s="149"/>
      <c r="Y17" s="149"/>
      <c r="Z17" s="149"/>
      <c r="AA17" s="149"/>
      <c r="AB17" s="149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  <c r="CB17" s="149"/>
      <c r="CC17" s="149"/>
      <c r="CD17" s="149"/>
      <c r="CE17" s="149"/>
      <c r="CF17" s="149"/>
      <c r="CG17" s="149"/>
      <c r="CH17" s="149"/>
      <c r="CI17" s="149"/>
      <c r="CJ17" s="149"/>
      <c r="CK17" s="149"/>
      <c r="CL17" s="149"/>
      <c r="CM17" s="149"/>
      <c r="CN17" s="149"/>
      <c r="CO17" s="149"/>
      <c r="CP17" s="149"/>
      <c r="CQ17" s="149"/>
      <c r="CR17" s="149"/>
      <c r="CS17" s="149"/>
      <c r="CT17" s="149"/>
      <c r="CU17" s="149"/>
      <c r="CV17" s="149"/>
      <c r="CW17" s="149"/>
      <c r="CX17" s="149"/>
      <c r="CY17" s="149"/>
      <c r="CZ17" s="149"/>
      <c r="DA17" s="149"/>
      <c r="DB17" s="149"/>
      <c r="DC17" s="149"/>
      <c r="DD17" s="149"/>
      <c r="DE17" s="149"/>
      <c r="DF17" s="149"/>
      <c r="DG17" s="149"/>
      <c r="DH17" s="149"/>
      <c r="DI17" s="149"/>
      <c r="DJ17" s="149"/>
      <c r="DK17" s="149"/>
      <c r="DL17" s="149"/>
      <c r="DM17" s="149"/>
      <c r="DN17" s="149"/>
      <c r="DO17" s="149"/>
      <c r="DP17" s="149"/>
      <c r="DQ17" s="149"/>
      <c r="DR17" s="149"/>
      <c r="DS17" s="149"/>
      <c r="DT17" s="149"/>
      <c r="DU17" s="149"/>
      <c r="DV17" s="149"/>
      <c r="DW17" s="149"/>
      <c r="DX17" s="149"/>
      <c r="DY17" s="149"/>
      <c r="DZ17" s="149"/>
      <c r="EA17" s="149"/>
      <c r="EB17" s="149"/>
      <c r="EC17" s="149"/>
      <c r="ED17" s="149"/>
      <c r="EE17" s="149"/>
      <c r="EF17" s="149"/>
      <c r="EG17" s="149"/>
      <c r="EH17" s="149"/>
      <c r="EI17" s="149"/>
      <c r="EJ17" s="149"/>
      <c r="EK17" s="149"/>
      <c r="EL17" s="149"/>
      <c r="EM17" s="149"/>
      <c r="EN17" s="149"/>
      <c r="EO17" s="149"/>
      <c r="EP17" s="149"/>
      <c r="EQ17" s="149"/>
      <c r="ER17" s="149"/>
      <c r="ES17" s="149"/>
      <c r="ET17" s="149"/>
      <c r="EU17" s="149"/>
      <c r="EV17" s="149"/>
      <c r="EW17" s="149"/>
      <c r="EX17" s="149"/>
      <c r="EY17" s="149"/>
      <c r="EZ17" s="149"/>
      <c r="FA17" s="149"/>
      <c r="FB17" s="150"/>
      <c r="FC17" s="149"/>
      <c r="FD17" s="149"/>
      <c r="FE17" s="149"/>
      <c r="FF17" s="149"/>
      <c r="FG17" s="149"/>
      <c r="FH17" s="149"/>
      <c r="FI17" s="149"/>
      <c r="FJ17" s="149"/>
      <c r="FK17" s="149"/>
      <c r="FL17" s="149"/>
      <c r="FM17" s="149"/>
      <c r="FN17" s="149"/>
      <c r="FO17" s="149"/>
      <c r="FP17" s="149"/>
      <c r="FQ17" s="149"/>
      <c r="FR17" s="149"/>
      <c r="FS17" s="149"/>
      <c r="FT17" s="149"/>
      <c r="FU17" s="149"/>
      <c r="FV17" s="149"/>
      <c r="FW17" s="149"/>
      <c r="FX17" s="149"/>
      <c r="FY17" s="149"/>
      <c r="FZ17" s="149"/>
      <c r="GA17" s="149"/>
      <c r="GB17" s="149"/>
      <c r="GC17" s="149"/>
      <c r="GD17" s="149"/>
      <c r="GE17" s="149"/>
      <c r="GF17" s="149"/>
      <c r="GG17" s="149"/>
      <c r="GH17" s="149"/>
      <c r="GI17" s="149"/>
      <c r="GJ17" s="149"/>
      <c r="GK17" s="149"/>
      <c r="GL17" s="149"/>
      <c r="GM17" s="149"/>
      <c r="GN17" s="149"/>
      <c r="GO17" s="149"/>
    </row>
    <row r="18" spans="1:197" x14ac:dyDescent="0.25">
      <c r="B18" s="132"/>
      <c r="C18" s="189" t="s">
        <v>80</v>
      </c>
      <c r="D18" s="190" t="s">
        <v>81</v>
      </c>
      <c r="E18" s="189" t="s">
        <v>82</v>
      </c>
      <c r="F18" s="135" t="s">
        <v>83</v>
      </c>
      <c r="I18" s="158"/>
      <c r="J18" s="158"/>
      <c r="K18" s="159"/>
      <c r="L18" s="153"/>
    </row>
    <row r="19" spans="1:197" x14ac:dyDescent="0.25">
      <c r="B19" s="160">
        <v>0</v>
      </c>
      <c r="C19" s="146" cm="1">
        <f t="array" aca="1" ref="C19" ca="1">CubicSpline(CurveTenors,CntrtyCurve,B19)</f>
        <v>0.15344165090937167</v>
      </c>
      <c r="D19" s="161">
        <f t="shared" ref="D19" ca="1" si="0">EXP(-B19*C19/LGD)</f>
        <v>1</v>
      </c>
      <c r="E19" s="146" cm="1">
        <f t="array" aca="1" ref="E19" ca="1">CIRSurvivalProb(CIR_a,CIR_b,CIR_vol,CIR_h0,B19)</f>
        <v>1</v>
      </c>
      <c r="F19" s="147"/>
      <c r="I19" s="158"/>
      <c r="J19" s="158"/>
      <c r="K19" s="159"/>
      <c r="L19" s="153"/>
    </row>
    <row r="20" spans="1:197" x14ac:dyDescent="0.25">
      <c r="B20" s="160">
        <v>0.25</v>
      </c>
      <c r="C20" s="146" cm="1">
        <f t="array" aca="1" ref="C20" ca="1">CubicSpline(CurveTenors,CntrtyCurve,B20)</f>
        <v>0.15143421864013362</v>
      </c>
      <c r="D20" s="161">
        <f t="shared" ref="D20" ca="1" si="1">EXP(-B20*C20/LGD)</f>
        <v>0.9388518456337599</v>
      </c>
      <c r="E20" s="146" cm="1">
        <f t="array" aca="1" ref="E20" ca="1">CIRSurvivalProb(CIR_a,CIR_b,CIR_vol,CIR_h0,B20)</f>
        <v>0.93786586350084489</v>
      </c>
      <c r="F20" s="147">
        <f ca="1">E19-E20</f>
        <v>6.2134136499155113E-2</v>
      </c>
    </row>
    <row r="21" spans="1:197" x14ac:dyDescent="0.25">
      <c r="B21" s="160">
        <v>0.5</v>
      </c>
      <c r="C21" s="146" cm="1">
        <f t="array" aca="1" ref="C21" ca="1">CubicSpline(CurveTenors,CntrtyCurve,B21)</f>
        <v>0.1493385218345793</v>
      </c>
      <c r="D21" s="161">
        <f t="shared" ref="D21" ca="1" si="2">EXP(-B21*C21/LGD)</f>
        <v>0.88298349704553813</v>
      </c>
      <c r="E21" s="146" cm="1">
        <f t="array" aca="1" ref="E21" ca="1">CIRSurvivalProb(CIR_a,CIR_b,CIR_vol,CIR_h0,B21)</f>
        <v>0.88185533756614909</v>
      </c>
      <c r="F21" s="147">
        <f t="shared" ref="F21:F59" ca="1" si="3">E20-E21</f>
        <v>5.6010525934695798E-2</v>
      </c>
      <c r="G21" s="172"/>
      <c r="H21" s="172"/>
      <c r="I21" s="172"/>
      <c r="J21" s="172"/>
      <c r="K21" s="172"/>
      <c r="L21" s="172"/>
      <c r="M21" s="172"/>
      <c r="N21" s="172"/>
    </row>
    <row r="22" spans="1:197" x14ac:dyDescent="0.25">
      <c r="A22" s="162"/>
      <c r="B22" s="160">
        <v>0.75</v>
      </c>
      <c r="C22" s="146" cm="1">
        <f t="array" aca="1" ref="C22" ca="1">CubicSpline(CurveTenors,CntrtyCurve,B22)</f>
        <v>0.14718397207070666</v>
      </c>
      <c r="D22" s="161">
        <f t="shared" ref="D22" ca="1" si="4">EXP(-B22*C22/LGD)</f>
        <v>0.83195247175394182</v>
      </c>
      <c r="E22" s="146" cm="1">
        <f t="array" aca="1" ref="E22" ca="1">CIRSurvivalProb(CIR_a,CIR_b,CIR_vol,CIR_h0,B22)</f>
        <v>0.83129311420275964</v>
      </c>
      <c r="F22" s="147">
        <f t="shared" ca="1" si="3"/>
        <v>5.0562223363389447E-2</v>
      </c>
      <c r="G22" s="173"/>
      <c r="H22" s="161"/>
      <c r="I22" s="174"/>
      <c r="J22" s="161"/>
      <c r="K22" s="176"/>
      <c r="L22" s="174"/>
      <c r="M22" s="161"/>
      <c r="N22" s="176"/>
    </row>
    <row r="23" spans="1:197" x14ac:dyDescent="0.25">
      <c r="B23" s="160">
        <v>1</v>
      </c>
      <c r="C23" s="146" cm="1">
        <f t="array" aca="1" ref="C23" ca="1">CubicSpline(CurveTenors,CntrtyCurve,B23)</f>
        <v>0.14499999582767487</v>
      </c>
      <c r="D23" s="161">
        <f t="shared" ref="D23" ca="1" si="5">EXP(-B23*C23/LGD)</f>
        <v>0.78531791202442802</v>
      </c>
      <c r="E23" s="146" cm="1">
        <f t="array" aca="1" ref="E23" ca="1">CIRSurvivalProb(CIR_a,CIR_b,CIR_vol,CIR_h0,B23)</f>
        <v>0.78540461576053766</v>
      </c>
      <c r="F23" s="147">
        <f t="shared" ca="1" si="3"/>
        <v>4.5888498442221981E-2</v>
      </c>
      <c r="G23" s="173"/>
      <c r="I23" s="174"/>
      <c r="K23" s="177"/>
      <c r="L23" s="174"/>
      <c r="N23" s="177"/>
    </row>
    <row r="24" spans="1:197" x14ac:dyDescent="0.25">
      <c r="B24" s="160">
        <v>1.25</v>
      </c>
      <c r="C24" s="146" cm="1">
        <f t="array" aca="1" ref="C24" ca="1">CubicSpline(CurveTenors,CntrtyCurve,B24)</f>
        <v>0.14281601958464307</v>
      </c>
      <c r="D24" s="161">
        <f t="shared" ref="D24" ca="1" si="6">EXP(-B24*C24/LGD)</f>
        <v>0.74264779757957378</v>
      </c>
      <c r="E24" s="146" cm="1">
        <f t="array" aca="1" ref="E24" ca="1">CIRSurvivalProb(CIR_a,CIR_b,CIR_vol,CIR_h0,B24)</f>
        <v>0.74346370171652321</v>
      </c>
      <c r="F24" s="147">
        <f t="shared" ca="1" si="3"/>
        <v>4.1940914044014455E-2</v>
      </c>
      <c r="G24" s="173"/>
      <c r="H24" s="161"/>
      <c r="I24" s="174"/>
      <c r="J24" s="161"/>
      <c r="K24" s="177"/>
      <c r="L24" s="174"/>
      <c r="M24" s="161"/>
      <c r="N24" s="177"/>
    </row>
    <row r="25" spans="1:197" x14ac:dyDescent="0.25">
      <c r="B25" s="160">
        <v>1.5</v>
      </c>
      <c r="C25" s="146" cm="1">
        <f t="array" aca="1" ref="C25" ca="1">CubicSpline(CurveTenors,CntrtyCurve,B25)</f>
        <v>0.14066146982077044</v>
      </c>
      <c r="D25" s="161">
        <f t="shared" ref="D25" ca="1" si="7">EXP(-B25*C25/LGD)</f>
        <v>0.7035237279607468</v>
      </c>
      <c r="E25" s="146" cm="1">
        <f t="array" aca="1" ref="E25" ca="1">CIRSurvivalProb(CIR_a,CIR_b,CIR_vol,CIR_h0,B25)</f>
        <v>0.70484922559496643</v>
      </c>
      <c r="F25" s="147">
        <f t="shared" ca="1" si="3"/>
        <v>3.8614476121556773E-2</v>
      </c>
      <c r="G25" s="173"/>
      <c r="H25" s="161"/>
      <c r="I25" s="174"/>
      <c r="J25" s="161"/>
      <c r="K25" s="177"/>
      <c r="L25" s="174"/>
      <c r="M25" s="161"/>
      <c r="N25" s="177"/>
    </row>
    <row r="26" spans="1:197" x14ac:dyDescent="0.25">
      <c r="B26" s="160">
        <v>1.75</v>
      </c>
      <c r="C26" s="146" cm="1">
        <f t="array" aca="1" ref="C26" ca="1">CubicSpline(CurveTenors,CntrtyCurve,B26)</f>
        <v>0.13856576556463551</v>
      </c>
      <c r="D26" s="161">
        <f t="shared" ref="D26" ca="1" si="8">EXP(-B26*C26/LGD)</f>
        <v>0.66754388232113893</v>
      </c>
      <c r="E26" s="146" cm="1">
        <f t="array" aca="1" ref="E26" ca="1">CIRSurvivalProb(CIR_a,CIR_b,CIR_vol,CIR_h0,B26)</f>
        <v>0.66905486732701969</v>
      </c>
      <c r="F26" s="147">
        <f t="shared" ca="1" si="3"/>
        <v>3.5794358267946746E-2</v>
      </c>
      <c r="G26" s="173"/>
      <c r="H26" s="161"/>
      <c r="I26" s="174"/>
      <c r="J26" s="161"/>
      <c r="K26" s="177"/>
      <c r="L26" s="174"/>
      <c r="M26" s="161"/>
      <c r="N26" s="177"/>
    </row>
    <row r="27" spans="1:197" x14ac:dyDescent="0.25">
      <c r="B27" s="160">
        <v>2</v>
      </c>
      <c r="C27" s="146" cm="1">
        <f t="array" aca="1" ref="C27" ca="1">CubicSpline(CurveTenors,CntrtyCurve,B27)</f>
        <v>0.13655834819655865</v>
      </c>
      <c r="D27" s="161">
        <f t="shared" ref="D27" ca="1" si="9">EXP(-B27*C27/LGD)</f>
        <v>0.63432458363157074</v>
      </c>
      <c r="E27" s="146" cm="1">
        <f t="array" aca="1" ref="E27" ca="1">CIRSurvivalProb(CIR_a,CIR_b,CIR_vol,CIR_h0,B27)</f>
        <v>0.63567828603129295</v>
      </c>
      <c r="F27" s="147">
        <f t="shared" ca="1" si="3"/>
        <v>3.3376581295726737E-2</v>
      </c>
      <c r="G27" s="173"/>
      <c r="H27" s="161"/>
      <c r="I27" s="174"/>
      <c r="J27" s="161"/>
      <c r="K27" s="177"/>
      <c r="L27" s="174"/>
      <c r="M27" s="161"/>
      <c r="N27" s="177"/>
    </row>
    <row r="28" spans="1:197" x14ac:dyDescent="0.25">
      <c r="B28" s="160">
        <v>2.25</v>
      </c>
      <c r="C28" s="146" cm="1">
        <f t="array" aca="1" ref="C28" ca="1">CubicSpline(CurveTenors,CntrtyCurve,B28)</f>
        <v>0.13466863674511842</v>
      </c>
      <c r="D28" s="161">
        <f t="shared" ref="D28" ca="1" si="10">EXP(-B28*C28/LGD)</f>
        <v>0.60350111686852381</v>
      </c>
      <c r="E28" s="146" cm="1">
        <f t="array" aca="1" ref="E28" ca="1">CIRSurvivalProb(CIR_a,CIR_b,CIR_vol,CIR_h0,B28)</f>
        <v>0.60440336362615288</v>
      </c>
      <c r="F28" s="147">
        <f t="shared" ca="1" si="3"/>
        <v>3.1274922405140071E-2</v>
      </c>
      <c r="G28" s="173"/>
      <c r="H28" s="161"/>
      <c r="I28" s="174"/>
      <c r="J28" s="161"/>
      <c r="K28" s="177"/>
      <c r="L28" s="174"/>
      <c r="M28" s="161"/>
      <c r="N28" s="177"/>
    </row>
    <row r="29" spans="1:197" x14ac:dyDescent="0.25">
      <c r="B29" s="160">
        <v>2.5</v>
      </c>
      <c r="C29" s="146" cm="1">
        <f t="array" aca="1" ref="C29" ca="1">CubicSpline(CurveTenors,CntrtyCurve,B29)</f>
        <v>0.13292605396418367</v>
      </c>
      <c r="D29" s="161">
        <f t="shared" ref="D29" ca="1" si="11">EXP(-B29*C29/LGD)</f>
        <v>0.57472790539938345</v>
      </c>
      <c r="E29" s="146" cm="1">
        <f t="array" aca="1" ref="E29" ca="1">CIRSurvivalProb(CIR_a,CIR_b,CIR_vol,CIR_h0,B29)</f>
        <v>0.57498208317108257</v>
      </c>
      <c r="F29" s="147">
        <f t="shared" ca="1" si="3"/>
        <v>2.9421280455070309E-2</v>
      </c>
      <c r="G29" s="173"/>
      <c r="H29" s="161"/>
      <c r="I29" s="174"/>
      <c r="J29" s="161"/>
      <c r="K29" s="177"/>
      <c r="L29" s="174"/>
      <c r="M29" s="161"/>
      <c r="N29" s="177"/>
    </row>
    <row r="30" spans="1:197" x14ac:dyDescent="0.25">
      <c r="B30" s="160">
        <v>2.75</v>
      </c>
      <c r="C30" s="146" cm="1">
        <f t="array" aca="1" ref="C30" ca="1">CubicSpline(CurveTenors,CntrtyCurve,B30)</f>
        <v>0.131360031920849</v>
      </c>
      <c r="D30" s="161">
        <f t="shared" ref="D30" ca="1" si="12">EXP(-B30*C30/LGD)</f>
        <v>0.5476785164626935</v>
      </c>
      <c r="E30" s="146" cm="1">
        <f t="array" aca="1" ref="E30" ca="1">CIRSurvivalProb(CIR_a,CIR_b,CIR_vol,CIR_h0,B30)</f>
        <v>0.54721869583653504</v>
      </c>
      <c r="F30" s="147">
        <f t="shared" ca="1" si="3"/>
        <v>2.7763387334547529E-2</v>
      </c>
      <c r="G30" s="173"/>
      <c r="H30" s="161"/>
      <c r="I30" s="174"/>
      <c r="J30" s="161"/>
      <c r="K30" s="177"/>
      <c r="L30" s="174"/>
      <c r="M30" s="161"/>
      <c r="N30" s="177"/>
    </row>
    <row r="31" spans="1:197" x14ac:dyDescent="0.25">
      <c r="B31" s="160">
        <v>3</v>
      </c>
      <c r="C31" s="146" cm="1">
        <f t="array" aca="1" ref="C31" ca="1">CubicSpline(CurveTenors,CntrtyCurve,B31)</f>
        <v>0.12999999523162842</v>
      </c>
      <c r="D31" s="161">
        <f t="shared" ref="D31" ca="1" si="13">EXP(-B31*C31/LGD)</f>
        <v>0.5220457892075574</v>
      </c>
      <c r="E31" s="146" cm="1">
        <f t="array" aca="1" ref="E31" ca="1">CIRSurvivalProb(CIR_a,CIR_b,CIR_vol,CIR_h0,B31)</f>
        <v>0.52095690436883668</v>
      </c>
      <c r="F31" s="147">
        <f t="shared" ca="1" si="3"/>
        <v>2.6261791467698359E-2</v>
      </c>
      <c r="G31" s="173"/>
      <c r="H31" s="161"/>
      <c r="I31" s="174"/>
      <c r="J31" s="161"/>
      <c r="K31" s="177"/>
      <c r="L31" s="174"/>
      <c r="M31" s="161"/>
      <c r="N31" s="177"/>
    </row>
    <row r="32" spans="1:197" x14ac:dyDescent="0.25">
      <c r="B32" s="160">
        <v>3.25</v>
      </c>
      <c r="C32" s="146" cm="1">
        <f t="array" aca="1" ref="C32" ca="1">CubicSpline(CurveTenors,CntrtyCurve,B32)</f>
        <v>0.12886547513969049</v>
      </c>
      <c r="D32" s="161">
        <f t="shared" ref="D32" ca="1" si="14">EXP(-B32*C32/LGD)</f>
        <v>0.49756885812313545</v>
      </c>
      <c r="E32" s="146" cm="1">
        <f t="array" aca="1" ref="E32" ca="1">CIRSurvivalProb(CIR_a,CIR_b,CIR_vol,CIR_h0,B32)</f>
        <v>0.49606993337486255</v>
      </c>
      <c r="F32" s="147">
        <f t="shared" ca="1" si="3"/>
        <v>2.4886970993974133E-2</v>
      </c>
      <c r="G32" s="173"/>
      <c r="H32" s="161"/>
      <c r="I32" s="174"/>
      <c r="J32" s="161"/>
      <c r="K32" s="177"/>
      <c r="L32" s="174"/>
      <c r="M32" s="161"/>
      <c r="N32" s="177"/>
    </row>
    <row r="33" spans="2:14" x14ac:dyDescent="0.25">
      <c r="B33" s="160">
        <v>3.5</v>
      </c>
      <c r="C33" s="146" cm="1">
        <f t="array" aca="1" ref="C33" ca="1">CubicSpline(CurveTenors,CntrtyCurve,B33)</f>
        <v>0.12793642204974276</v>
      </c>
      <c r="D33" s="161">
        <f t="shared" ref="D33" ca="1" si="15">EXP(-B33*C33/LGD)</f>
        <v>0.47411953985759914</v>
      </c>
      <c r="E33" s="146" cm="1">
        <f t="array" aca="1" ref="E33" ca="1">CIRSurvivalProb(CIR_a,CIR_b,CIR_vol,CIR_h0,B33)</f>
        <v>0.47245304205961314</v>
      </c>
      <c r="F33" s="147">
        <f t="shared" ca="1" si="3"/>
        <v>2.3616891315249411E-2</v>
      </c>
      <c r="G33" s="173"/>
      <c r="H33" s="161"/>
      <c r="I33" s="174"/>
      <c r="J33" s="161"/>
      <c r="K33" s="177"/>
      <c r="L33" s="174"/>
      <c r="M33" s="161"/>
      <c r="N33" s="177"/>
    </row>
    <row r="34" spans="2:14" x14ac:dyDescent="0.25">
      <c r="B34" s="160">
        <v>3.75</v>
      </c>
      <c r="C34" s="146" cm="1">
        <f t="array" aca="1" ref="C34" ca="1">CubicSpline(CurveTenors,CntrtyCurve,B34)</f>
        <v>0.12718289113050218</v>
      </c>
      <c r="D34" s="161">
        <f t="shared" ref="D34" ca="1" si="16">EXP(-B34*C34/LGD)</f>
        <v>0.45162952528200051</v>
      </c>
      <c r="E34" s="146" cm="1">
        <f t="array" aca="1" ref="E34" ca="1">CIRSurvivalProb(CIR_a,CIR_b,CIR_vol,CIR_h0,B34)</f>
        <v>0.45001797545818628</v>
      </c>
      <c r="F34" s="147">
        <f t="shared" ca="1" si="3"/>
        <v>2.2435066601426856E-2</v>
      </c>
      <c r="G34" s="173"/>
      <c r="H34" s="161"/>
      <c r="I34" s="174"/>
      <c r="J34" s="161"/>
      <c r="K34" s="177"/>
      <c r="L34" s="174"/>
      <c r="M34" s="161"/>
      <c r="N34" s="177"/>
    </row>
    <row r="35" spans="2:14" x14ac:dyDescent="0.25">
      <c r="B35" s="160">
        <v>4</v>
      </c>
      <c r="C35" s="146" cm="1">
        <f t="array" aca="1" ref="C35" ca="1">CubicSpline(CurveTenors,CntrtyCurve,B35)</f>
        <v>0.12657493755068572</v>
      </c>
      <c r="D35" s="161">
        <f t="shared" ref="D35" ca="1" si="17">EXP(-B35*C35/LGD)</f>
        <v>0.43005897995923698</v>
      </c>
      <c r="E35" s="146" cm="1">
        <f t="array" aca="1" ref="E35" ca="1">CIRSurvivalProb(CIR_a,CIR_b,CIR_vol,CIR_h0,B35)</f>
        <v>0.42868889701097707</v>
      </c>
      <c r="F35" s="147">
        <f t="shared" ca="1" si="3"/>
        <v>2.1329078447209215E-2</v>
      </c>
      <c r="G35" s="173"/>
      <c r="H35" s="161"/>
      <c r="I35" s="174"/>
      <c r="J35" s="161"/>
      <c r="K35" s="177"/>
      <c r="L35" s="174"/>
      <c r="M35" s="161"/>
      <c r="N35" s="177"/>
    </row>
    <row r="36" spans="2:14" x14ac:dyDescent="0.25">
      <c r="B36" s="160">
        <v>4.25</v>
      </c>
      <c r="C36" s="146" cm="1">
        <f t="array" aca="1" ref="C36" ca="1">CubicSpline(CurveTenors,CntrtyCurve,B36)</f>
        <v>0.12608261647901031</v>
      </c>
      <c r="D36" s="161">
        <f t="shared" ref="D36" ca="1" si="18">EXP(-B36*C36/LGD)</f>
        <v>0.40939074999615144</v>
      </c>
      <c r="E36" s="146" cm="1">
        <f t="array" aca="1" ref="E36" ca="1">CIRSurvivalProb(CIR_a,CIR_b,CIR_vol,CIR_h0,B36)</f>
        <v>0.40839942621359859</v>
      </c>
      <c r="F36" s="147">
        <f t="shared" ca="1" si="3"/>
        <v>2.0289470797378473E-2</v>
      </c>
      <c r="G36" s="173"/>
      <c r="H36" s="161"/>
      <c r="I36" s="174"/>
      <c r="J36" s="161"/>
      <c r="K36" s="177"/>
      <c r="L36" s="174"/>
      <c r="M36" s="161"/>
      <c r="N36" s="177"/>
    </row>
    <row r="37" spans="2:14" x14ac:dyDescent="0.25">
      <c r="B37" s="160">
        <v>4.5</v>
      </c>
      <c r="C37" s="146" cm="1">
        <f t="array" aca="1" ref="C37" ca="1">CubicSpline(CurveTenors,CntrtyCurve,B37)</f>
        <v>0.12567598308419292</v>
      </c>
      <c r="D37" s="161">
        <f t="shared" ref="D37" ca="1" si="19">EXP(-B37*C37/LGD)</f>
        <v>0.38962526017731935</v>
      </c>
      <c r="E37" s="146" cm="1">
        <f t="array" aca="1" ref="E37" ca="1">CIRSurvivalProb(CIR_a,CIR_b,CIR_vol,CIR_h0,B37)</f>
        <v>0.38909048763591336</v>
      </c>
      <c r="F37" s="147">
        <f t="shared" ca="1" si="3"/>
        <v>1.9308938577685231E-2</v>
      </c>
      <c r="G37" s="173"/>
      <c r="H37" s="161"/>
      <c r="I37" s="174"/>
      <c r="J37" s="161"/>
      <c r="K37" s="177"/>
      <c r="L37" s="174"/>
      <c r="M37" s="161"/>
      <c r="N37" s="177"/>
    </row>
    <row r="38" spans="2:14" x14ac:dyDescent="0.25">
      <c r="B38" s="160">
        <v>4.75</v>
      </c>
      <c r="C38" s="146" cm="1">
        <f t="array" aca="1" ref="C38" ca="1">CubicSpline(CurveTenors,CntrtyCurve,B38)</f>
        <v>0.1253250925349505</v>
      </c>
      <c r="D38" s="161">
        <f t="shared" ref="D38" ca="1" si="20">EXP(-B38*C38/LGD)</f>
        <v>0.37077607034953236</v>
      </c>
      <c r="E38" s="146" cm="1">
        <f t="array" aca="1" ref="E38" ca="1">CIRSurvivalProb(CIR_a,CIR_b,CIR_vol,CIR_h0,B38)</f>
        <v>0.37070874932967474</v>
      </c>
      <c r="F38" s="147">
        <f t="shared" ca="1" si="3"/>
        <v>1.8381738306238626E-2</v>
      </c>
      <c r="G38" s="173"/>
      <c r="H38" s="161"/>
      <c r="I38" s="174"/>
      <c r="J38" s="161"/>
      <c r="K38" s="177"/>
      <c r="L38" s="174"/>
      <c r="M38" s="161"/>
      <c r="N38" s="177"/>
    </row>
    <row r="39" spans="2:14" x14ac:dyDescent="0.25">
      <c r="B39" s="160">
        <v>5</v>
      </c>
      <c r="C39" s="146" cm="1">
        <f t="array" aca="1" ref="C39" ca="1">CubicSpline(CurveTenors,CntrtyCurve,B39)</f>
        <v>0.125</v>
      </c>
      <c r="D39" s="161">
        <f t="shared" ref="D39" ca="1" si="21">EXP(-B39*C39/LGD)</f>
        <v>0.3528660814588489</v>
      </c>
      <c r="E39" s="146" cm="1">
        <f t="array" aca="1" ref="E39" ca="1">CIRSurvivalProb(CIR_a,CIR_b,CIR_vol,CIR_h0,B39)</f>
        <v>0.35320548632414389</v>
      </c>
      <c r="F39" s="147">
        <f t="shared" ca="1" si="3"/>
        <v>1.7503263005530845E-2</v>
      </c>
      <c r="G39" s="173"/>
      <c r="H39" s="161"/>
      <c r="I39" s="174"/>
      <c r="J39" s="161"/>
      <c r="K39" s="177"/>
      <c r="L39" s="174"/>
      <c r="M39" s="161"/>
      <c r="N39" s="177"/>
    </row>
    <row r="40" spans="2:14" x14ac:dyDescent="0.25">
      <c r="B40" s="160">
        <v>5.25</v>
      </c>
      <c r="C40" s="146" cm="1">
        <f t="array" aca="1" ref="C40" ca="1">CubicSpline(CurveTenors,CntrtyCurve,B40)</f>
        <v>0.12467616180563823</v>
      </c>
      <c r="D40" s="161">
        <f t="shared" ref="D40" ca="1" si="22">EXP(-B40*C40/LGD)</f>
        <v>0.33590852073710464</v>
      </c>
      <c r="E40" s="146" cm="1">
        <f t="array" aca="1" ref="E40" ca="1">CIRSurvivalProb(CIR_a,CIR_b,CIR_vol,CIR_h0,B40)</f>
        <v>0.3365357492996221</v>
      </c>
      <c r="F40" s="147">
        <f t="shared" ca="1" si="3"/>
        <v>1.6669737024521791E-2</v>
      </c>
      <c r="G40" s="173"/>
      <c r="H40" s="161"/>
      <c r="I40" s="174"/>
      <c r="J40" s="161"/>
      <c r="K40" s="177"/>
      <c r="L40" s="174"/>
      <c r="M40" s="161"/>
      <c r="N40" s="177"/>
    </row>
    <row r="41" spans="2:14" x14ac:dyDescent="0.25">
      <c r="B41" s="160">
        <v>5.5</v>
      </c>
      <c r="C41" s="146" cm="1">
        <f t="array" aca="1" ref="C41" ca="1">CubicSpline(CurveTenors,CntrtyCurve,B41)</f>
        <v>0.12435063892303333</v>
      </c>
      <c r="D41" s="161">
        <f t="shared" ref="D41" ca="1" si="23">EXP(-B41*C41/LGD)</f>
        <v>0.31985712834977403</v>
      </c>
      <c r="E41" s="146" cm="1">
        <f t="array" aca="1" ref="E41" ca="1">CIRSurvivalProb(CIR_a,CIR_b,CIR_vol,CIR_h0,B41)</f>
        <v>0.32065775176880462</v>
      </c>
      <c r="F41" s="147">
        <f t="shared" ca="1" si="3"/>
        <v>1.5877997530817478E-2</v>
      </c>
      <c r="G41" s="173"/>
      <c r="H41" s="161"/>
      <c r="I41" s="174"/>
      <c r="J41" s="161"/>
      <c r="K41" s="177"/>
      <c r="L41" s="174"/>
      <c r="M41" s="161"/>
      <c r="N41" s="177"/>
    </row>
    <row r="42" spans="2:14" x14ac:dyDescent="0.25">
      <c r="B42" s="160">
        <v>5.75</v>
      </c>
      <c r="C42" s="146" cm="1">
        <f t="array" aca="1" ref="C42" ca="1">CubicSpline(CurveTenors,CntrtyCurve,B42)</f>
        <v>0.12402589348093329</v>
      </c>
      <c r="D42" s="161">
        <f t="shared" ref="D42" ca="1" si="24">EXP(-B42*C42/LGD)</f>
        <v>0.30465311448192006</v>
      </c>
      <c r="E42" s="146" cm="1">
        <f t="array" aca="1" ref="E42" ca="1">CIRSurvivalProb(CIR_a,CIR_b,CIR_vol,CIR_h0,B42)</f>
        <v>0.30553241354145744</v>
      </c>
      <c r="F42" s="147">
        <f t="shared" ca="1" si="3"/>
        <v>1.5125338227347185E-2</v>
      </c>
      <c r="G42" s="173"/>
      <c r="H42" s="161"/>
      <c r="I42" s="174"/>
      <c r="J42" s="161"/>
      <c r="K42" s="177"/>
      <c r="L42" s="174"/>
      <c r="M42" s="161"/>
      <c r="N42" s="177"/>
    </row>
    <row r="43" spans="2:14" x14ac:dyDescent="0.25">
      <c r="B43" s="160">
        <v>6</v>
      </c>
      <c r="C43" s="146" cm="1">
        <f t="array" aca="1" ref="C43" ca="1">CubicSpline(CurveTenors,CntrtyCurve,B43)</f>
        <v>0.12370438760808611</v>
      </c>
      <c r="D43" s="161">
        <f t="shared" ref="D43" ca="1" si="25">EXP(-B43*C43/LGD)</f>
        <v>0.29024093921075972</v>
      </c>
      <c r="E43" s="146" cm="1">
        <f t="array" aca="1" ref="E43" ca="1">CIRSurvivalProb(CIR_a,CIR_b,CIR_vol,CIR_h0,B43)</f>
        <v>0.29112301600654733</v>
      </c>
      <c r="F43" s="147">
        <f t="shared" ca="1" si="3"/>
        <v>1.4409397534910107E-2</v>
      </c>
      <c r="G43" s="173"/>
      <c r="H43" s="161"/>
      <c r="I43" s="174"/>
      <c r="J43" s="161"/>
      <c r="K43" s="177"/>
      <c r="L43" s="174"/>
      <c r="M43" s="161"/>
      <c r="N43" s="177"/>
    </row>
    <row r="44" spans="2:14" x14ac:dyDescent="0.25">
      <c r="B44" s="160">
        <v>6.25</v>
      </c>
      <c r="C44" s="146" cm="1">
        <f t="array" aca="1" ref="C44" ca="1">CubicSpline(CurveTenors,CntrtyCurve,B44)</f>
        <v>0.12338858343323977</v>
      </c>
      <c r="D44" s="161">
        <f t="shared" ref="D44" ca="1" si="26">EXP(-B44*C44/LGD)</f>
        <v>0.27656822481550764</v>
      </c>
      <c r="E44" s="146" cm="1">
        <f t="array" aca="1" ref="E44" ca="1">CIRSurvivalProb(CIR_a,CIR_b,CIR_vol,CIR_h0,B44)</f>
        <v>0.27739493755703076</v>
      </c>
      <c r="F44" s="147">
        <f t="shared" ca="1" si="3"/>
        <v>1.3728078449516568E-2</v>
      </c>
      <c r="G44" s="173"/>
      <c r="H44" s="161"/>
      <c r="I44" s="174"/>
      <c r="J44" s="161"/>
      <c r="K44" s="177"/>
      <c r="L44" s="174"/>
      <c r="M44" s="161"/>
      <c r="N44" s="177"/>
    </row>
    <row r="45" spans="2:14" x14ac:dyDescent="0.25">
      <c r="B45" s="160">
        <v>6.5</v>
      </c>
      <c r="C45" s="146" cm="1">
        <f t="array" aca="1" ref="C45" ca="1">CubicSpline(CurveTenors,CntrtyCurve,B45)</f>
        <v>0.12308094308514228</v>
      </c>
      <c r="D45" s="161">
        <f t="shared" ref="D45" ca="1" si="27">EXP(-B45*C45/LGD)</f>
        <v>0.26358565868685768</v>
      </c>
      <c r="E45" s="146" cm="1">
        <f t="array" aca="1" ref="E45" ca="1">CIRSurvivalProb(CIR_a,CIR_b,CIR_vol,CIR_h0,B45)</f>
        <v>0.26431544664017481</v>
      </c>
      <c r="F45" s="147">
        <f t="shared" ca="1" si="3"/>
        <v>1.3079490916855951E-2</v>
      </c>
      <c r="G45" s="173"/>
      <c r="H45" s="161"/>
      <c r="I45" s="174"/>
      <c r="J45" s="161"/>
      <c r="K45" s="177"/>
      <c r="L45" s="174"/>
      <c r="M45" s="161"/>
      <c r="N45" s="177"/>
    </row>
    <row r="46" spans="2:14" x14ac:dyDescent="0.25">
      <c r="B46" s="160">
        <v>6.75</v>
      </c>
      <c r="C46" s="146" cm="1">
        <f t="array" aca="1" ref="C46" ca="1">CubicSpline(CurveTenors,CntrtyCurve,B46)</f>
        <v>0.12278392869254162</v>
      </c>
      <c r="D46" s="161">
        <f t="shared" ref="D46" ca="1" si="28">EXP(-B46*C46/LGD)</f>
        <v>0.2512468900009599</v>
      </c>
      <c r="E46" s="146" cm="1">
        <f t="array" aca="1" ref="E46" ca="1">CIRSurvivalProb(CIR_a,CIR_b,CIR_vol,CIR_h0,B46)</f>
        <v>0.25185353644463049</v>
      </c>
      <c r="F46" s="147">
        <f t="shared" ca="1" si="3"/>
        <v>1.2461910195544323E-2</v>
      </c>
      <c r="G46" s="173"/>
      <c r="H46" s="161"/>
      <c r="I46" s="174"/>
      <c r="J46" s="161"/>
      <c r="K46" s="177"/>
      <c r="L46" s="174"/>
      <c r="M46" s="161"/>
      <c r="N46" s="177"/>
    </row>
    <row r="47" spans="2:14" x14ac:dyDescent="0.25">
      <c r="B47" s="160">
        <v>7</v>
      </c>
      <c r="C47" s="146" cm="1">
        <f t="array" aca="1" ref="C47" ca="1">CubicSpline(CurveTenors,CntrtyCurve,B47)</f>
        <v>0.12250000238418579</v>
      </c>
      <c r="D47" s="161">
        <f t="shared" ref="D47" ca="1" si="29">EXP(-B47*C47/LGD)</f>
        <v>0.23950842280003953</v>
      </c>
      <c r="E47" s="146" cm="1">
        <f t="array" aca="1" ref="E47" ca="1">CIRSurvivalProb(CIR_a,CIR_b,CIR_vol,CIR_h0,B47)</f>
        <v>0.23997978987527283</v>
      </c>
      <c r="F47" s="147">
        <f t="shared" ca="1" si="3"/>
        <v>1.1873746569357663E-2</v>
      </c>
      <c r="G47" s="173"/>
      <c r="H47" s="161"/>
      <c r="I47" s="174"/>
      <c r="J47" s="161"/>
      <c r="K47" s="177"/>
      <c r="L47" s="174"/>
      <c r="M47" s="161"/>
      <c r="N47" s="177"/>
    </row>
    <row r="48" spans="2:14" x14ac:dyDescent="0.25">
      <c r="B48" s="160">
        <v>7.25</v>
      </c>
      <c r="C48" s="146" cm="1">
        <f t="array" aca="1" ref="C48" ca="1">CubicSpline(CurveTenors,CntrtyCurve,B48)</f>
        <v>0.12223104432026327</v>
      </c>
      <c r="D48" s="161">
        <f t="shared" ref="D48" ca="1" si="30">EXP(-B48*C48/LGD)</f>
        <v>0.22833111330133099</v>
      </c>
      <c r="E48" s="146" cm="1">
        <f t="array" aca="1" ref="E48" ca="1">CIRSurvivalProb(CIR_a,CIR_b,CIR_vol,CIR_h0,B48)</f>
        <v>0.2286662667573704</v>
      </c>
      <c r="F48" s="147">
        <f t="shared" ca="1" si="3"/>
        <v>1.131352311790243E-2</v>
      </c>
      <c r="G48" s="173"/>
      <c r="H48" s="161"/>
      <c r="I48" s="174"/>
      <c r="J48" s="161"/>
      <c r="K48" s="177"/>
      <c r="L48" s="174"/>
      <c r="M48" s="161"/>
      <c r="N48" s="177"/>
    </row>
    <row r="49" spans="2:14" x14ac:dyDescent="0.25">
      <c r="B49" s="160">
        <v>7.5</v>
      </c>
      <c r="C49" s="146" cm="1">
        <f t="array" aca="1" ref="C49" ca="1">CubicSpline(CurveTenors,CntrtyCurve,B49)</f>
        <v>0.12197658425942794</v>
      </c>
      <c r="D49" s="161">
        <f t="shared" ref="D49" ca="1" si="31">EXP(-B49*C49/LGD)</f>
        <v>0.21768476316572405</v>
      </c>
      <c r="E49" s="146" cm="1">
        <f t="array" aca="1" ref="E49" ca="1">CIRSurvivalProb(CIR_a,CIR_b,CIR_vol,CIR_h0,B49)</f>
        <v>0.21788640754190283</v>
      </c>
      <c r="F49" s="147">
        <f t="shared" ca="1" si="3"/>
        <v>1.0779859215467563E-2</v>
      </c>
      <c r="G49" s="173"/>
      <c r="H49" s="161"/>
      <c r="I49" s="174"/>
      <c r="J49" s="161"/>
      <c r="K49" s="177"/>
      <c r="L49" s="174"/>
      <c r="M49" s="161"/>
      <c r="N49" s="177"/>
    </row>
    <row r="50" spans="2:14" x14ac:dyDescent="0.25">
      <c r="B50" s="160">
        <v>7.75</v>
      </c>
      <c r="C50" s="146" cm="1">
        <f t="array" aca="1" ref="C50" ca="1">CubicSpline(CurveTenors,CntrtyCurve,B50)</f>
        <v>0.12173559243203158</v>
      </c>
      <c r="D50" s="161">
        <f t="shared" ref="D50" ca="1" si="32">EXP(-B50*C50/LGD)</f>
        <v>0.20754272250500955</v>
      </c>
      <c r="E50" s="146" cm="1">
        <f t="array" aca="1" ref="E50" ca="1">CIRSurvivalProb(CIR_a,CIR_b,CIR_vol,CIR_h0,B50)</f>
        <v>0.20761494943252715</v>
      </c>
      <c r="F50" s="147">
        <f t="shared" ca="1" si="3"/>
        <v>1.0271458109375686E-2</v>
      </c>
      <c r="G50" s="173"/>
      <c r="H50" s="161"/>
      <c r="I50" s="174"/>
      <c r="J50" s="161"/>
      <c r="K50" s="177"/>
      <c r="L50" s="174"/>
      <c r="M50" s="161"/>
      <c r="N50" s="177"/>
    </row>
    <row r="51" spans="2:14" x14ac:dyDescent="0.25">
      <c r="B51" s="160">
        <v>8</v>
      </c>
      <c r="C51" s="146" cm="1">
        <f t="array" aca="1" ref="C51" ca="1">CubicSpline(CurveTenors,CntrtyCurve,B51)</f>
        <v>0.12150701662585141</v>
      </c>
      <c r="D51" s="161">
        <f t="shared" ref="D51" ca="1" si="33">EXP(-B51*C51/LGD)</f>
        <v>0.19788018553460648</v>
      </c>
      <c r="E51" s="146" cm="1">
        <f t="array" aca="1" ref="E51" ca="1">CIRSurvivalProb(CIR_a,CIR_b,CIR_vol,CIR_h0,B51)</f>
        <v>0.19782785202056674</v>
      </c>
      <c r="F51" s="147">
        <f t="shared" ca="1" si="3"/>
        <v>9.7870974119604048E-3</v>
      </c>
      <c r="G51" s="173"/>
      <c r="H51" s="161"/>
      <c r="I51" s="174"/>
      <c r="J51" s="161"/>
      <c r="K51" s="177"/>
      <c r="L51" s="174"/>
      <c r="M51" s="161"/>
      <c r="N51" s="177"/>
    </row>
    <row r="52" spans="2:14" x14ac:dyDescent="0.25">
      <c r="B52" s="160">
        <v>8.25</v>
      </c>
      <c r="C52" s="146" cm="1">
        <f t="array" aca="1" ref="C52" ca="1">CubicSpline(CurveTenors,CntrtyCurve,B52)</f>
        <v>0.12128980466203176</v>
      </c>
      <c r="D52" s="161">
        <f t="shared" ref="D52" ca="1" si="34">EXP(-B52*C52/LGD)</f>
        <v>0.18867396355602922</v>
      </c>
      <c r="E52" s="146" cm="1">
        <f t="array" aca="1" ref="E52" ca="1">CIRSurvivalProb(CIR_a,CIR_b,CIR_vol,CIR_h0,B52)</f>
        <v>0.18850223033877458</v>
      </c>
      <c r="F52" s="147">
        <f t="shared" ca="1" si="3"/>
        <v>9.3256216817921567E-3</v>
      </c>
      <c r="G52" s="173"/>
      <c r="H52" s="161"/>
      <c r="I52" s="174"/>
      <c r="J52" s="161"/>
      <c r="K52" s="177"/>
      <c r="L52" s="174"/>
      <c r="M52" s="161"/>
      <c r="N52" s="177"/>
    </row>
    <row r="53" spans="2:14" x14ac:dyDescent="0.25">
      <c r="B53" s="160">
        <v>8.5</v>
      </c>
      <c r="C53" s="146" cm="1">
        <f t="array" aca="1" ref="C53" ca="1">CubicSpline(CurveTenors,CntrtyCurve,B53)</f>
        <v>0.12108292672087373</v>
      </c>
      <c r="D53" s="161">
        <f t="shared" ref="D53" ca="1" si="35">EXP(-B53*C53/LGD)</f>
        <v>0.1799022804532279</v>
      </c>
      <c r="E53" s="146" cm="1">
        <f t="array" aca="1" ref="E53" ca="1">CIRSurvivalProb(CIR_a,CIR_b,CIR_vol,CIR_h0,B53)</f>
        <v>0.17961629382765426</v>
      </c>
      <c r="F53" s="147">
        <f t="shared" ca="1" si="3"/>
        <v>8.8859365111203237E-3</v>
      </c>
      <c r="G53" s="173"/>
      <c r="H53" s="161"/>
      <c r="I53" s="174"/>
      <c r="J53" s="161"/>
      <c r="K53" s="177"/>
      <c r="L53" s="174"/>
      <c r="M53" s="161"/>
      <c r="N53" s="177"/>
    </row>
    <row r="54" spans="2:14" x14ac:dyDescent="0.25">
      <c r="B54" s="160">
        <v>8.75</v>
      </c>
      <c r="C54" s="146" cm="1">
        <f t="array" aca="1" ref="C54" ca="1">CubicSpline(CurveTenors,CntrtyCurve,B54)</f>
        <v>0.12088532689660933</v>
      </c>
      <c r="D54" s="161">
        <f t="shared" ref="D54" ca="1" si="36">EXP(-B54*C54/LGD)</f>
        <v>0.17154476650713393</v>
      </c>
      <c r="E54" s="146" cm="1">
        <f t="array" aca="1" ref="E54" ca="1">CIRSurvivalProb(CIR_a,CIR_b,CIR_vol,CIR_h0,B54)</f>
        <v>0.17114929012075161</v>
      </c>
      <c r="F54" s="147">
        <f t="shared" ca="1" si="3"/>
        <v>8.4670037069026483E-3</v>
      </c>
      <c r="G54" s="173"/>
      <c r="H54" s="161"/>
      <c r="I54" s="174"/>
      <c r="J54" s="161"/>
      <c r="K54" s="177"/>
      <c r="L54" s="174"/>
      <c r="M54" s="161"/>
      <c r="N54" s="177"/>
    </row>
    <row r="55" spans="2:14" x14ac:dyDescent="0.25">
      <c r="B55" s="160">
        <v>9</v>
      </c>
      <c r="C55" s="146" cm="1">
        <f t="array" aca="1" ref="C55" ca="1">CubicSpline(CurveTenors,CntrtyCurve,B55)</f>
        <v>0.12069596790343405</v>
      </c>
      <c r="D55" s="161">
        <f t="shared" ref="D55" ca="1" si="37">EXP(-B55*C55/LGD)</f>
        <v>0.16358222357830357</v>
      </c>
      <c r="E55" s="146" cm="1">
        <f t="array" aca="1" ref="E55" ca="1">CIRSurvivalProb(CIR_a,CIR_b,CIR_vol,CIR_h0,B55)</f>
        <v>0.16308145284767414</v>
      </c>
      <c r="F55" s="147">
        <f t="shared" ca="1" si="3"/>
        <v>8.0678372730774717E-3</v>
      </c>
      <c r="G55" s="173"/>
      <c r="H55" s="161"/>
      <c r="I55" s="174"/>
      <c r="J55" s="161"/>
      <c r="K55" s="177"/>
      <c r="L55" s="174"/>
      <c r="M55" s="161"/>
      <c r="N55" s="177"/>
    </row>
    <row r="56" spans="2:14" x14ac:dyDescent="0.25">
      <c r="B56" s="160">
        <v>9.25</v>
      </c>
      <c r="C56" s="146" cm="1">
        <f t="array" aca="1" ref="C56" ca="1">CubicSpline(CurveTenors,CntrtyCurve,B56)</f>
        <v>0.12051379757477321</v>
      </c>
      <c r="D56" s="161">
        <f t="shared" ref="D56" ca="1" si="38">EXP(-B56*C56/LGD)</f>
        <v>0.15599660325993681</v>
      </c>
      <c r="E56" s="146" cm="1">
        <f t="array" aca="1" ref="E56" ca="1">CIRSurvivalProb(CIR_a,CIR_b,CIR_vol,CIR_h0,B56)</f>
        <v>0.15539395286102639</v>
      </c>
      <c r="F56" s="147">
        <f t="shared" ca="1" si="3"/>
        <v>7.68749998664775E-3</v>
      </c>
      <c r="G56" s="173"/>
      <c r="H56" s="161"/>
      <c r="I56" s="174"/>
      <c r="J56" s="161"/>
      <c r="K56" s="177"/>
      <c r="L56" s="174"/>
      <c r="M56" s="161"/>
      <c r="N56" s="177"/>
    </row>
    <row r="57" spans="2:14" x14ac:dyDescent="0.25">
      <c r="B57" s="160">
        <v>9.5</v>
      </c>
      <c r="C57" s="146" cm="1">
        <f t="array" aca="1" ref="C57" ca="1">CubicSpline(CurveTenors,CntrtyCurve,B57)</f>
        <v>0.12033777675893309</v>
      </c>
      <c r="D57" s="161">
        <f t="shared" ref="D57" ca="1" si="39">EXP(-B57*C57/LGD)</f>
        <v>0.14877084171277297</v>
      </c>
      <c r="E57" s="146" cm="1">
        <f t="array" aca="1" ref="E57" ca="1">CIRSurvivalProb(CIR_a,CIR_b,CIR_vol,CIR_h0,B57)</f>
        <v>0.1480688524409966</v>
      </c>
      <c r="F57" s="147">
        <f t="shared" ca="1" si="3"/>
        <v>7.3251004200297898E-3</v>
      </c>
      <c r="G57" s="173"/>
      <c r="H57" s="161"/>
      <c r="I57" s="174"/>
      <c r="J57" s="161"/>
      <c r="K57" s="177"/>
      <c r="L57" s="174"/>
      <c r="M57" s="161"/>
      <c r="N57" s="177"/>
    </row>
    <row r="58" spans="2:14" x14ac:dyDescent="0.25">
      <c r="B58" s="160">
        <v>9.75</v>
      </c>
      <c r="C58" s="146" cm="1">
        <f t="array" aca="1" ref="C58" ca="1">CubicSpline(CurveTenors,CntrtyCurve,B58)</f>
        <v>0.12016685793986935</v>
      </c>
      <c r="D58" s="161">
        <f t="shared" ref="D58" ca="1" si="40">EXP(-B58*C58/LGD)</f>
        <v>0.14188882628226651</v>
      </c>
      <c r="E58" s="146" cm="1">
        <f t="array" aca="1" ref="E58" ca="1">CIRSurvivalProb(CIR_a,CIR_b,CIR_vol,CIR_h0,B58)</f>
        <v>0.14108906213658418</v>
      </c>
      <c r="F58" s="147">
        <f t="shared" ca="1" si="3"/>
        <v>6.9797903044124254E-3</v>
      </c>
      <c r="G58" s="173"/>
      <c r="H58" s="161"/>
      <c r="I58" s="174"/>
      <c r="J58" s="161"/>
      <c r="K58" s="177"/>
      <c r="L58" s="174"/>
      <c r="M58" s="161"/>
      <c r="N58" s="177"/>
    </row>
    <row r="59" spans="2:14" ht="13.8" thickBot="1" x14ac:dyDescent="0.3">
      <c r="B59" s="163">
        <v>10</v>
      </c>
      <c r="C59" s="164" cm="1">
        <f t="array" aca="1" ref="C59" ca="1">CubicSpline(CurveTenors,CntrtyCurve,B59)</f>
        <v>0.11999999731779099</v>
      </c>
      <c r="D59" s="165">
        <f t="shared" ref="D59" ca="1" si="41">EXP(-B59*C59/LGD)</f>
        <v>0.13533528928657143</v>
      </c>
      <c r="E59" s="164" cm="1">
        <f t="array" aca="1" ref="E59" ca="1">CIRSurvivalProb(CIR_a,CIR_b,CIR_vol,CIR_h0,B59)</f>
        <v>0.13443829997785625</v>
      </c>
      <c r="F59" s="188">
        <f t="shared" ca="1" si="3"/>
        <v>6.6507621587279242E-3</v>
      </c>
      <c r="G59" s="173"/>
      <c r="H59" s="161"/>
      <c r="I59" s="174"/>
      <c r="J59" s="161"/>
      <c r="K59" s="177"/>
      <c r="L59" s="174"/>
      <c r="M59" s="161"/>
      <c r="N59" s="177"/>
    </row>
    <row r="60" spans="2:14" x14ac:dyDescent="0.25">
      <c r="G60" s="173"/>
      <c r="H60" s="161"/>
      <c r="I60" s="174"/>
      <c r="J60" s="161"/>
      <c r="K60" s="177"/>
      <c r="L60" s="174"/>
      <c r="M60" s="161"/>
      <c r="N60" s="177"/>
    </row>
    <row r="61" spans="2:14" x14ac:dyDescent="0.25">
      <c r="G61" s="173"/>
      <c r="H61" s="161"/>
      <c r="I61" s="174"/>
      <c r="J61" s="161"/>
      <c r="K61" s="177"/>
      <c r="L61" s="174"/>
      <c r="M61" s="161"/>
      <c r="N61" s="177"/>
    </row>
    <row r="62" spans="2:14" x14ac:dyDescent="0.25">
      <c r="G62" s="173"/>
      <c r="H62" s="161"/>
      <c r="I62" s="174"/>
      <c r="J62" s="161"/>
      <c r="K62" s="177"/>
      <c r="L62" s="174"/>
      <c r="M62" s="161"/>
      <c r="N62" s="177"/>
    </row>
    <row r="63" spans="2:14" x14ac:dyDescent="0.25">
      <c r="B63" s="178"/>
      <c r="C63" s="161"/>
      <c r="D63" s="161"/>
      <c r="E63" s="161"/>
      <c r="F63" s="161"/>
      <c r="G63" s="173"/>
      <c r="H63" s="161"/>
      <c r="I63" s="174"/>
      <c r="J63" s="161"/>
      <c r="K63" s="177"/>
      <c r="L63" s="174"/>
      <c r="M63" s="161"/>
      <c r="N63" s="177"/>
    </row>
    <row r="64" spans="2:14" x14ac:dyDescent="0.25">
      <c r="B64" s="178"/>
      <c r="C64" s="161"/>
      <c r="D64" s="161"/>
      <c r="E64" s="161"/>
      <c r="F64" s="161"/>
      <c r="G64" s="173"/>
      <c r="H64" s="161"/>
      <c r="I64" s="174"/>
      <c r="J64" s="161"/>
      <c r="K64" s="177"/>
      <c r="L64" s="174"/>
      <c r="M64" s="161"/>
      <c r="N64" s="177"/>
    </row>
    <row r="65" spans="2:14" x14ac:dyDescent="0.25">
      <c r="B65" s="178"/>
      <c r="C65" s="161"/>
      <c r="D65" s="161"/>
      <c r="E65" s="161"/>
      <c r="F65" s="161"/>
      <c r="G65" s="173"/>
      <c r="H65" s="161"/>
      <c r="I65" s="174"/>
      <c r="J65" s="161"/>
      <c r="K65" s="177"/>
      <c r="L65" s="174"/>
      <c r="M65" s="161"/>
      <c r="N65" s="177"/>
    </row>
    <row r="66" spans="2:14" x14ac:dyDescent="0.25">
      <c r="B66" s="178"/>
      <c r="C66" s="161"/>
      <c r="D66" s="161"/>
      <c r="E66" s="161"/>
      <c r="F66" s="161"/>
      <c r="G66" s="173"/>
      <c r="H66" s="161"/>
      <c r="I66" s="174"/>
      <c r="J66" s="161"/>
      <c r="K66" s="177"/>
      <c r="L66" s="174"/>
      <c r="M66" s="161"/>
      <c r="N66" s="177"/>
    </row>
    <row r="67" spans="2:14" x14ac:dyDescent="0.25">
      <c r="B67" s="178"/>
      <c r="C67" s="161"/>
      <c r="D67" s="161"/>
      <c r="E67" s="161"/>
      <c r="F67" s="161"/>
      <c r="G67" s="173"/>
      <c r="H67" s="161"/>
      <c r="I67" s="174"/>
      <c r="J67" s="161"/>
      <c r="K67" s="177"/>
      <c r="L67" s="174"/>
      <c r="M67" s="161"/>
      <c r="N67" s="177"/>
    </row>
    <row r="68" spans="2:14" x14ac:dyDescent="0.25">
      <c r="B68" s="178"/>
      <c r="C68" s="161"/>
      <c r="D68" s="161"/>
      <c r="E68" s="161"/>
      <c r="F68" s="161"/>
      <c r="G68" s="173"/>
      <c r="H68" s="161"/>
      <c r="I68" s="174"/>
      <c r="J68" s="161"/>
      <c r="K68" s="177"/>
      <c r="L68" s="174"/>
      <c r="M68" s="161"/>
      <c r="N68" s="177"/>
    </row>
    <row r="69" spans="2:14" x14ac:dyDescent="0.25">
      <c r="B69" s="178"/>
      <c r="C69" s="161"/>
      <c r="D69" s="161"/>
      <c r="E69" s="161"/>
      <c r="F69" s="161"/>
      <c r="G69" s="173"/>
      <c r="H69" s="161"/>
      <c r="I69" s="174"/>
      <c r="J69" s="161"/>
      <c r="K69" s="177"/>
      <c r="L69" s="174"/>
      <c r="M69" s="161"/>
      <c r="N69" s="177"/>
    </row>
    <row r="70" spans="2:14" x14ac:dyDescent="0.25">
      <c r="B70" s="178"/>
      <c r="C70" s="161"/>
      <c r="D70" s="161"/>
      <c r="E70" s="161"/>
      <c r="F70" s="161"/>
      <c r="G70" s="173"/>
      <c r="H70" s="161"/>
      <c r="I70" s="174"/>
      <c r="J70" s="161"/>
      <c r="K70" s="177"/>
      <c r="L70" s="174"/>
      <c r="M70" s="161"/>
      <c r="N70" s="177"/>
    </row>
    <row r="71" spans="2:14" x14ac:dyDescent="0.25">
      <c r="B71" s="178"/>
      <c r="C71" s="161"/>
      <c r="D71" s="161"/>
      <c r="E71" s="161"/>
      <c r="F71" s="161"/>
      <c r="G71" s="173"/>
      <c r="H71" s="161"/>
      <c r="I71" s="174"/>
      <c r="J71" s="161"/>
      <c r="K71" s="177"/>
      <c r="L71" s="174"/>
      <c r="M71" s="161"/>
      <c r="N71" s="177"/>
    </row>
    <row r="72" spans="2:14" x14ac:dyDescent="0.25">
      <c r="B72" s="178"/>
      <c r="C72" s="161"/>
      <c r="D72" s="161"/>
      <c r="E72" s="161"/>
      <c r="F72" s="161"/>
      <c r="G72" s="173"/>
      <c r="H72" s="161"/>
      <c r="I72" s="174"/>
      <c r="J72" s="161"/>
      <c r="K72" s="177"/>
      <c r="L72" s="174"/>
      <c r="M72" s="161"/>
      <c r="N72" s="177"/>
    </row>
    <row r="73" spans="2:14" x14ac:dyDescent="0.25">
      <c r="B73" s="178"/>
      <c r="C73" s="161"/>
      <c r="D73" s="161"/>
      <c r="E73" s="161"/>
      <c r="F73" s="161"/>
      <c r="G73" s="173"/>
      <c r="H73" s="161"/>
      <c r="I73" s="174"/>
      <c r="J73" s="161"/>
      <c r="K73" s="177"/>
      <c r="L73" s="174"/>
      <c r="M73" s="161"/>
      <c r="N73" s="177"/>
    </row>
    <row r="74" spans="2:14" x14ac:dyDescent="0.25">
      <c r="B74" s="178"/>
      <c r="C74" s="161"/>
      <c r="D74" s="161"/>
      <c r="E74" s="161"/>
      <c r="F74" s="161"/>
      <c r="G74" s="173"/>
      <c r="H74" s="161"/>
      <c r="I74" s="174"/>
      <c r="J74" s="161"/>
      <c r="K74" s="177"/>
      <c r="L74" s="174"/>
      <c r="M74" s="161"/>
      <c r="N74" s="177"/>
    </row>
    <row r="75" spans="2:14" x14ac:dyDescent="0.25">
      <c r="B75" s="178"/>
      <c r="C75" s="161"/>
      <c r="D75" s="161"/>
      <c r="E75" s="161"/>
      <c r="F75" s="161"/>
      <c r="G75" s="173"/>
      <c r="H75" s="161"/>
      <c r="I75" s="174"/>
      <c r="J75" s="161"/>
      <c r="K75" s="177"/>
      <c r="L75" s="174"/>
      <c r="M75" s="161"/>
      <c r="N75" s="177"/>
    </row>
    <row r="76" spans="2:14" x14ac:dyDescent="0.25">
      <c r="B76" s="178"/>
      <c r="C76" s="161"/>
      <c r="D76" s="161"/>
      <c r="E76" s="161"/>
      <c r="F76" s="161"/>
      <c r="G76" s="173"/>
      <c r="H76" s="161"/>
      <c r="I76" s="174"/>
      <c r="J76" s="161"/>
      <c r="K76" s="177"/>
      <c r="L76" s="174"/>
      <c r="M76" s="161"/>
      <c r="N76" s="177"/>
    </row>
    <row r="77" spans="2:14" x14ac:dyDescent="0.25">
      <c r="B77" s="178"/>
      <c r="C77" s="161"/>
      <c r="D77" s="161"/>
      <c r="E77" s="161"/>
      <c r="F77" s="161"/>
      <c r="G77" s="173"/>
      <c r="H77" s="161"/>
      <c r="I77" s="174"/>
      <c r="J77" s="161"/>
      <c r="K77" s="177"/>
      <c r="L77" s="174"/>
      <c r="M77" s="161"/>
      <c r="N77" s="177"/>
    </row>
    <row r="78" spans="2:14" x14ac:dyDescent="0.25">
      <c r="B78" s="178"/>
      <c r="C78" s="161"/>
      <c r="D78" s="161"/>
      <c r="E78" s="161"/>
      <c r="F78" s="161"/>
      <c r="G78" s="173"/>
      <c r="H78" s="161"/>
      <c r="I78" s="174"/>
      <c r="J78" s="161"/>
      <c r="K78" s="177"/>
      <c r="L78" s="174"/>
      <c r="M78" s="161"/>
      <c r="N78" s="177"/>
    </row>
    <row r="79" spans="2:14" x14ac:dyDescent="0.25">
      <c r="B79" s="178"/>
      <c r="C79" s="161"/>
      <c r="D79" s="161"/>
      <c r="E79" s="161"/>
      <c r="F79" s="161"/>
      <c r="G79" s="173"/>
      <c r="H79" s="161"/>
      <c r="I79" s="174"/>
      <c r="J79" s="161"/>
      <c r="K79" s="177"/>
      <c r="L79" s="174"/>
      <c r="M79" s="161"/>
      <c r="N79" s="177"/>
    </row>
    <row r="80" spans="2:14" x14ac:dyDescent="0.25">
      <c r="B80" s="178"/>
      <c r="C80" s="161"/>
      <c r="D80" s="161"/>
      <c r="E80" s="161"/>
      <c r="F80" s="161"/>
      <c r="G80" s="173"/>
      <c r="H80" s="161"/>
      <c r="I80" s="174"/>
      <c r="J80" s="161"/>
      <c r="K80" s="177"/>
      <c r="L80" s="174"/>
      <c r="M80" s="161"/>
      <c r="N80" s="177"/>
    </row>
    <row r="81" spans="2:14" x14ac:dyDescent="0.25">
      <c r="B81" s="178"/>
      <c r="C81" s="161"/>
      <c r="D81" s="161"/>
      <c r="E81" s="161"/>
      <c r="F81" s="161"/>
      <c r="G81" s="173"/>
      <c r="H81" s="161"/>
      <c r="I81" s="174"/>
      <c r="J81" s="161"/>
      <c r="K81" s="177"/>
      <c r="L81" s="174"/>
      <c r="M81" s="161"/>
      <c r="N81" s="177"/>
    </row>
    <row r="82" spans="2:14" x14ac:dyDescent="0.25">
      <c r="B82" s="178"/>
      <c r="C82" s="161"/>
      <c r="D82" s="161"/>
      <c r="E82" s="161"/>
      <c r="F82" s="161"/>
      <c r="G82" s="173"/>
      <c r="H82" s="161"/>
      <c r="I82" s="174"/>
      <c r="J82" s="161"/>
      <c r="K82" s="177"/>
      <c r="L82" s="174"/>
      <c r="M82" s="161"/>
      <c r="N82" s="177"/>
    </row>
    <row r="83" spans="2:14" x14ac:dyDescent="0.25">
      <c r="B83" s="178"/>
      <c r="C83" s="161"/>
      <c r="D83" s="161"/>
      <c r="E83" s="161"/>
      <c r="F83" s="161"/>
      <c r="G83" s="173"/>
      <c r="H83" s="161"/>
      <c r="I83" s="174"/>
      <c r="J83" s="161"/>
      <c r="K83" s="177"/>
      <c r="L83" s="174"/>
      <c r="M83" s="161"/>
      <c r="N83" s="177"/>
    </row>
    <row r="84" spans="2:14" x14ac:dyDescent="0.25">
      <c r="B84" s="178"/>
      <c r="C84" s="161"/>
      <c r="D84" s="161"/>
      <c r="E84" s="161"/>
      <c r="F84" s="161"/>
      <c r="G84" s="173"/>
      <c r="H84" s="161"/>
      <c r="I84" s="174"/>
      <c r="J84" s="161"/>
      <c r="K84" s="177"/>
      <c r="L84" s="174"/>
      <c r="M84" s="161"/>
      <c r="N84" s="177"/>
    </row>
    <row r="85" spans="2:14" x14ac:dyDescent="0.25">
      <c r="B85" s="178"/>
      <c r="C85" s="161"/>
      <c r="D85" s="161"/>
      <c r="E85" s="161"/>
      <c r="F85" s="161"/>
      <c r="G85" s="173"/>
      <c r="H85" s="161"/>
      <c r="I85" s="174"/>
      <c r="J85" s="161"/>
      <c r="K85" s="177"/>
      <c r="L85" s="174"/>
      <c r="M85" s="161"/>
      <c r="N85" s="177"/>
    </row>
    <row r="86" spans="2:14" x14ac:dyDescent="0.25">
      <c r="B86" s="178"/>
      <c r="C86" s="161"/>
      <c r="D86" s="161"/>
      <c r="E86" s="161"/>
      <c r="F86" s="161"/>
      <c r="G86" s="173"/>
      <c r="H86" s="161"/>
      <c r="I86" s="174"/>
      <c r="J86" s="161"/>
      <c r="K86" s="177"/>
      <c r="L86" s="174"/>
      <c r="M86" s="161"/>
      <c r="N86" s="177"/>
    </row>
    <row r="87" spans="2:14" x14ac:dyDescent="0.25">
      <c r="B87" s="178"/>
      <c r="C87" s="161"/>
      <c r="D87" s="161"/>
      <c r="E87" s="161"/>
      <c r="F87" s="161"/>
      <c r="G87" s="173"/>
      <c r="H87" s="161"/>
      <c r="I87" s="174"/>
      <c r="J87" s="161"/>
      <c r="K87" s="177"/>
      <c r="L87" s="174"/>
      <c r="M87" s="161"/>
      <c r="N87" s="177"/>
    </row>
    <row r="88" spans="2:14" x14ac:dyDescent="0.25">
      <c r="B88" s="178"/>
      <c r="C88" s="161"/>
      <c r="D88" s="161"/>
      <c r="E88" s="161"/>
      <c r="F88" s="161"/>
      <c r="G88" s="173"/>
      <c r="H88" s="161"/>
      <c r="I88" s="174"/>
      <c r="J88" s="161"/>
      <c r="K88" s="177"/>
      <c r="L88" s="174"/>
      <c r="M88" s="161"/>
      <c r="N88" s="177"/>
    </row>
    <row r="89" spans="2:14" x14ac:dyDescent="0.25">
      <c r="B89" s="178"/>
      <c r="C89" s="161"/>
      <c r="D89" s="161"/>
      <c r="E89" s="161"/>
      <c r="F89" s="161"/>
      <c r="G89" s="173"/>
      <c r="H89" s="161"/>
      <c r="I89" s="174"/>
      <c r="J89" s="161"/>
      <c r="K89" s="177"/>
      <c r="L89" s="174"/>
      <c r="M89" s="161"/>
      <c r="N89" s="177"/>
    </row>
    <row r="90" spans="2:14" x14ac:dyDescent="0.25">
      <c r="B90" s="178"/>
      <c r="C90" s="161"/>
      <c r="D90" s="161"/>
      <c r="E90" s="161"/>
      <c r="F90" s="161"/>
      <c r="G90" s="173"/>
      <c r="H90" s="161"/>
      <c r="I90" s="174"/>
      <c r="J90" s="161"/>
      <c r="K90" s="177"/>
      <c r="L90" s="174"/>
      <c r="M90" s="161"/>
      <c r="N90" s="177"/>
    </row>
    <row r="91" spans="2:14" x14ac:dyDescent="0.25">
      <c r="B91" s="178"/>
      <c r="C91" s="161"/>
      <c r="D91" s="161"/>
      <c r="E91" s="161"/>
      <c r="F91" s="161"/>
      <c r="G91" s="173"/>
      <c r="H91" s="161"/>
      <c r="I91" s="174"/>
      <c r="J91" s="161"/>
      <c r="K91" s="177"/>
      <c r="L91" s="174"/>
      <c r="M91" s="161"/>
      <c r="N91" s="177"/>
    </row>
    <row r="92" spans="2:14" x14ac:dyDescent="0.25">
      <c r="B92" s="178"/>
      <c r="C92" s="161"/>
      <c r="D92" s="161"/>
      <c r="E92" s="161"/>
      <c r="F92" s="161"/>
      <c r="G92" s="173"/>
      <c r="H92" s="161"/>
      <c r="I92" s="174"/>
      <c r="J92" s="161"/>
      <c r="K92" s="177"/>
      <c r="L92" s="174"/>
      <c r="M92" s="161"/>
      <c r="N92" s="177"/>
    </row>
    <row r="93" spans="2:14" x14ac:dyDescent="0.25">
      <c r="B93" s="178"/>
      <c r="C93" s="161"/>
      <c r="D93" s="161"/>
      <c r="E93" s="161"/>
      <c r="F93" s="161"/>
      <c r="G93" s="173"/>
      <c r="H93" s="161"/>
      <c r="I93" s="174"/>
      <c r="J93" s="161"/>
      <c r="K93" s="177"/>
      <c r="L93" s="174"/>
      <c r="M93" s="161"/>
      <c r="N93" s="177"/>
    </row>
    <row r="94" spans="2:14" x14ac:dyDescent="0.25">
      <c r="B94" s="178"/>
      <c r="C94" s="161"/>
      <c r="D94" s="161"/>
      <c r="E94" s="161"/>
      <c r="F94" s="161"/>
      <c r="G94" s="173"/>
      <c r="H94" s="161"/>
      <c r="I94" s="174"/>
      <c r="J94" s="161"/>
      <c r="K94" s="177"/>
      <c r="L94" s="174"/>
      <c r="M94" s="161"/>
      <c r="N94" s="177"/>
    </row>
    <row r="95" spans="2:14" x14ac:dyDescent="0.25">
      <c r="B95" s="178"/>
      <c r="C95" s="161"/>
      <c r="D95" s="161"/>
      <c r="E95" s="161"/>
      <c r="F95" s="161"/>
      <c r="G95" s="173"/>
      <c r="H95" s="161"/>
      <c r="I95" s="174"/>
      <c r="J95" s="161"/>
      <c r="K95" s="177"/>
      <c r="L95" s="174"/>
      <c r="M95" s="161"/>
      <c r="N95" s="177"/>
    </row>
    <row r="96" spans="2:14" x14ac:dyDescent="0.25">
      <c r="B96" s="178"/>
      <c r="C96" s="161"/>
      <c r="D96" s="161"/>
      <c r="E96" s="161"/>
      <c r="F96" s="161"/>
      <c r="G96" s="173"/>
      <c r="H96" s="161"/>
      <c r="I96" s="174"/>
      <c r="J96" s="161"/>
      <c r="K96" s="177"/>
      <c r="L96" s="174"/>
      <c r="M96" s="161"/>
      <c r="N96" s="177"/>
    </row>
    <row r="97" spans="2:14" x14ac:dyDescent="0.25">
      <c r="B97" s="178"/>
      <c r="C97" s="161"/>
      <c r="D97" s="161"/>
      <c r="E97" s="161"/>
      <c r="F97" s="161"/>
      <c r="G97" s="173"/>
      <c r="H97" s="161"/>
      <c r="I97" s="174"/>
      <c r="J97" s="161"/>
      <c r="K97" s="177"/>
      <c r="L97" s="174"/>
      <c r="M97" s="161"/>
      <c r="N97" s="177"/>
    </row>
    <row r="98" spans="2:14" x14ac:dyDescent="0.25">
      <c r="B98" s="178"/>
      <c r="C98" s="161"/>
      <c r="D98" s="161"/>
      <c r="E98" s="161"/>
      <c r="F98" s="161"/>
      <c r="G98" s="173"/>
      <c r="H98" s="161"/>
      <c r="I98" s="174"/>
      <c r="J98" s="161"/>
      <c r="K98" s="177"/>
      <c r="L98" s="174"/>
      <c r="M98" s="161"/>
      <c r="N98" s="177"/>
    </row>
    <row r="99" spans="2:14" x14ac:dyDescent="0.25">
      <c r="B99" s="178"/>
      <c r="C99" s="161"/>
      <c r="D99" s="161"/>
      <c r="E99" s="161"/>
      <c r="F99" s="161"/>
      <c r="G99" s="173"/>
      <c r="H99" s="161"/>
      <c r="I99" s="174"/>
      <c r="J99" s="161"/>
      <c r="K99" s="177"/>
      <c r="L99" s="174"/>
      <c r="M99" s="161"/>
      <c r="N99" s="177"/>
    </row>
    <row r="100" spans="2:14" x14ac:dyDescent="0.25">
      <c r="B100" s="178"/>
      <c r="C100" s="161"/>
      <c r="D100" s="161"/>
      <c r="E100" s="161"/>
      <c r="F100" s="161"/>
      <c r="G100" s="173"/>
      <c r="H100" s="161"/>
      <c r="I100" s="174"/>
      <c r="J100" s="161"/>
      <c r="K100" s="177"/>
      <c r="L100" s="174"/>
      <c r="M100" s="161"/>
      <c r="N100" s="177"/>
    </row>
    <row r="101" spans="2:14" x14ac:dyDescent="0.25">
      <c r="B101" s="178"/>
      <c r="C101" s="161"/>
      <c r="D101" s="161"/>
      <c r="E101" s="161"/>
      <c r="F101" s="161"/>
      <c r="G101" s="173"/>
      <c r="H101" s="161"/>
      <c r="I101" s="174"/>
      <c r="J101" s="161"/>
      <c r="K101" s="177"/>
      <c r="L101" s="174"/>
      <c r="M101" s="161"/>
      <c r="N101" s="177"/>
    </row>
    <row r="102" spans="2:14" x14ac:dyDescent="0.25">
      <c r="B102" s="178"/>
      <c r="C102" s="161"/>
      <c r="D102" s="161"/>
      <c r="E102" s="161"/>
      <c r="F102" s="161"/>
      <c r="G102" s="173"/>
      <c r="H102" s="161"/>
      <c r="I102" s="174"/>
      <c r="J102" s="161"/>
      <c r="K102" s="177"/>
      <c r="L102" s="174"/>
      <c r="M102" s="161"/>
      <c r="N102" s="177"/>
    </row>
    <row r="103" spans="2:14" x14ac:dyDescent="0.25">
      <c r="B103" s="178"/>
      <c r="C103" s="161"/>
      <c r="D103" s="161"/>
      <c r="E103" s="161"/>
      <c r="F103" s="161"/>
      <c r="G103" s="173"/>
      <c r="H103" s="161"/>
      <c r="I103" s="174"/>
      <c r="J103" s="161"/>
      <c r="K103" s="177"/>
      <c r="L103" s="174"/>
      <c r="M103" s="161"/>
      <c r="N103" s="177"/>
    </row>
    <row r="104" spans="2:14" x14ac:dyDescent="0.25">
      <c r="B104" s="178"/>
      <c r="C104" s="161"/>
      <c r="D104" s="161"/>
      <c r="E104" s="161"/>
      <c r="F104" s="161"/>
      <c r="G104" s="173"/>
      <c r="H104" s="161"/>
      <c r="I104" s="174"/>
      <c r="J104" s="161"/>
      <c r="K104" s="177"/>
      <c r="L104" s="174"/>
      <c r="M104" s="161"/>
      <c r="N104" s="177"/>
    </row>
    <row r="105" spans="2:14" x14ac:dyDescent="0.25">
      <c r="B105" s="178"/>
      <c r="C105" s="161"/>
      <c r="D105" s="161"/>
      <c r="E105" s="161"/>
      <c r="F105" s="161"/>
      <c r="G105" s="173"/>
      <c r="H105" s="161"/>
      <c r="I105" s="174"/>
      <c r="J105" s="161"/>
      <c r="K105" s="177"/>
      <c r="L105" s="174"/>
      <c r="M105" s="161"/>
      <c r="N105" s="177"/>
    </row>
    <row r="106" spans="2:14" x14ac:dyDescent="0.25">
      <c r="B106" s="178"/>
      <c r="C106" s="161"/>
      <c r="D106" s="161"/>
      <c r="E106" s="161"/>
      <c r="F106" s="161"/>
      <c r="G106" s="173"/>
      <c r="H106" s="161"/>
      <c r="I106" s="174"/>
      <c r="J106" s="161"/>
      <c r="K106" s="177"/>
      <c r="L106" s="174"/>
      <c r="M106" s="161"/>
      <c r="N106" s="177"/>
    </row>
    <row r="107" spans="2:14" x14ac:dyDescent="0.25">
      <c r="B107" s="178"/>
      <c r="C107" s="161"/>
      <c r="D107" s="161"/>
      <c r="E107" s="161"/>
      <c r="F107" s="161"/>
      <c r="G107" s="173"/>
      <c r="H107" s="161"/>
      <c r="I107" s="174"/>
      <c r="J107" s="161"/>
      <c r="K107" s="177"/>
      <c r="L107" s="174"/>
      <c r="M107" s="161"/>
      <c r="N107" s="177"/>
    </row>
    <row r="108" spans="2:14" x14ac:dyDescent="0.25">
      <c r="B108" s="178"/>
      <c r="C108" s="161"/>
      <c r="D108" s="161"/>
      <c r="E108" s="161"/>
      <c r="F108" s="161"/>
      <c r="G108" s="173"/>
      <c r="H108" s="161"/>
      <c r="I108" s="174"/>
      <c r="J108" s="161"/>
      <c r="K108" s="177"/>
      <c r="L108" s="174"/>
      <c r="M108" s="161"/>
      <c r="N108" s="177"/>
    </row>
    <row r="109" spans="2:14" x14ac:dyDescent="0.25">
      <c r="B109" s="178"/>
      <c r="C109" s="161"/>
      <c r="D109" s="161"/>
      <c r="E109" s="161"/>
      <c r="F109" s="161"/>
      <c r="G109" s="173"/>
      <c r="H109" s="161"/>
      <c r="I109" s="174"/>
      <c r="J109" s="161"/>
      <c r="K109" s="177"/>
      <c r="L109" s="174"/>
      <c r="M109" s="161"/>
      <c r="N109" s="177"/>
    </row>
    <row r="110" spans="2:14" x14ac:dyDescent="0.25">
      <c r="B110" s="178"/>
      <c r="C110" s="161"/>
      <c r="D110" s="161"/>
      <c r="E110" s="161"/>
      <c r="F110" s="161"/>
      <c r="G110" s="173"/>
      <c r="H110" s="161"/>
      <c r="I110" s="174"/>
      <c r="J110" s="161"/>
      <c r="K110" s="177"/>
      <c r="L110" s="174"/>
      <c r="M110" s="161"/>
      <c r="N110" s="177"/>
    </row>
    <row r="111" spans="2:14" x14ac:dyDescent="0.25">
      <c r="B111" s="178"/>
      <c r="C111" s="161"/>
      <c r="D111" s="161"/>
      <c r="E111" s="161"/>
      <c r="F111" s="161"/>
      <c r="G111" s="173"/>
      <c r="H111" s="161"/>
      <c r="I111" s="174"/>
      <c r="J111" s="161"/>
      <c r="K111" s="177"/>
      <c r="L111" s="174"/>
      <c r="M111" s="161"/>
      <c r="N111" s="177"/>
    </row>
    <row r="112" spans="2:14" x14ac:dyDescent="0.25">
      <c r="B112" s="178"/>
      <c r="C112" s="161"/>
      <c r="D112" s="161"/>
      <c r="E112" s="161"/>
      <c r="F112" s="161"/>
      <c r="G112" s="173"/>
      <c r="H112" s="161"/>
      <c r="I112" s="174"/>
      <c r="J112" s="161"/>
      <c r="K112" s="177"/>
      <c r="L112" s="174"/>
      <c r="M112" s="161"/>
      <c r="N112" s="177"/>
    </row>
    <row r="113" spans="2:14" x14ac:dyDescent="0.25">
      <c r="B113" s="178"/>
      <c r="C113" s="161"/>
      <c r="D113" s="161"/>
      <c r="E113" s="161"/>
      <c r="F113" s="161"/>
      <c r="G113" s="173"/>
      <c r="H113" s="161"/>
      <c r="I113" s="174"/>
      <c r="J113" s="161"/>
      <c r="K113" s="177"/>
      <c r="L113" s="174"/>
      <c r="M113" s="161"/>
      <c r="N113" s="177"/>
    </row>
    <row r="114" spans="2:14" x14ac:dyDescent="0.25">
      <c r="B114" s="178"/>
      <c r="C114" s="161"/>
      <c r="D114" s="161"/>
      <c r="E114" s="161"/>
      <c r="F114" s="161"/>
      <c r="G114" s="173"/>
      <c r="H114" s="161"/>
      <c r="I114" s="174"/>
      <c r="J114" s="161"/>
      <c r="K114" s="177"/>
      <c r="L114" s="174"/>
      <c r="M114" s="161"/>
      <c r="N114" s="177"/>
    </row>
    <row r="115" spans="2:14" x14ac:dyDescent="0.25">
      <c r="B115" s="178"/>
      <c r="C115" s="161"/>
      <c r="D115" s="161"/>
      <c r="E115" s="161"/>
      <c r="F115" s="161"/>
      <c r="G115" s="173"/>
      <c r="H115" s="161"/>
      <c r="I115" s="174"/>
      <c r="J115" s="161"/>
      <c r="K115" s="177"/>
      <c r="L115" s="174"/>
      <c r="M115" s="161"/>
      <c r="N115" s="177"/>
    </row>
    <row r="116" spans="2:14" x14ac:dyDescent="0.25">
      <c r="B116" s="178"/>
      <c r="C116" s="161"/>
      <c r="D116" s="161"/>
      <c r="E116" s="161"/>
      <c r="F116" s="161"/>
      <c r="G116" s="173"/>
      <c r="H116" s="161"/>
      <c r="I116" s="174"/>
      <c r="J116" s="161"/>
      <c r="K116" s="177"/>
      <c r="L116" s="174"/>
      <c r="M116" s="161"/>
      <c r="N116" s="177"/>
    </row>
    <row r="117" spans="2:14" x14ac:dyDescent="0.25">
      <c r="B117" s="178"/>
      <c r="C117" s="161"/>
      <c r="D117" s="161"/>
      <c r="E117" s="161"/>
      <c r="F117" s="161"/>
      <c r="G117" s="173"/>
      <c r="H117" s="161"/>
      <c r="I117" s="174"/>
      <c r="J117" s="161"/>
      <c r="K117" s="177"/>
      <c r="L117" s="174"/>
      <c r="M117" s="161"/>
      <c r="N117" s="177"/>
    </row>
    <row r="118" spans="2:14" x14ac:dyDescent="0.25">
      <c r="B118" s="178"/>
      <c r="C118" s="161"/>
      <c r="D118" s="161"/>
      <c r="E118" s="161"/>
      <c r="F118" s="161"/>
      <c r="G118" s="173"/>
      <c r="H118" s="161"/>
      <c r="I118" s="174"/>
      <c r="J118" s="161"/>
      <c r="K118" s="177"/>
      <c r="L118" s="174"/>
      <c r="M118" s="161"/>
      <c r="N118" s="177"/>
    </row>
    <row r="119" spans="2:14" x14ac:dyDescent="0.25">
      <c r="B119" s="178"/>
      <c r="C119" s="161"/>
      <c r="D119" s="161"/>
      <c r="E119" s="161"/>
      <c r="F119" s="161"/>
      <c r="G119" s="173"/>
      <c r="H119" s="161"/>
      <c r="I119" s="174"/>
      <c r="J119" s="161"/>
      <c r="K119" s="177"/>
      <c r="L119" s="174"/>
      <c r="M119" s="161"/>
      <c r="N119" s="177"/>
    </row>
    <row r="120" spans="2:14" x14ac:dyDescent="0.25">
      <c r="B120" s="178"/>
      <c r="C120" s="161"/>
      <c r="D120" s="161"/>
      <c r="E120" s="161"/>
      <c r="F120" s="161"/>
      <c r="G120" s="173"/>
      <c r="H120" s="161"/>
      <c r="I120" s="174"/>
      <c r="J120" s="161"/>
      <c r="K120" s="177"/>
      <c r="L120" s="174"/>
      <c r="M120" s="161"/>
      <c r="N120" s="177"/>
    </row>
    <row r="121" spans="2:14" x14ac:dyDescent="0.25">
      <c r="B121" s="178"/>
      <c r="C121" s="161"/>
      <c r="D121" s="161"/>
      <c r="E121" s="161"/>
      <c r="F121" s="161"/>
      <c r="G121" s="173"/>
      <c r="H121" s="161"/>
      <c r="I121" s="174"/>
      <c r="J121" s="161"/>
      <c r="K121" s="177"/>
      <c r="L121" s="174"/>
      <c r="M121" s="161"/>
      <c r="N121" s="177"/>
    </row>
    <row r="122" spans="2:14" x14ac:dyDescent="0.25">
      <c r="B122" s="178"/>
      <c r="C122" s="161"/>
      <c r="D122" s="161"/>
      <c r="E122" s="161"/>
      <c r="F122" s="161"/>
      <c r="G122" s="173"/>
      <c r="H122" s="161"/>
      <c r="I122" s="174"/>
      <c r="J122" s="161"/>
      <c r="K122" s="177"/>
      <c r="L122" s="174"/>
      <c r="M122" s="161"/>
      <c r="N122" s="177"/>
    </row>
    <row r="123" spans="2:14" x14ac:dyDescent="0.25">
      <c r="B123" s="178"/>
      <c r="C123" s="161"/>
      <c r="D123" s="161"/>
      <c r="E123" s="161"/>
      <c r="F123" s="161"/>
      <c r="G123" s="173"/>
      <c r="H123" s="161"/>
      <c r="I123" s="174"/>
      <c r="J123" s="161"/>
      <c r="K123" s="177"/>
      <c r="L123" s="174"/>
      <c r="M123" s="161"/>
      <c r="N123" s="177"/>
    </row>
    <row r="124" spans="2:14" x14ac:dyDescent="0.25">
      <c r="B124" s="178"/>
      <c r="C124" s="161"/>
      <c r="D124" s="161"/>
      <c r="E124" s="161"/>
      <c r="F124" s="161"/>
      <c r="G124" s="173"/>
      <c r="H124" s="161"/>
      <c r="I124" s="174"/>
      <c r="J124" s="161"/>
      <c r="K124" s="177"/>
      <c r="L124" s="174"/>
      <c r="M124" s="161"/>
      <c r="N124" s="177"/>
    </row>
    <row r="125" spans="2:14" x14ac:dyDescent="0.25">
      <c r="B125" s="178"/>
      <c r="C125" s="161"/>
      <c r="D125" s="161"/>
      <c r="E125" s="161"/>
      <c r="F125" s="161"/>
      <c r="G125" s="173"/>
      <c r="H125" s="161"/>
      <c r="I125" s="174"/>
      <c r="J125" s="161"/>
      <c r="K125" s="177"/>
      <c r="L125" s="174"/>
      <c r="M125" s="161"/>
      <c r="N125" s="177"/>
    </row>
    <row r="126" spans="2:14" x14ac:dyDescent="0.25">
      <c r="B126" s="178"/>
      <c r="C126" s="161"/>
      <c r="D126" s="161"/>
      <c r="E126" s="161"/>
      <c r="F126" s="161"/>
      <c r="G126" s="173"/>
      <c r="H126" s="161"/>
      <c r="I126" s="174"/>
      <c r="J126" s="161"/>
      <c r="K126" s="177"/>
      <c r="L126" s="174"/>
      <c r="M126" s="161"/>
      <c r="N126" s="177"/>
    </row>
    <row r="127" spans="2:14" x14ac:dyDescent="0.25">
      <c r="B127" s="178"/>
      <c r="C127" s="161"/>
      <c r="D127" s="161"/>
      <c r="E127" s="161"/>
      <c r="F127" s="161"/>
      <c r="G127" s="173"/>
      <c r="H127" s="161"/>
      <c r="I127" s="174"/>
      <c r="J127" s="161"/>
      <c r="K127" s="177"/>
      <c r="L127" s="174"/>
      <c r="M127" s="161"/>
      <c r="N127" s="177"/>
    </row>
    <row r="128" spans="2:14" x14ac:dyDescent="0.25">
      <c r="B128" s="178"/>
      <c r="C128" s="161"/>
      <c r="D128" s="161"/>
      <c r="E128" s="161"/>
      <c r="F128" s="161"/>
      <c r="G128" s="173"/>
      <c r="H128" s="161"/>
      <c r="I128" s="174"/>
      <c r="J128" s="161"/>
      <c r="K128" s="177"/>
      <c r="L128" s="174"/>
      <c r="M128" s="161"/>
      <c r="N128" s="177"/>
    </row>
    <row r="129" spans="2:14" x14ac:dyDescent="0.25">
      <c r="B129" s="178"/>
      <c r="C129" s="161"/>
      <c r="D129" s="161"/>
      <c r="E129" s="161"/>
      <c r="F129" s="161"/>
      <c r="G129" s="173"/>
      <c r="H129" s="161"/>
      <c r="I129" s="174"/>
      <c r="J129" s="161"/>
      <c r="K129" s="177"/>
      <c r="L129" s="174"/>
      <c r="M129" s="161"/>
      <c r="N129" s="177"/>
    </row>
    <row r="130" spans="2:14" x14ac:dyDescent="0.25">
      <c r="B130" s="178"/>
      <c r="C130" s="161"/>
      <c r="D130" s="161"/>
      <c r="E130" s="161"/>
      <c r="F130" s="161"/>
      <c r="G130" s="173"/>
      <c r="H130" s="161"/>
      <c r="I130" s="174"/>
      <c r="J130" s="161"/>
      <c r="K130" s="177"/>
      <c r="L130" s="174"/>
      <c r="M130" s="161"/>
      <c r="N130" s="177"/>
    </row>
    <row r="131" spans="2:14" x14ac:dyDescent="0.25">
      <c r="B131" s="178"/>
      <c r="C131" s="161"/>
      <c r="D131" s="161"/>
      <c r="E131" s="161"/>
      <c r="F131" s="161"/>
      <c r="G131" s="173"/>
      <c r="H131" s="161"/>
      <c r="I131" s="174"/>
      <c r="J131" s="161"/>
      <c r="K131" s="177"/>
      <c r="L131" s="174"/>
      <c r="M131" s="161"/>
      <c r="N131" s="177"/>
    </row>
    <row r="132" spans="2:14" x14ac:dyDescent="0.25">
      <c r="B132" s="178"/>
      <c r="C132" s="161"/>
      <c r="D132" s="161"/>
      <c r="E132" s="161"/>
      <c r="F132" s="161"/>
      <c r="G132" s="173"/>
      <c r="H132" s="161"/>
      <c r="I132" s="174"/>
      <c r="J132" s="161"/>
      <c r="K132" s="177"/>
      <c r="L132" s="174"/>
      <c r="M132" s="161"/>
      <c r="N132" s="177"/>
    </row>
    <row r="133" spans="2:14" x14ac:dyDescent="0.25">
      <c r="B133" s="178"/>
      <c r="C133" s="161"/>
      <c r="D133" s="161"/>
      <c r="E133" s="161"/>
      <c r="F133" s="161"/>
      <c r="G133" s="173"/>
      <c r="H133" s="161"/>
      <c r="I133" s="174"/>
      <c r="J133" s="161"/>
      <c r="K133" s="177"/>
      <c r="L133" s="174"/>
      <c r="M133" s="161"/>
      <c r="N133" s="177"/>
    </row>
    <row r="134" spans="2:14" x14ac:dyDescent="0.25">
      <c r="B134" s="178"/>
      <c r="C134" s="161"/>
      <c r="D134" s="161"/>
      <c r="E134" s="161"/>
      <c r="F134" s="161"/>
      <c r="G134" s="173"/>
      <c r="H134" s="161"/>
      <c r="I134" s="174"/>
      <c r="J134" s="161"/>
      <c r="K134" s="177"/>
      <c r="L134" s="174"/>
      <c r="M134" s="161"/>
      <c r="N134" s="177"/>
    </row>
    <row r="135" spans="2:14" x14ac:dyDescent="0.25">
      <c r="B135" s="178"/>
      <c r="C135" s="161"/>
      <c r="D135" s="161"/>
      <c r="E135" s="161"/>
      <c r="F135" s="161"/>
      <c r="G135" s="173"/>
      <c r="H135" s="161"/>
      <c r="I135" s="174"/>
      <c r="J135" s="161"/>
      <c r="K135" s="177"/>
      <c r="L135" s="174"/>
      <c r="M135" s="161"/>
      <c r="N135" s="177"/>
    </row>
    <row r="136" spans="2:14" x14ac:dyDescent="0.25">
      <c r="B136" s="178"/>
      <c r="C136" s="161"/>
      <c r="D136" s="161"/>
      <c r="E136" s="161"/>
      <c r="F136" s="161"/>
      <c r="G136" s="173"/>
      <c r="H136" s="161"/>
      <c r="I136" s="174"/>
      <c r="J136" s="161"/>
      <c r="K136" s="177"/>
      <c r="L136" s="174"/>
      <c r="M136" s="161"/>
      <c r="N136" s="177"/>
    </row>
    <row r="137" spans="2:14" x14ac:dyDescent="0.25">
      <c r="B137" s="178"/>
      <c r="C137" s="161"/>
      <c r="D137" s="161"/>
      <c r="E137" s="161"/>
      <c r="F137" s="161"/>
      <c r="G137" s="173"/>
      <c r="H137" s="161"/>
      <c r="I137" s="174"/>
      <c r="J137" s="161"/>
      <c r="K137" s="177"/>
      <c r="L137" s="174"/>
      <c r="M137" s="161"/>
      <c r="N137" s="177"/>
    </row>
    <row r="138" spans="2:14" x14ac:dyDescent="0.25">
      <c r="B138" s="178"/>
      <c r="C138" s="161"/>
      <c r="D138" s="161"/>
      <c r="E138" s="161"/>
      <c r="F138" s="161"/>
      <c r="G138" s="173"/>
      <c r="H138" s="161"/>
      <c r="I138" s="174"/>
      <c r="J138" s="161"/>
      <c r="K138" s="177"/>
      <c r="L138" s="174"/>
      <c r="M138" s="161"/>
      <c r="N138" s="177"/>
    </row>
    <row r="139" spans="2:14" x14ac:dyDescent="0.25">
      <c r="B139" s="178"/>
      <c r="C139" s="161"/>
      <c r="D139" s="161"/>
      <c r="E139" s="161"/>
      <c r="F139" s="161"/>
      <c r="G139" s="173"/>
      <c r="H139" s="161"/>
      <c r="I139" s="174"/>
      <c r="J139" s="161"/>
      <c r="K139" s="177"/>
      <c r="L139" s="174"/>
      <c r="M139" s="161"/>
      <c r="N139" s="177"/>
    </row>
    <row r="140" spans="2:14" x14ac:dyDescent="0.25">
      <c r="B140" s="178"/>
      <c r="C140" s="161"/>
      <c r="D140" s="161"/>
      <c r="E140" s="161"/>
      <c r="F140" s="161"/>
      <c r="G140" s="173"/>
      <c r="H140" s="161"/>
      <c r="I140" s="174"/>
      <c r="J140" s="161"/>
      <c r="K140" s="177"/>
      <c r="L140" s="174"/>
      <c r="M140" s="161"/>
      <c r="N140" s="177"/>
    </row>
    <row r="141" spans="2:14" x14ac:dyDescent="0.25">
      <c r="B141" s="178"/>
      <c r="C141" s="161"/>
      <c r="D141" s="161"/>
      <c r="E141" s="161"/>
      <c r="F141" s="161"/>
      <c r="G141" s="173"/>
      <c r="H141" s="161"/>
      <c r="I141" s="174"/>
      <c r="J141" s="161"/>
      <c r="K141" s="177"/>
      <c r="L141" s="174"/>
      <c r="M141" s="161"/>
      <c r="N141" s="177"/>
    </row>
    <row r="142" spans="2:14" x14ac:dyDescent="0.25">
      <c r="B142" s="178"/>
      <c r="C142" s="161"/>
      <c r="D142" s="161"/>
      <c r="E142" s="161"/>
      <c r="F142" s="161"/>
      <c r="G142" s="173"/>
      <c r="H142" s="161"/>
      <c r="I142" s="174"/>
      <c r="J142" s="161"/>
      <c r="K142" s="177"/>
      <c r="L142" s="174"/>
      <c r="M142" s="161"/>
      <c r="N142" s="177"/>
    </row>
    <row r="143" spans="2:14" x14ac:dyDescent="0.25">
      <c r="B143" s="178"/>
      <c r="C143" s="161"/>
      <c r="D143" s="161"/>
      <c r="E143" s="161"/>
      <c r="F143" s="161"/>
      <c r="G143" s="173"/>
      <c r="H143" s="161"/>
      <c r="I143" s="174"/>
      <c r="J143" s="161"/>
      <c r="K143" s="177"/>
      <c r="L143" s="174"/>
      <c r="M143" s="161"/>
      <c r="N143" s="177"/>
    </row>
    <row r="144" spans="2:14" x14ac:dyDescent="0.25">
      <c r="B144" s="178"/>
      <c r="C144" s="161"/>
      <c r="D144" s="161"/>
      <c r="E144" s="161"/>
      <c r="F144" s="161"/>
      <c r="G144" s="173"/>
      <c r="H144" s="161"/>
      <c r="I144" s="174"/>
      <c r="J144" s="161"/>
      <c r="K144" s="177"/>
      <c r="L144" s="174"/>
      <c r="M144" s="161"/>
      <c r="N144" s="177"/>
    </row>
    <row r="145" spans="2:14" x14ac:dyDescent="0.25">
      <c r="B145" s="178"/>
      <c r="C145" s="161"/>
      <c r="D145" s="161"/>
      <c r="E145" s="161"/>
      <c r="F145" s="161"/>
      <c r="G145" s="173"/>
      <c r="H145" s="161"/>
      <c r="I145" s="174"/>
      <c r="J145" s="161"/>
      <c r="K145" s="177"/>
      <c r="L145" s="174"/>
      <c r="M145" s="161"/>
      <c r="N145" s="177"/>
    </row>
    <row r="146" spans="2:14" x14ac:dyDescent="0.25">
      <c r="B146" s="178"/>
      <c r="C146" s="161"/>
      <c r="D146" s="161"/>
      <c r="E146" s="161"/>
      <c r="F146" s="161"/>
      <c r="G146" s="173"/>
      <c r="H146" s="161"/>
      <c r="I146" s="174"/>
      <c r="J146" s="161"/>
      <c r="K146" s="177"/>
      <c r="L146" s="174"/>
      <c r="M146" s="161"/>
      <c r="N146" s="177"/>
    </row>
    <row r="147" spans="2:14" x14ac:dyDescent="0.25">
      <c r="B147" s="178"/>
      <c r="C147" s="161"/>
      <c r="D147" s="161"/>
      <c r="E147" s="161"/>
      <c r="F147" s="161"/>
      <c r="G147" s="173"/>
      <c r="H147" s="161"/>
      <c r="I147" s="174"/>
      <c r="J147" s="161"/>
      <c r="K147" s="177"/>
      <c r="L147" s="174"/>
      <c r="M147" s="161"/>
      <c r="N147" s="177"/>
    </row>
    <row r="148" spans="2:14" x14ac:dyDescent="0.25">
      <c r="B148" s="178"/>
      <c r="C148" s="161"/>
      <c r="D148" s="161"/>
      <c r="E148" s="161"/>
      <c r="F148" s="161"/>
      <c r="G148" s="173"/>
      <c r="H148" s="161"/>
      <c r="I148" s="174"/>
      <c r="J148" s="161"/>
      <c r="K148" s="177"/>
      <c r="L148" s="174"/>
      <c r="M148" s="161"/>
      <c r="N148" s="177"/>
    </row>
    <row r="149" spans="2:14" x14ac:dyDescent="0.25">
      <c r="B149" s="178"/>
      <c r="C149" s="161"/>
      <c r="D149" s="161"/>
      <c r="E149" s="161"/>
      <c r="F149" s="161"/>
      <c r="G149" s="173"/>
      <c r="H149" s="161"/>
      <c r="I149" s="174"/>
      <c r="J149" s="161"/>
      <c r="K149" s="177"/>
      <c r="L149" s="174"/>
      <c r="M149" s="161"/>
      <c r="N149" s="177"/>
    </row>
    <row r="150" spans="2:14" x14ac:dyDescent="0.25">
      <c r="B150" s="178"/>
      <c r="C150" s="161"/>
      <c r="D150" s="161"/>
      <c r="E150" s="161"/>
      <c r="F150" s="161"/>
      <c r="G150" s="173"/>
      <c r="H150" s="161"/>
      <c r="I150" s="174"/>
      <c r="J150" s="161"/>
      <c r="K150" s="177"/>
      <c r="L150" s="174"/>
      <c r="M150" s="161"/>
      <c r="N150" s="177"/>
    </row>
    <row r="151" spans="2:14" x14ac:dyDescent="0.25">
      <c r="B151" s="178"/>
      <c r="C151" s="161"/>
      <c r="D151" s="161"/>
      <c r="E151" s="161"/>
      <c r="F151" s="161"/>
      <c r="G151" s="173"/>
      <c r="H151" s="161"/>
      <c r="I151" s="174"/>
      <c r="J151" s="161"/>
      <c r="K151" s="177"/>
      <c r="L151" s="174"/>
      <c r="M151" s="161"/>
      <c r="N151" s="177"/>
    </row>
    <row r="152" spans="2:14" x14ac:dyDescent="0.25">
      <c r="B152" s="178"/>
      <c r="C152" s="161"/>
      <c r="D152" s="161"/>
      <c r="E152" s="161"/>
      <c r="F152" s="161"/>
      <c r="G152" s="173"/>
      <c r="H152" s="161"/>
      <c r="I152" s="174"/>
      <c r="J152" s="161"/>
      <c r="K152" s="177"/>
      <c r="L152" s="174"/>
      <c r="M152" s="161"/>
      <c r="N152" s="177"/>
    </row>
    <row r="153" spans="2:14" x14ac:dyDescent="0.25">
      <c r="B153" s="178"/>
      <c r="C153" s="161"/>
      <c r="D153" s="161"/>
      <c r="E153" s="161"/>
      <c r="F153" s="161"/>
      <c r="G153" s="173"/>
      <c r="H153" s="161"/>
      <c r="I153" s="174"/>
      <c r="J153" s="161"/>
      <c r="K153" s="177"/>
      <c r="L153" s="174"/>
      <c r="M153" s="161"/>
      <c r="N153" s="177"/>
    </row>
    <row r="154" spans="2:14" x14ac:dyDescent="0.25">
      <c r="B154" s="178"/>
      <c r="C154" s="161"/>
      <c r="D154" s="161"/>
      <c r="E154" s="161"/>
      <c r="F154" s="161"/>
      <c r="G154" s="173"/>
      <c r="H154" s="161"/>
      <c r="I154" s="174"/>
      <c r="J154" s="161"/>
      <c r="K154" s="177"/>
      <c r="L154" s="174"/>
      <c r="M154" s="161"/>
      <c r="N154" s="177"/>
    </row>
    <row r="155" spans="2:14" x14ac:dyDescent="0.25">
      <c r="B155" s="178"/>
      <c r="C155" s="161"/>
      <c r="D155" s="161"/>
      <c r="E155" s="161"/>
      <c r="F155" s="161"/>
      <c r="G155" s="173"/>
      <c r="H155" s="161"/>
      <c r="I155" s="174"/>
      <c r="J155" s="161"/>
      <c r="K155" s="177"/>
      <c r="L155" s="174"/>
      <c r="M155" s="161"/>
      <c r="N155" s="177"/>
    </row>
    <row r="156" spans="2:14" x14ac:dyDescent="0.25">
      <c r="B156" s="178"/>
      <c r="C156" s="161"/>
      <c r="D156" s="161"/>
      <c r="E156" s="161"/>
      <c r="F156" s="161"/>
      <c r="G156" s="173"/>
      <c r="H156" s="161"/>
      <c r="I156" s="174"/>
      <c r="J156" s="161"/>
      <c r="K156" s="177"/>
      <c r="L156" s="174"/>
      <c r="M156" s="161"/>
      <c r="N156" s="177"/>
    </row>
    <row r="157" spans="2:14" x14ac:dyDescent="0.25">
      <c r="B157" s="178"/>
      <c r="C157" s="161"/>
      <c r="D157" s="161"/>
      <c r="E157" s="161"/>
      <c r="F157" s="161"/>
      <c r="G157" s="173"/>
      <c r="H157" s="161"/>
      <c r="I157" s="174"/>
      <c r="J157" s="161"/>
      <c r="K157" s="177"/>
      <c r="L157" s="174"/>
      <c r="M157" s="161"/>
      <c r="N157" s="177"/>
    </row>
    <row r="158" spans="2:14" x14ac:dyDescent="0.25">
      <c r="B158" s="178"/>
      <c r="C158" s="161"/>
      <c r="D158" s="161"/>
      <c r="E158" s="161"/>
      <c r="F158" s="161"/>
      <c r="G158" s="173"/>
      <c r="H158" s="161"/>
      <c r="I158" s="174"/>
      <c r="J158" s="161"/>
      <c r="K158" s="177"/>
      <c r="L158" s="174"/>
      <c r="M158" s="161"/>
      <c r="N158" s="177"/>
    </row>
    <row r="159" spans="2:14" x14ac:dyDescent="0.25">
      <c r="B159" s="178"/>
      <c r="C159" s="161"/>
      <c r="D159" s="161"/>
      <c r="E159" s="161"/>
      <c r="F159" s="161"/>
      <c r="G159" s="173"/>
      <c r="H159" s="161"/>
      <c r="I159" s="174"/>
      <c r="J159" s="161"/>
      <c r="K159" s="177"/>
      <c r="L159" s="174"/>
      <c r="M159" s="161"/>
      <c r="N159" s="177"/>
    </row>
    <row r="160" spans="2:14" x14ac:dyDescent="0.25">
      <c r="B160" s="178"/>
      <c r="C160" s="161"/>
      <c r="D160" s="161"/>
      <c r="E160" s="161"/>
      <c r="F160" s="161"/>
      <c r="G160" s="173"/>
      <c r="H160" s="161"/>
      <c r="I160" s="174"/>
      <c r="J160" s="161"/>
      <c r="K160" s="177"/>
      <c r="L160" s="174"/>
      <c r="M160" s="161"/>
      <c r="N160" s="177"/>
    </row>
    <row r="161" spans="2:14" x14ac:dyDescent="0.25">
      <c r="B161" s="178"/>
      <c r="C161" s="161"/>
      <c r="D161" s="161"/>
      <c r="E161" s="161"/>
      <c r="F161" s="161"/>
      <c r="G161" s="173"/>
      <c r="H161" s="161"/>
      <c r="I161" s="174"/>
      <c r="J161" s="161"/>
      <c r="K161" s="177"/>
      <c r="L161" s="174"/>
      <c r="M161" s="161"/>
      <c r="N161" s="177"/>
    </row>
    <row r="162" spans="2:14" x14ac:dyDescent="0.25">
      <c r="B162" s="178"/>
      <c r="C162" s="161"/>
      <c r="D162" s="161"/>
      <c r="E162" s="161"/>
      <c r="F162" s="161"/>
      <c r="G162" s="173"/>
      <c r="H162" s="161"/>
      <c r="I162" s="174"/>
      <c r="J162" s="161"/>
      <c r="K162" s="177"/>
      <c r="L162" s="174"/>
      <c r="M162" s="161"/>
      <c r="N162" s="177"/>
    </row>
    <row r="163" spans="2:14" x14ac:dyDescent="0.25">
      <c r="B163" s="178"/>
      <c r="C163" s="161"/>
      <c r="D163" s="161"/>
      <c r="E163" s="161"/>
      <c r="F163" s="161"/>
      <c r="G163" s="173"/>
      <c r="H163" s="161"/>
      <c r="I163" s="174"/>
      <c r="J163" s="161"/>
      <c r="K163" s="177"/>
      <c r="L163" s="174"/>
      <c r="M163" s="161"/>
      <c r="N163" s="177"/>
    </row>
    <row r="164" spans="2:14" x14ac:dyDescent="0.25">
      <c r="B164" s="178"/>
      <c r="C164" s="161"/>
      <c r="D164" s="161"/>
      <c r="E164" s="161"/>
      <c r="F164" s="161"/>
      <c r="G164" s="173"/>
      <c r="H164" s="161"/>
      <c r="I164" s="174"/>
      <c r="J164" s="161"/>
      <c r="K164" s="177"/>
      <c r="L164" s="174"/>
      <c r="M164" s="161"/>
      <c r="N164" s="177"/>
    </row>
    <row r="165" spans="2:14" x14ac:dyDescent="0.25">
      <c r="B165" s="178"/>
      <c r="C165" s="161"/>
      <c r="D165" s="161"/>
      <c r="E165" s="161"/>
      <c r="F165" s="161"/>
      <c r="G165" s="173"/>
      <c r="H165" s="161"/>
      <c r="I165" s="174"/>
      <c r="J165" s="161"/>
      <c r="K165" s="177"/>
      <c r="L165" s="174"/>
      <c r="M165" s="161"/>
      <c r="N165" s="177"/>
    </row>
    <row r="166" spans="2:14" x14ac:dyDescent="0.25">
      <c r="B166" s="178"/>
      <c r="C166" s="161"/>
      <c r="D166" s="161"/>
      <c r="E166" s="161"/>
      <c r="F166" s="161"/>
      <c r="G166" s="173"/>
      <c r="H166" s="161"/>
      <c r="I166" s="174"/>
      <c r="J166" s="161"/>
      <c r="K166" s="177"/>
      <c r="L166" s="174"/>
      <c r="M166" s="161"/>
      <c r="N166" s="177"/>
    </row>
    <row r="167" spans="2:14" x14ac:dyDescent="0.25">
      <c r="B167" s="178"/>
      <c r="C167" s="161"/>
      <c r="D167" s="161"/>
      <c r="E167" s="161"/>
      <c r="F167" s="161"/>
      <c r="G167" s="173"/>
      <c r="H167" s="161"/>
      <c r="I167" s="174"/>
      <c r="J167" s="161"/>
      <c r="K167" s="177"/>
      <c r="L167" s="174"/>
      <c r="M167" s="161"/>
      <c r="N167" s="177"/>
    </row>
    <row r="168" spans="2:14" x14ac:dyDescent="0.25">
      <c r="B168" s="178"/>
      <c r="C168" s="161"/>
      <c r="D168" s="161"/>
      <c r="E168" s="161"/>
      <c r="F168" s="161"/>
      <c r="G168" s="173"/>
      <c r="H168" s="161"/>
      <c r="I168" s="174"/>
      <c r="J168" s="161"/>
      <c r="K168" s="177"/>
      <c r="L168" s="174"/>
      <c r="M168" s="161"/>
      <c r="N168" s="177"/>
    </row>
    <row r="169" spans="2:14" x14ac:dyDescent="0.25">
      <c r="B169" s="178"/>
      <c r="C169" s="161"/>
      <c r="D169" s="161"/>
      <c r="E169" s="161"/>
      <c r="F169" s="161"/>
      <c r="G169" s="173"/>
      <c r="H169" s="161"/>
      <c r="I169" s="174"/>
      <c r="J169" s="161"/>
      <c r="K169" s="177"/>
      <c r="L169" s="174"/>
      <c r="M169" s="161"/>
      <c r="N169" s="177"/>
    </row>
    <row r="170" spans="2:14" x14ac:dyDescent="0.25">
      <c r="B170" s="178"/>
      <c r="C170" s="161"/>
      <c r="D170" s="161"/>
      <c r="E170" s="161"/>
      <c r="F170" s="161"/>
      <c r="G170" s="173"/>
      <c r="H170" s="161"/>
      <c r="I170" s="174"/>
      <c r="J170" s="161"/>
      <c r="K170" s="177"/>
      <c r="L170" s="174"/>
      <c r="M170" s="161"/>
      <c r="N170" s="177"/>
    </row>
    <row r="171" spans="2:14" x14ac:dyDescent="0.25">
      <c r="B171" s="178"/>
      <c r="C171" s="161"/>
      <c r="D171" s="161"/>
      <c r="E171" s="161"/>
      <c r="F171" s="161"/>
      <c r="G171" s="173"/>
      <c r="H171" s="161"/>
      <c r="I171" s="174"/>
      <c r="J171" s="161"/>
      <c r="K171" s="177"/>
      <c r="L171" s="174"/>
      <c r="M171" s="161"/>
      <c r="N171" s="177"/>
    </row>
    <row r="172" spans="2:14" x14ac:dyDescent="0.25">
      <c r="B172" s="178"/>
      <c r="C172" s="161"/>
      <c r="D172" s="161"/>
      <c r="E172" s="161"/>
      <c r="F172" s="161"/>
      <c r="G172" s="173"/>
      <c r="H172" s="161"/>
      <c r="I172" s="174"/>
      <c r="J172" s="161"/>
      <c r="K172" s="177"/>
      <c r="L172" s="174"/>
      <c r="M172" s="161"/>
      <c r="N172" s="177"/>
    </row>
    <row r="173" spans="2:14" x14ac:dyDescent="0.25">
      <c r="B173" s="178"/>
      <c r="C173" s="161"/>
      <c r="D173" s="161"/>
      <c r="E173" s="161"/>
      <c r="F173" s="161"/>
      <c r="G173" s="173"/>
      <c r="H173" s="161"/>
      <c r="I173" s="174"/>
      <c r="J173" s="161"/>
      <c r="K173" s="177"/>
      <c r="L173" s="174"/>
      <c r="M173" s="161"/>
      <c r="N173" s="177"/>
    </row>
    <row r="174" spans="2:14" x14ac:dyDescent="0.25">
      <c r="B174" s="178"/>
      <c r="C174" s="161"/>
      <c r="D174" s="161"/>
      <c r="E174" s="161"/>
      <c r="F174" s="161"/>
      <c r="G174" s="173"/>
      <c r="H174" s="161"/>
      <c r="I174" s="174"/>
      <c r="J174" s="161"/>
      <c r="K174" s="177"/>
      <c r="L174" s="174"/>
      <c r="M174" s="161"/>
      <c r="N174" s="177"/>
    </row>
    <row r="175" spans="2:14" x14ac:dyDescent="0.25">
      <c r="B175" s="178"/>
      <c r="C175" s="161"/>
      <c r="D175" s="161"/>
      <c r="E175" s="161"/>
      <c r="F175" s="161"/>
      <c r="G175" s="173"/>
      <c r="H175" s="161"/>
      <c r="I175" s="174"/>
      <c r="J175" s="161"/>
      <c r="K175" s="177"/>
      <c r="L175" s="174"/>
      <c r="M175" s="161"/>
      <c r="N175" s="177"/>
    </row>
    <row r="176" spans="2:14" x14ac:dyDescent="0.25">
      <c r="B176" s="178"/>
      <c r="C176" s="161"/>
      <c r="D176" s="161"/>
      <c r="E176" s="161"/>
      <c r="F176" s="161"/>
      <c r="G176" s="173"/>
      <c r="H176" s="161"/>
      <c r="I176" s="174"/>
      <c r="J176" s="161"/>
      <c r="K176" s="177"/>
      <c r="L176" s="174"/>
      <c r="M176" s="161"/>
      <c r="N176" s="177"/>
    </row>
    <row r="177" spans="2:14" x14ac:dyDescent="0.25">
      <c r="B177" s="178"/>
      <c r="C177" s="161"/>
      <c r="D177" s="161"/>
      <c r="E177" s="161"/>
      <c r="F177" s="161"/>
      <c r="G177" s="173"/>
      <c r="H177" s="161"/>
      <c r="I177" s="174"/>
      <c r="J177" s="161"/>
      <c r="K177" s="177"/>
      <c r="L177" s="174"/>
      <c r="M177" s="161"/>
      <c r="N177" s="177"/>
    </row>
    <row r="178" spans="2:14" x14ac:dyDescent="0.25">
      <c r="B178" s="178"/>
      <c r="C178" s="161"/>
      <c r="D178" s="161"/>
      <c r="E178" s="161"/>
      <c r="F178" s="161"/>
      <c r="G178" s="173"/>
      <c r="H178" s="161"/>
      <c r="I178" s="174"/>
      <c r="J178" s="161"/>
      <c r="K178" s="177"/>
      <c r="L178" s="174"/>
      <c r="M178" s="161"/>
      <c r="N178" s="177"/>
    </row>
    <row r="179" spans="2:14" x14ac:dyDescent="0.25">
      <c r="B179" s="178"/>
      <c r="C179" s="161"/>
      <c r="D179" s="161"/>
      <c r="E179" s="161"/>
      <c r="F179" s="161"/>
      <c r="G179" s="173"/>
      <c r="H179" s="161"/>
      <c r="I179" s="174"/>
      <c r="J179" s="161"/>
      <c r="K179" s="177"/>
      <c r="L179" s="174"/>
      <c r="M179" s="161"/>
      <c r="N179" s="177"/>
    </row>
    <row r="180" spans="2:14" x14ac:dyDescent="0.25">
      <c r="B180" s="178"/>
      <c r="C180" s="161"/>
      <c r="D180" s="161"/>
      <c r="E180" s="161"/>
      <c r="F180" s="161"/>
      <c r="G180" s="173"/>
      <c r="H180" s="161"/>
      <c r="I180" s="174"/>
      <c r="J180" s="161"/>
      <c r="K180" s="177"/>
      <c r="L180" s="174"/>
      <c r="M180" s="161"/>
      <c r="N180" s="177"/>
    </row>
    <row r="181" spans="2:14" x14ac:dyDescent="0.25">
      <c r="B181" s="178"/>
      <c r="C181" s="161"/>
      <c r="D181" s="161"/>
      <c r="E181" s="161"/>
      <c r="F181" s="161"/>
      <c r="G181" s="173"/>
      <c r="H181" s="161"/>
      <c r="I181" s="174"/>
      <c r="J181" s="161"/>
      <c r="K181" s="177"/>
      <c r="L181" s="174"/>
      <c r="M181" s="161"/>
      <c r="N181" s="177"/>
    </row>
    <row r="182" spans="2:14" x14ac:dyDescent="0.25">
      <c r="B182" s="166"/>
      <c r="C182" s="167"/>
      <c r="D182" s="168"/>
      <c r="E182" s="168"/>
      <c r="F182" s="168"/>
      <c r="G182" s="167"/>
      <c r="H182" s="168"/>
      <c r="I182" s="175"/>
      <c r="J182" s="176"/>
      <c r="K182" s="168"/>
      <c r="L182" s="168"/>
      <c r="M182" s="168"/>
      <c r="N182" s="170"/>
    </row>
    <row r="183" spans="2:14" x14ac:dyDescent="0.25">
      <c r="B183" s="166"/>
      <c r="C183" s="167"/>
      <c r="D183" s="168"/>
      <c r="E183" s="168"/>
      <c r="F183" s="168"/>
      <c r="G183" s="167"/>
      <c r="H183" s="168"/>
      <c r="J183" s="169"/>
      <c r="K183" s="168"/>
      <c r="L183" s="168"/>
      <c r="M183" s="168"/>
      <c r="N183" s="170"/>
    </row>
    <row r="184" spans="2:14" x14ac:dyDescent="0.25">
      <c r="B184" s="166"/>
      <c r="C184" s="167"/>
      <c r="D184" s="168"/>
      <c r="E184" s="168"/>
      <c r="F184" s="168"/>
      <c r="G184" s="167"/>
      <c r="H184" s="168"/>
      <c r="J184" s="169"/>
      <c r="K184" s="168"/>
      <c r="L184" s="168"/>
      <c r="M184" s="168"/>
      <c r="N184" s="170"/>
    </row>
    <row r="185" spans="2:14" x14ac:dyDescent="0.25">
      <c r="B185" s="166"/>
      <c r="C185" s="167"/>
      <c r="D185" s="168"/>
      <c r="E185" s="168"/>
      <c r="F185" s="168"/>
      <c r="G185" s="167"/>
      <c r="H185" s="168"/>
      <c r="J185" s="169"/>
      <c r="K185" s="168"/>
      <c r="L185" s="168"/>
      <c r="M185" s="168"/>
      <c r="N185" s="170"/>
    </row>
    <row r="186" spans="2:14" x14ac:dyDescent="0.25">
      <c r="B186" s="166"/>
      <c r="C186" s="167"/>
      <c r="D186" s="168"/>
      <c r="E186" s="168"/>
      <c r="F186" s="168"/>
      <c r="G186" s="167"/>
      <c r="H186" s="168"/>
      <c r="J186" s="169"/>
      <c r="K186" s="168"/>
      <c r="L186" s="168"/>
      <c r="M186" s="168"/>
      <c r="N186" s="170"/>
    </row>
    <row r="187" spans="2:14" x14ac:dyDescent="0.25">
      <c r="B187" s="166"/>
      <c r="C187" s="167"/>
      <c r="D187" s="168"/>
      <c r="E187" s="168"/>
      <c r="F187" s="168"/>
      <c r="G187" s="167"/>
      <c r="H187" s="168"/>
      <c r="J187" s="169"/>
      <c r="K187" s="168"/>
      <c r="L187" s="168"/>
      <c r="M187" s="168"/>
      <c r="N187" s="170"/>
    </row>
    <row r="188" spans="2:14" x14ac:dyDescent="0.25">
      <c r="B188" s="166"/>
      <c r="C188" s="167"/>
      <c r="D188" s="168"/>
      <c r="E188" s="168"/>
      <c r="F188" s="168"/>
      <c r="G188" s="167"/>
      <c r="H188" s="168"/>
      <c r="J188" s="169"/>
      <c r="K188" s="168"/>
      <c r="L188" s="168"/>
      <c r="M188" s="168"/>
      <c r="N188" s="170"/>
    </row>
    <row r="189" spans="2:14" x14ac:dyDescent="0.25">
      <c r="B189" s="166"/>
      <c r="C189" s="167"/>
      <c r="D189" s="168"/>
      <c r="E189" s="168"/>
      <c r="F189" s="168"/>
      <c r="G189" s="167"/>
      <c r="H189" s="168"/>
      <c r="J189" s="169"/>
      <c r="K189" s="168"/>
      <c r="L189" s="168"/>
      <c r="M189" s="168"/>
      <c r="N189" s="170"/>
    </row>
    <row r="190" spans="2:14" x14ac:dyDescent="0.25">
      <c r="B190" s="166"/>
      <c r="C190" s="167"/>
      <c r="D190" s="168"/>
      <c r="E190" s="168"/>
      <c r="F190" s="168"/>
      <c r="G190" s="167"/>
      <c r="H190" s="168"/>
      <c r="J190" s="169"/>
      <c r="K190" s="168"/>
      <c r="L190" s="168"/>
      <c r="M190" s="168"/>
      <c r="N190" s="170"/>
    </row>
    <row r="191" spans="2:14" x14ac:dyDescent="0.25">
      <c r="B191" s="166"/>
      <c r="C191" s="167"/>
      <c r="D191" s="168"/>
      <c r="E191" s="168"/>
      <c r="F191" s="168"/>
      <c r="G191" s="167"/>
      <c r="H191" s="168"/>
      <c r="J191" s="169"/>
      <c r="K191" s="168"/>
      <c r="L191" s="168"/>
      <c r="M191" s="168"/>
      <c r="N191" s="170"/>
    </row>
    <row r="192" spans="2:14" x14ac:dyDescent="0.25">
      <c r="B192" s="166"/>
      <c r="C192" s="167"/>
      <c r="D192" s="168"/>
      <c r="E192" s="168"/>
      <c r="F192" s="168"/>
      <c r="G192" s="167"/>
      <c r="H192" s="168"/>
      <c r="J192" s="169"/>
      <c r="K192" s="168"/>
      <c r="L192" s="168"/>
      <c r="M192" s="168"/>
      <c r="N192" s="170"/>
    </row>
    <row r="193" spans="2:14" x14ac:dyDescent="0.25">
      <c r="B193" s="166"/>
      <c r="C193" s="167"/>
      <c r="D193" s="168"/>
      <c r="E193" s="168"/>
      <c r="F193" s="168"/>
      <c r="G193" s="167"/>
      <c r="H193" s="168"/>
      <c r="J193" s="169"/>
      <c r="K193" s="168"/>
      <c r="L193" s="168"/>
      <c r="M193" s="168"/>
      <c r="N193" s="170"/>
    </row>
    <row r="194" spans="2:14" x14ac:dyDescent="0.25">
      <c r="B194" s="166"/>
      <c r="C194" s="167"/>
      <c r="D194" s="168"/>
      <c r="E194" s="168"/>
      <c r="F194" s="168"/>
      <c r="G194" s="167"/>
      <c r="H194" s="168"/>
      <c r="J194" s="169"/>
      <c r="K194" s="168"/>
      <c r="L194" s="168"/>
      <c r="M194" s="168"/>
      <c r="N194" s="170"/>
    </row>
    <row r="195" spans="2:14" x14ac:dyDescent="0.25">
      <c r="B195" s="166"/>
      <c r="C195" s="167"/>
      <c r="D195" s="168"/>
      <c r="E195" s="168"/>
      <c r="F195" s="168"/>
      <c r="G195" s="167"/>
      <c r="H195" s="168"/>
      <c r="J195" s="169"/>
      <c r="K195" s="168"/>
      <c r="L195" s="168"/>
      <c r="M195" s="168"/>
      <c r="N195" s="170"/>
    </row>
    <row r="196" spans="2:14" x14ac:dyDescent="0.25">
      <c r="B196" s="166"/>
      <c r="C196" s="167"/>
      <c r="D196" s="168"/>
      <c r="E196" s="168"/>
      <c r="F196" s="168"/>
      <c r="G196" s="167"/>
      <c r="H196" s="168"/>
      <c r="J196" s="169"/>
      <c r="K196" s="168"/>
      <c r="L196" s="168"/>
      <c r="M196" s="168"/>
      <c r="N196" s="170"/>
    </row>
    <row r="197" spans="2:14" x14ac:dyDescent="0.25">
      <c r="B197" s="166"/>
      <c r="C197" s="167"/>
      <c r="D197" s="168"/>
      <c r="E197" s="168"/>
      <c r="F197" s="168"/>
      <c r="G197" s="167"/>
      <c r="H197" s="168"/>
      <c r="J197" s="169"/>
      <c r="K197" s="168"/>
      <c r="L197" s="168"/>
      <c r="M197" s="168"/>
      <c r="N197" s="170"/>
    </row>
    <row r="198" spans="2:14" x14ac:dyDescent="0.25">
      <c r="B198" s="166"/>
      <c r="C198" s="167"/>
      <c r="D198" s="168"/>
      <c r="E198" s="168"/>
      <c r="F198" s="168"/>
      <c r="G198" s="167"/>
      <c r="H198" s="168"/>
      <c r="J198" s="169"/>
      <c r="K198" s="168"/>
      <c r="L198" s="168"/>
      <c r="M198" s="168"/>
      <c r="N198" s="170"/>
    </row>
    <row r="199" spans="2:14" x14ac:dyDescent="0.25">
      <c r="B199" s="166"/>
      <c r="C199" s="167"/>
      <c r="D199" s="168"/>
      <c r="E199" s="168"/>
      <c r="F199" s="168"/>
      <c r="G199" s="167"/>
      <c r="H199" s="168"/>
      <c r="J199" s="169"/>
      <c r="K199" s="168"/>
      <c r="L199" s="168"/>
      <c r="M199" s="168"/>
      <c r="N199" s="170"/>
    </row>
    <row r="200" spans="2:14" x14ac:dyDescent="0.25">
      <c r="B200" s="166"/>
      <c r="C200" s="167"/>
      <c r="D200" s="168"/>
      <c r="E200" s="168"/>
      <c r="F200" s="168"/>
      <c r="G200" s="167"/>
      <c r="H200" s="168"/>
      <c r="J200" s="169"/>
      <c r="K200" s="168"/>
      <c r="L200" s="168"/>
      <c r="M200" s="168"/>
      <c r="N200" s="170"/>
    </row>
    <row r="201" spans="2:14" x14ac:dyDescent="0.25">
      <c r="B201" s="166"/>
      <c r="C201" s="167"/>
      <c r="D201" s="168"/>
      <c r="E201" s="168"/>
      <c r="F201" s="168"/>
      <c r="G201" s="167"/>
      <c r="H201" s="168"/>
      <c r="J201" s="169"/>
      <c r="K201" s="168"/>
      <c r="L201" s="168"/>
      <c r="M201" s="168"/>
      <c r="N201" s="170"/>
    </row>
    <row r="202" spans="2:14" x14ac:dyDescent="0.25">
      <c r="B202" s="166"/>
      <c r="C202" s="167"/>
      <c r="D202" s="168"/>
      <c r="E202" s="168"/>
      <c r="F202" s="168"/>
      <c r="G202" s="167"/>
      <c r="H202" s="168"/>
      <c r="J202" s="169"/>
      <c r="K202" s="168"/>
      <c r="L202" s="168"/>
      <c r="M202" s="168"/>
      <c r="N202" s="170"/>
    </row>
    <row r="203" spans="2:14" x14ac:dyDescent="0.25">
      <c r="B203" s="166"/>
      <c r="C203" s="167"/>
      <c r="D203" s="168"/>
      <c r="E203" s="168"/>
      <c r="F203" s="168"/>
      <c r="G203" s="167"/>
      <c r="H203" s="168"/>
      <c r="J203" s="169"/>
      <c r="K203" s="168"/>
      <c r="L203" s="168"/>
      <c r="M203" s="168"/>
      <c r="N203" s="170"/>
    </row>
    <row r="204" spans="2:14" x14ac:dyDescent="0.25">
      <c r="B204" s="166"/>
      <c r="C204" s="167"/>
      <c r="D204" s="168"/>
      <c r="E204" s="168"/>
      <c r="F204" s="168"/>
      <c r="G204" s="167"/>
      <c r="H204" s="168"/>
      <c r="J204" s="169"/>
      <c r="K204" s="168"/>
      <c r="L204" s="168"/>
      <c r="M204" s="168"/>
      <c r="N204" s="170"/>
    </row>
    <row r="205" spans="2:14" x14ac:dyDescent="0.25">
      <c r="B205" s="166"/>
      <c r="C205" s="167"/>
      <c r="D205" s="168"/>
      <c r="E205" s="168"/>
      <c r="F205" s="168"/>
      <c r="G205" s="167"/>
      <c r="H205" s="168"/>
      <c r="J205" s="169"/>
      <c r="K205" s="168"/>
      <c r="L205" s="168"/>
      <c r="M205" s="168"/>
      <c r="N205" s="170"/>
    </row>
    <row r="206" spans="2:14" x14ac:dyDescent="0.25">
      <c r="B206" s="166"/>
      <c r="C206" s="167"/>
      <c r="D206" s="168"/>
      <c r="E206" s="168"/>
      <c r="F206" s="168"/>
      <c r="G206" s="167"/>
      <c r="H206" s="168"/>
      <c r="J206" s="169"/>
      <c r="K206" s="168"/>
      <c r="L206" s="168"/>
      <c r="M206" s="168"/>
      <c r="N206" s="170"/>
    </row>
    <row r="207" spans="2:14" x14ac:dyDescent="0.25">
      <c r="B207" s="166"/>
      <c r="C207" s="167"/>
      <c r="D207" s="168"/>
      <c r="E207" s="168"/>
      <c r="F207" s="168"/>
      <c r="G207" s="167"/>
      <c r="H207" s="168"/>
      <c r="J207" s="169"/>
      <c r="K207" s="168"/>
      <c r="L207" s="168"/>
      <c r="M207" s="168"/>
      <c r="N207" s="170"/>
    </row>
    <row r="208" spans="2:14" x14ac:dyDescent="0.25">
      <c r="B208" s="166"/>
      <c r="C208" s="167"/>
      <c r="D208" s="168"/>
      <c r="E208" s="168"/>
      <c r="F208" s="168"/>
      <c r="G208" s="167"/>
      <c r="H208" s="168"/>
      <c r="J208" s="169"/>
      <c r="K208" s="168"/>
      <c r="L208" s="168"/>
      <c r="M208" s="168"/>
      <c r="N208" s="170"/>
    </row>
    <row r="209" spans="2:14" x14ac:dyDescent="0.25">
      <c r="B209" s="166"/>
      <c r="C209" s="167"/>
      <c r="D209" s="168"/>
      <c r="E209" s="168"/>
      <c r="F209" s="168"/>
      <c r="G209" s="167"/>
      <c r="H209" s="168"/>
      <c r="J209" s="169"/>
      <c r="K209" s="168"/>
      <c r="L209" s="168"/>
      <c r="M209" s="168"/>
      <c r="N209" s="170"/>
    </row>
    <row r="210" spans="2:14" x14ac:dyDescent="0.25">
      <c r="B210" s="166"/>
      <c r="C210" s="167"/>
      <c r="D210" s="168"/>
      <c r="E210" s="168"/>
      <c r="F210" s="168"/>
      <c r="G210" s="167"/>
      <c r="H210" s="168"/>
      <c r="J210" s="169"/>
      <c r="K210" s="168"/>
      <c r="L210" s="168"/>
      <c r="M210" s="168"/>
      <c r="N210" s="170"/>
    </row>
    <row r="211" spans="2:14" x14ac:dyDescent="0.25">
      <c r="B211" s="166"/>
      <c r="C211" s="167"/>
      <c r="D211" s="168"/>
      <c r="E211" s="168"/>
      <c r="F211" s="168"/>
      <c r="G211" s="167"/>
      <c r="H211" s="168"/>
      <c r="J211" s="169"/>
      <c r="K211" s="168"/>
      <c r="L211" s="168"/>
      <c r="M211" s="168"/>
      <c r="N211" s="170"/>
    </row>
    <row r="212" spans="2:14" x14ac:dyDescent="0.25">
      <c r="B212" s="166"/>
      <c r="C212" s="167"/>
      <c r="D212" s="168"/>
      <c r="E212" s="168"/>
      <c r="F212" s="168"/>
      <c r="G212" s="167"/>
      <c r="H212" s="168"/>
      <c r="J212" s="169"/>
      <c r="K212" s="168"/>
      <c r="L212" s="168"/>
      <c r="M212" s="168"/>
      <c r="N212" s="170"/>
    </row>
    <row r="213" spans="2:14" x14ac:dyDescent="0.25">
      <c r="B213" s="166"/>
      <c r="C213" s="167"/>
      <c r="D213" s="168"/>
      <c r="E213" s="168"/>
      <c r="F213" s="168"/>
      <c r="G213" s="167"/>
      <c r="H213" s="168"/>
      <c r="J213" s="169"/>
      <c r="K213" s="168"/>
      <c r="L213" s="168"/>
      <c r="M213" s="168"/>
      <c r="N213" s="170"/>
    </row>
    <row r="214" spans="2:14" x14ac:dyDescent="0.25">
      <c r="B214" s="166"/>
      <c r="C214" s="167"/>
      <c r="D214" s="168"/>
      <c r="E214" s="168"/>
      <c r="F214" s="168"/>
      <c r="G214" s="167"/>
      <c r="H214" s="168"/>
      <c r="J214" s="169"/>
      <c r="K214" s="168"/>
      <c r="L214" s="168"/>
      <c r="M214" s="168"/>
      <c r="N214" s="170"/>
    </row>
    <row r="215" spans="2:14" x14ac:dyDescent="0.25">
      <c r="B215" s="166"/>
      <c r="C215" s="167"/>
      <c r="D215" s="168"/>
      <c r="E215" s="168"/>
      <c r="F215" s="168"/>
      <c r="G215" s="167"/>
      <c r="H215" s="168"/>
      <c r="J215" s="169"/>
      <c r="K215" s="168"/>
      <c r="L215" s="168"/>
      <c r="M215" s="168"/>
      <c r="N215" s="170"/>
    </row>
    <row r="216" spans="2:14" x14ac:dyDescent="0.25">
      <c r="B216" s="166"/>
      <c r="C216" s="167"/>
      <c r="D216" s="168"/>
      <c r="E216" s="168"/>
      <c r="F216" s="168"/>
      <c r="G216" s="167"/>
      <c r="H216" s="168"/>
      <c r="J216" s="169"/>
      <c r="K216" s="168"/>
      <c r="L216" s="168"/>
      <c r="M216" s="168"/>
      <c r="N216" s="170"/>
    </row>
    <row r="217" spans="2:14" x14ac:dyDescent="0.25">
      <c r="B217" s="166"/>
      <c r="C217" s="167"/>
      <c r="D217" s="168"/>
      <c r="E217" s="168"/>
      <c r="F217" s="168"/>
      <c r="G217" s="167"/>
      <c r="H217" s="168"/>
      <c r="J217" s="169"/>
      <c r="K217" s="168"/>
      <c r="L217" s="168"/>
      <c r="M217" s="168"/>
      <c r="N217" s="170"/>
    </row>
    <row r="218" spans="2:14" x14ac:dyDescent="0.25">
      <c r="B218" s="166"/>
      <c r="C218" s="167"/>
      <c r="D218" s="168"/>
      <c r="E218" s="168"/>
      <c r="F218" s="168"/>
      <c r="G218" s="167"/>
      <c r="H218" s="168"/>
      <c r="J218" s="169"/>
      <c r="K218" s="168"/>
      <c r="L218" s="168"/>
      <c r="M218" s="168"/>
      <c r="N218" s="170"/>
    </row>
    <row r="219" spans="2:14" x14ac:dyDescent="0.25">
      <c r="B219" s="166"/>
      <c r="C219" s="167"/>
      <c r="D219" s="168"/>
      <c r="E219" s="168"/>
      <c r="F219" s="168"/>
      <c r="G219" s="167"/>
      <c r="H219" s="168"/>
      <c r="J219" s="169"/>
      <c r="K219" s="168"/>
      <c r="L219" s="168"/>
      <c r="M219" s="168"/>
      <c r="N219" s="170"/>
    </row>
    <row r="220" spans="2:14" x14ac:dyDescent="0.25">
      <c r="B220" s="166"/>
      <c r="C220" s="167"/>
      <c r="D220" s="168"/>
      <c r="E220" s="168"/>
      <c r="F220" s="168"/>
      <c r="G220" s="167"/>
      <c r="H220" s="168"/>
      <c r="J220" s="169"/>
      <c r="K220" s="168"/>
      <c r="L220" s="168"/>
      <c r="M220" s="168"/>
      <c r="N220" s="170"/>
    </row>
    <row r="221" spans="2:14" x14ac:dyDescent="0.25">
      <c r="B221" s="166"/>
      <c r="C221" s="167"/>
      <c r="D221" s="168"/>
      <c r="E221" s="168"/>
      <c r="F221" s="168"/>
      <c r="G221" s="167"/>
      <c r="H221" s="168"/>
      <c r="J221" s="169"/>
      <c r="K221" s="168"/>
      <c r="L221" s="168"/>
      <c r="M221" s="168"/>
      <c r="N221" s="170"/>
    </row>
    <row r="222" spans="2:14" x14ac:dyDescent="0.25">
      <c r="B222" s="166"/>
      <c r="C222" s="167"/>
      <c r="D222" s="168"/>
      <c r="E222" s="168"/>
      <c r="F222" s="168"/>
      <c r="G222" s="167"/>
      <c r="H222" s="168"/>
      <c r="J222" s="169"/>
      <c r="K222" s="168"/>
      <c r="L222" s="168"/>
      <c r="M222" s="168"/>
      <c r="N222" s="170"/>
    </row>
    <row r="223" spans="2:14" x14ac:dyDescent="0.25">
      <c r="B223" s="166"/>
      <c r="C223" s="167"/>
      <c r="D223" s="168"/>
      <c r="E223" s="168"/>
      <c r="F223" s="168"/>
      <c r="G223" s="167"/>
      <c r="H223" s="168"/>
      <c r="J223" s="169"/>
      <c r="K223" s="168"/>
      <c r="L223" s="168"/>
      <c r="M223" s="168"/>
      <c r="N223" s="170"/>
    </row>
    <row r="224" spans="2:14" x14ac:dyDescent="0.25">
      <c r="B224" s="166"/>
      <c r="C224" s="167"/>
      <c r="D224" s="168"/>
      <c r="E224" s="168"/>
      <c r="F224" s="168"/>
      <c r="G224" s="167"/>
      <c r="H224" s="168"/>
      <c r="J224" s="169"/>
      <c r="K224" s="168"/>
      <c r="L224" s="168"/>
      <c r="M224" s="168"/>
      <c r="N224" s="170"/>
    </row>
    <row r="225" spans="2:14" x14ac:dyDescent="0.25">
      <c r="B225" s="166"/>
      <c r="C225" s="167"/>
      <c r="D225" s="168"/>
      <c r="E225" s="168"/>
      <c r="F225" s="168"/>
      <c r="G225" s="167"/>
      <c r="H225" s="168"/>
      <c r="J225" s="169"/>
      <c r="K225" s="168"/>
      <c r="L225" s="168"/>
      <c r="M225" s="168"/>
      <c r="N225" s="170"/>
    </row>
    <row r="226" spans="2:14" x14ac:dyDescent="0.25">
      <c r="B226" s="166"/>
      <c r="C226" s="167"/>
      <c r="D226" s="168"/>
      <c r="E226" s="168"/>
      <c r="F226" s="168"/>
      <c r="G226" s="167"/>
      <c r="H226" s="168"/>
      <c r="J226" s="169"/>
      <c r="K226" s="168"/>
      <c r="L226" s="168"/>
      <c r="M226" s="168"/>
      <c r="N226" s="170"/>
    </row>
    <row r="227" spans="2:14" x14ac:dyDescent="0.25">
      <c r="B227" s="166"/>
      <c r="C227" s="167"/>
      <c r="D227" s="168"/>
      <c r="E227" s="168"/>
      <c r="F227" s="168"/>
      <c r="G227" s="167"/>
      <c r="H227" s="168"/>
      <c r="J227" s="169"/>
      <c r="K227" s="168"/>
      <c r="L227" s="168"/>
      <c r="M227" s="168"/>
      <c r="N227" s="170"/>
    </row>
    <row r="228" spans="2:14" x14ac:dyDescent="0.25">
      <c r="B228" s="166"/>
      <c r="C228" s="167"/>
      <c r="D228" s="168"/>
      <c r="E228" s="168"/>
      <c r="F228" s="168"/>
      <c r="G228" s="167"/>
      <c r="H228" s="168"/>
      <c r="J228" s="169"/>
      <c r="K228" s="168"/>
      <c r="L228" s="168"/>
      <c r="M228" s="168"/>
      <c r="N228" s="170"/>
    </row>
    <row r="229" spans="2:14" x14ac:dyDescent="0.25">
      <c r="B229" s="166"/>
      <c r="C229" s="167"/>
      <c r="D229" s="168"/>
      <c r="E229" s="168"/>
      <c r="F229" s="168"/>
      <c r="G229" s="167"/>
      <c r="H229" s="168"/>
      <c r="J229" s="169"/>
      <c r="K229" s="168"/>
      <c r="L229" s="168"/>
      <c r="M229" s="168"/>
      <c r="N229" s="170"/>
    </row>
    <row r="230" spans="2:14" x14ac:dyDescent="0.25">
      <c r="B230" s="166"/>
      <c r="C230" s="167"/>
      <c r="D230" s="168"/>
      <c r="E230" s="168"/>
      <c r="F230" s="168"/>
      <c r="G230" s="167"/>
      <c r="H230" s="168"/>
      <c r="J230" s="169"/>
      <c r="K230" s="168"/>
      <c r="L230" s="168"/>
      <c r="M230" s="168"/>
      <c r="N230" s="170"/>
    </row>
    <row r="231" spans="2:14" x14ac:dyDescent="0.25">
      <c r="B231" s="166"/>
      <c r="C231" s="167"/>
      <c r="D231" s="168"/>
      <c r="E231" s="168"/>
      <c r="F231" s="168"/>
      <c r="G231" s="167"/>
      <c r="H231" s="168"/>
      <c r="J231" s="169"/>
      <c r="K231" s="168"/>
      <c r="L231" s="168"/>
      <c r="M231" s="168"/>
      <c r="N231" s="170"/>
    </row>
    <row r="232" spans="2:14" x14ac:dyDescent="0.25">
      <c r="B232" s="166"/>
      <c r="C232" s="167"/>
      <c r="D232" s="168"/>
      <c r="E232" s="168"/>
      <c r="F232" s="168"/>
      <c r="G232" s="167"/>
      <c r="H232" s="168"/>
      <c r="J232" s="169"/>
      <c r="K232" s="168"/>
      <c r="L232" s="168"/>
      <c r="M232" s="168"/>
      <c r="N232" s="170"/>
    </row>
    <row r="233" spans="2:14" x14ac:dyDescent="0.25">
      <c r="B233" s="166"/>
      <c r="C233" s="167"/>
      <c r="D233" s="168"/>
      <c r="E233" s="168"/>
      <c r="F233" s="168"/>
      <c r="G233" s="167"/>
      <c r="H233" s="168"/>
      <c r="J233" s="169"/>
      <c r="K233" s="168"/>
      <c r="L233" s="168"/>
      <c r="M233" s="168"/>
      <c r="N233" s="170"/>
    </row>
    <row r="234" spans="2:14" x14ac:dyDescent="0.25">
      <c r="B234" s="166"/>
      <c r="C234" s="167"/>
      <c r="D234" s="168"/>
      <c r="E234" s="168"/>
      <c r="F234" s="168"/>
      <c r="G234" s="167"/>
      <c r="H234" s="168"/>
      <c r="J234" s="169"/>
      <c r="K234" s="168"/>
      <c r="L234" s="168"/>
      <c r="M234" s="168"/>
      <c r="N234" s="170"/>
    </row>
    <row r="235" spans="2:14" x14ac:dyDescent="0.25">
      <c r="B235" s="166"/>
      <c r="C235" s="167"/>
      <c r="D235" s="168"/>
      <c r="E235" s="168"/>
      <c r="F235" s="168"/>
      <c r="G235" s="167"/>
      <c r="H235" s="168"/>
      <c r="J235" s="169"/>
      <c r="K235" s="168"/>
      <c r="L235" s="168"/>
      <c r="M235" s="168"/>
      <c r="N235" s="170"/>
    </row>
    <row r="236" spans="2:14" x14ac:dyDescent="0.25">
      <c r="B236" s="166"/>
      <c r="C236" s="167"/>
      <c r="D236" s="168"/>
      <c r="E236" s="168"/>
      <c r="F236" s="168"/>
      <c r="G236" s="167"/>
      <c r="H236" s="168"/>
      <c r="J236" s="169"/>
      <c r="K236" s="168"/>
      <c r="L236" s="168"/>
      <c r="M236" s="168"/>
      <c r="N236" s="170"/>
    </row>
    <row r="237" spans="2:14" x14ac:dyDescent="0.25">
      <c r="B237" s="166"/>
      <c r="C237" s="167"/>
      <c r="D237" s="168"/>
      <c r="E237" s="168"/>
      <c r="F237" s="168"/>
      <c r="G237" s="167"/>
      <c r="H237" s="168"/>
      <c r="J237" s="169"/>
      <c r="K237" s="168"/>
      <c r="L237" s="168"/>
      <c r="M237" s="168"/>
      <c r="N237" s="170"/>
    </row>
    <row r="238" spans="2:14" x14ac:dyDescent="0.25">
      <c r="B238" s="166"/>
      <c r="C238" s="167"/>
      <c r="D238" s="168"/>
      <c r="E238" s="168"/>
      <c r="F238" s="168"/>
      <c r="G238" s="167"/>
      <c r="H238" s="168"/>
      <c r="J238" s="169"/>
      <c r="K238" s="168"/>
      <c r="L238" s="168"/>
      <c r="M238" s="168"/>
      <c r="N238" s="170"/>
    </row>
    <row r="239" spans="2:14" x14ac:dyDescent="0.25">
      <c r="B239" s="166"/>
      <c r="C239" s="167"/>
      <c r="D239" s="168"/>
      <c r="E239" s="168"/>
      <c r="F239" s="168"/>
      <c r="G239" s="167"/>
      <c r="H239" s="168"/>
      <c r="J239" s="169"/>
      <c r="K239" s="168"/>
      <c r="L239" s="168"/>
      <c r="M239" s="168"/>
      <c r="N239" s="170"/>
    </row>
    <row r="240" spans="2:14" x14ac:dyDescent="0.25">
      <c r="B240" s="166"/>
      <c r="C240" s="167"/>
      <c r="D240" s="168"/>
      <c r="E240" s="168"/>
      <c r="F240" s="168"/>
      <c r="G240" s="167"/>
      <c r="H240" s="168"/>
      <c r="J240" s="169"/>
      <c r="K240" s="168"/>
      <c r="L240" s="168"/>
      <c r="M240" s="168"/>
      <c r="N240" s="170"/>
    </row>
    <row r="241" spans="2:14" x14ac:dyDescent="0.25">
      <c r="B241" s="166"/>
      <c r="C241" s="167"/>
      <c r="D241" s="168"/>
      <c r="E241" s="168"/>
      <c r="F241" s="168"/>
      <c r="G241" s="167"/>
      <c r="H241" s="168"/>
      <c r="J241" s="169"/>
      <c r="K241" s="168"/>
      <c r="L241" s="168"/>
      <c r="M241" s="168"/>
      <c r="N241" s="170"/>
    </row>
    <row r="242" spans="2:14" x14ac:dyDescent="0.25">
      <c r="B242" s="166"/>
      <c r="C242" s="167"/>
      <c r="D242" s="168"/>
      <c r="E242" s="168"/>
      <c r="F242" s="168"/>
      <c r="G242" s="167"/>
      <c r="H242" s="168"/>
      <c r="J242" s="169"/>
      <c r="K242" s="168"/>
      <c r="L242" s="168"/>
      <c r="M242" s="168"/>
      <c r="N242" s="170"/>
    </row>
    <row r="243" spans="2:14" x14ac:dyDescent="0.25">
      <c r="B243" s="166"/>
      <c r="C243" s="167"/>
      <c r="D243" s="168"/>
      <c r="E243" s="168"/>
      <c r="F243" s="168"/>
      <c r="G243" s="167"/>
      <c r="H243" s="168"/>
      <c r="J243" s="169"/>
      <c r="K243" s="168"/>
      <c r="L243" s="168"/>
      <c r="M243" s="168"/>
      <c r="N243" s="170"/>
    </row>
    <row r="244" spans="2:14" x14ac:dyDescent="0.25">
      <c r="B244" s="166"/>
      <c r="C244" s="167"/>
      <c r="D244" s="168"/>
      <c r="E244" s="168"/>
      <c r="F244" s="168"/>
      <c r="G244" s="167"/>
      <c r="H244" s="168"/>
      <c r="J244" s="169"/>
      <c r="K244" s="168"/>
      <c r="L244" s="168"/>
      <c r="M244" s="168"/>
      <c r="N244" s="170"/>
    </row>
    <row r="245" spans="2:14" x14ac:dyDescent="0.25">
      <c r="B245" s="166"/>
      <c r="C245" s="167"/>
      <c r="D245" s="168"/>
      <c r="E245" s="168"/>
      <c r="F245" s="168"/>
      <c r="G245" s="167"/>
      <c r="H245" s="168"/>
      <c r="J245" s="169"/>
      <c r="K245" s="168"/>
      <c r="L245" s="168"/>
      <c r="M245" s="168"/>
      <c r="N245" s="170"/>
    </row>
    <row r="246" spans="2:14" x14ac:dyDescent="0.25">
      <c r="B246" s="166"/>
      <c r="C246" s="167"/>
      <c r="D246" s="168"/>
      <c r="E246" s="168"/>
      <c r="F246" s="168"/>
      <c r="G246" s="167"/>
      <c r="H246" s="168"/>
      <c r="J246" s="169"/>
      <c r="K246" s="168"/>
      <c r="L246" s="168"/>
      <c r="M246" s="168"/>
      <c r="N246" s="170"/>
    </row>
    <row r="247" spans="2:14" x14ac:dyDescent="0.25">
      <c r="B247" s="166"/>
      <c r="C247" s="167"/>
      <c r="D247" s="168"/>
      <c r="E247" s="168"/>
      <c r="F247" s="168"/>
      <c r="G247" s="167"/>
      <c r="H247" s="168"/>
      <c r="J247" s="169"/>
      <c r="K247" s="168"/>
      <c r="L247" s="168"/>
      <c r="M247" s="168"/>
      <c r="N247" s="170"/>
    </row>
    <row r="248" spans="2:14" x14ac:dyDescent="0.25">
      <c r="B248" s="166"/>
      <c r="C248" s="167"/>
      <c r="D248" s="168"/>
      <c r="E248" s="168"/>
      <c r="F248" s="168"/>
      <c r="G248" s="167"/>
      <c r="H248" s="168"/>
      <c r="J248" s="169"/>
      <c r="K248" s="168"/>
      <c r="L248" s="168"/>
      <c r="M248" s="168"/>
      <c r="N248" s="170"/>
    </row>
    <row r="249" spans="2:14" x14ac:dyDescent="0.25">
      <c r="B249" s="166"/>
      <c r="C249" s="167"/>
      <c r="D249" s="168"/>
      <c r="E249" s="168"/>
      <c r="F249" s="168"/>
      <c r="G249" s="167"/>
      <c r="H249" s="168"/>
      <c r="J249" s="169"/>
      <c r="K249" s="168"/>
      <c r="L249" s="168"/>
      <c r="M249" s="168"/>
      <c r="N249" s="170"/>
    </row>
    <row r="250" spans="2:14" x14ac:dyDescent="0.25">
      <c r="B250" s="166"/>
      <c r="C250" s="167"/>
      <c r="D250" s="168"/>
      <c r="E250" s="168"/>
      <c r="F250" s="168"/>
      <c r="G250" s="167"/>
      <c r="H250" s="168"/>
      <c r="J250" s="169"/>
      <c r="K250" s="168"/>
      <c r="L250" s="168"/>
      <c r="M250" s="168"/>
      <c r="N250" s="170"/>
    </row>
    <row r="251" spans="2:14" x14ac:dyDescent="0.25">
      <c r="B251" s="166"/>
      <c r="C251" s="167"/>
      <c r="D251" s="168"/>
      <c r="E251" s="168"/>
      <c r="F251" s="168"/>
      <c r="G251" s="167"/>
      <c r="H251" s="168"/>
      <c r="J251" s="169"/>
      <c r="K251" s="168"/>
      <c r="L251" s="168"/>
      <c r="M251" s="168"/>
      <c r="N251" s="170"/>
    </row>
    <row r="252" spans="2:14" x14ac:dyDescent="0.25">
      <c r="B252" s="166"/>
      <c r="C252" s="167"/>
      <c r="D252" s="168"/>
      <c r="E252" s="168"/>
      <c r="F252" s="168"/>
      <c r="G252" s="167"/>
      <c r="H252" s="168"/>
      <c r="J252" s="169"/>
      <c r="K252" s="168"/>
      <c r="L252" s="168"/>
      <c r="M252" s="168"/>
      <c r="N252" s="170"/>
    </row>
    <row r="253" spans="2:14" x14ac:dyDescent="0.25">
      <c r="B253" s="166"/>
      <c r="C253" s="167"/>
      <c r="D253" s="168"/>
      <c r="E253" s="168"/>
      <c r="F253" s="168"/>
      <c r="G253" s="167"/>
      <c r="H253" s="168"/>
      <c r="J253" s="169"/>
      <c r="K253" s="168"/>
      <c r="L253" s="168"/>
      <c r="M253" s="168"/>
      <c r="N253" s="170"/>
    </row>
    <row r="254" spans="2:14" x14ac:dyDescent="0.25">
      <c r="B254" s="166"/>
      <c r="C254" s="167"/>
      <c r="D254" s="168"/>
      <c r="E254" s="168"/>
      <c r="F254" s="168"/>
      <c r="G254" s="167"/>
      <c r="H254" s="168"/>
      <c r="J254" s="169"/>
      <c r="K254" s="168"/>
      <c r="L254" s="168"/>
      <c r="M254" s="168"/>
      <c r="N254" s="170"/>
    </row>
    <row r="255" spans="2:14" x14ac:dyDescent="0.25">
      <c r="B255" s="166"/>
      <c r="C255" s="167"/>
      <c r="D255" s="168"/>
      <c r="E255" s="168"/>
      <c r="F255" s="168"/>
      <c r="G255" s="167"/>
      <c r="H255" s="168"/>
      <c r="J255" s="169"/>
      <c r="K255" s="168"/>
      <c r="L255" s="168"/>
      <c r="M255" s="168"/>
      <c r="N255" s="170"/>
    </row>
    <row r="256" spans="2:14" x14ac:dyDescent="0.25">
      <c r="B256" s="166"/>
      <c r="C256" s="167"/>
      <c r="D256" s="168"/>
      <c r="E256" s="168"/>
      <c r="F256" s="168"/>
      <c r="G256" s="167"/>
      <c r="H256" s="168"/>
      <c r="J256" s="169"/>
      <c r="K256" s="168"/>
      <c r="L256" s="168"/>
      <c r="M256" s="168"/>
      <c r="N256" s="170"/>
    </row>
    <row r="257" spans="2:14" x14ac:dyDescent="0.25">
      <c r="B257" s="166"/>
      <c r="C257" s="167"/>
      <c r="D257" s="168"/>
      <c r="E257" s="168"/>
      <c r="F257" s="168"/>
      <c r="G257" s="167"/>
      <c r="H257" s="168"/>
      <c r="J257" s="169"/>
      <c r="K257" s="168"/>
      <c r="L257" s="168"/>
      <c r="M257" s="168"/>
      <c r="N257" s="170"/>
    </row>
    <row r="258" spans="2:14" x14ac:dyDescent="0.25">
      <c r="B258" s="166"/>
      <c r="C258" s="167"/>
      <c r="D258" s="168"/>
      <c r="E258" s="168"/>
      <c r="F258" s="168"/>
      <c r="G258" s="167"/>
      <c r="H258" s="168"/>
      <c r="J258" s="169"/>
      <c r="K258" s="168"/>
      <c r="L258" s="168"/>
      <c r="M258" s="168"/>
      <c r="N258" s="170"/>
    </row>
    <row r="259" spans="2:14" x14ac:dyDescent="0.25">
      <c r="B259" s="166"/>
      <c r="C259" s="167"/>
      <c r="D259" s="168"/>
      <c r="E259" s="168"/>
      <c r="F259" s="168"/>
      <c r="G259" s="167"/>
      <c r="H259" s="168"/>
      <c r="J259" s="169"/>
      <c r="K259" s="168"/>
      <c r="L259" s="168"/>
      <c r="M259" s="168"/>
      <c r="N259" s="170"/>
    </row>
    <row r="260" spans="2:14" x14ac:dyDescent="0.25">
      <c r="B260" s="166"/>
      <c r="C260" s="167"/>
      <c r="D260" s="168"/>
      <c r="E260" s="168"/>
      <c r="F260" s="168"/>
      <c r="G260" s="167"/>
      <c r="H260" s="168"/>
      <c r="J260" s="169"/>
      <c r="K260" s="168"/>
      <c r="L260" s="168"/>
      <c r="M260" s="168"/>
      <c r="N260" s="170"/>
    </row>
    <row r="261" spans="2:14" x14ac:dyDescent="0.25">
      <c r="B261" s="166"/>
      <c r="C261" s="167"/>
      <c r="D261" s="168"/>
      <c r="E261" s="168"/>
      <c r="F261" s="168"/>
      <c r="G261" s="167"/>
      <c r="H261" s="168"/>
      <c r="J261" s="169"/>
      <c r="K261" s="168"/>
      <c r="L261" s="168"/>
      <c r="M261" s="168"/>
      <c r="N261" s="170"/>
    </row>
    <row r="262" spans="2:14" x14ac:dyDescent="0.25">
      <c r="B262" s="166"/>
      <c r="C262" s="167"/>
      <c r="D262" s="168"/>
      <c r="E262" s="168"/>
      <c r="F262" s="168"/>
      <c r="G262" s="167"/>
      <c r="H262" s="168"/>
      <c r="J262" s="169"/>
      <c r="K262" s="168"/>
      <c r="L262" s="168"/>
      <c r="M262" s="168"/>
      <c r="N262" s="170"/>
    </row>
    <row r="263" spans="2:14" x14ac:dyDescent="0.25">
      <c r="B263" s="166"/>
      <c r="C263" s="167"/>
      <c r="D263" s="168"/>
      <c r="E263" s="168"/>
      <c r="F263" s="168"/>
      <c r="G263" s="167"/>
      <c r="H263" s="168"/>
      <c r="J263" s="169"/>
      <c r="K263" s="168"/>
      <c r="L263" s="168"/>
      <c r="M263" s="168"/>
      <c r="N263" s="170"/>
    </row>
    <row r="264" spans="2:14" x14ac:dyDescent="0.25">
      <c r="B264" s="166"/>
      <c r="C264" s="167"/>
      <c r="D264" s="168"/>
      <c r="E264" s="168"/>
      <c r="F264" s="168"/>
      <c r="G264" s="167"/>
      <c r="H264" s="168"/>
      <c r="J264" s="169"/>
      <c r="K264" s="168"/>
      <c r="L264" s="168"/>
      <c r="M264" s="168"/>
      <c r="N264" s="170"/>
    </row>
    <row r="265" spans="2:14" x14ac:dyDescent="0.25">
      <c r="B265" s="166"/>
      <c r="C265" s="167"/>
      <c r="D265" s="168"/>
      <c r="E265" s="168"/>
      <c r="F265" s="168"/>
      <c r="G265" s="167"/>
      <c r="H265" s="168"/>
      <c r="J265" s="169"/>
      <c r="K265" s="168"/>
      <c r="L265" s="168"/>
      <c r="M265" s="168"/>
      <c r="N265" s="170"/>
    </row>
    <row r="266" spans="2:14" x14ac:dyDescent="0.25">
      <c r="B266" s="166"/>
      <c r="C266" s="167"/>
      <c r="D266" s="168"/>
      <c r="E266" s="168"/>
      <c r="F266" s="168"/>
      <c r="G266" s="167"/>
      <c r="H266" s="168"/>
      <c r="J266" s="169"/>
      <c r="K266" s="168"/>
      <c r="L266" s="168"/>
      <c r="M266" s="168"/>
      <c r="N266" s="170"/>
    </row>
    <row r="267" spans="2:14" x14ac:dyDescent="0.25">
      <c r="B267" s="166"/>
      <c r="C267" s="167"/>
      <c r="D267" s="168"/>
      <c r="E267" s="168"/>
      <c r="F267" s="168"/>
      <c r="G267" s="167"/>
      <c r="H267" s="168"/>
      <c r="J267" s="169"/>
      <c r="K267" s="168"/>
      <c r="L267" s="168"/>
      <c r="M267" s="168"/>
      <c r="N267" s="170"/>
    </row>
    <row r="268" spans="2:14" x14ac:dyDescent="0.25">
      <c r="B268" s="166"/>
      <c r="C268" s="167"/>
      <c r="D268" s="168"/>
      <c r="E268" s="168"/>
      <c r="F268" s="168"/>
      <c r="G268" s="167"/>
      <c r="H268" s="168"/>
      <c r="J268" s="169"/>
      <c r="K268" s="168"/>
      <c r="L268" s="168"/>
      <c r="M268" s="168"/>
      <c r="N268" s="170"/>
    </row>
    <row r="269" spans="2:14" x14ac:dyDescent="0.25">
      <c r="B269" s="166"/>
      <c r="C269" s="167"/>
      <c r="D269" s="168"/>
      <c r="E269" s="168"/>
      <c r="F269" s="168"/>
      <c r="G269" s="167"/>
      <c r="H269" s="168"/>
      <c r="J269" s="169"/>
      <c r="K269" s="168"/>
      <c r="L269" s="168"/>
      <c r="M269" s="168"/>
      <c r="N269" s="170"/>
    </row>
    <row r="270" spans="2:14" x14ac:dyDescent="0.25">
      <c r="B270" s="166"/>
      <c r="C270" s="167"/>
      <c r="D270" s="168"/>
      <c r="E270" s="168"/>
      <c r="F270" s="168"/>
      <c r="G270" s="167"/>
      <c r="H270" s="168"/>
      <c r="J270" s="169"/>
      <c r="K270" s="168"/>
      <c r="L270" s="168"/>
      <c r="M270" s="168"/>
      <c r="N270" s="170"/>
    </row>
    <row r="271" spans="2:14" x14ac:dyDescent="0.25">
      <c r="B271" s="166"/>
      <c r="C271" s="167"/>
      <c r="D271" s="168"/>
      <c r="E271" s="168"/>
      <c r="F271" s="168"/>
      <c r="G271" s="167"/>
      <c r="H271" s="168"/>
      <c r="J271" s="169"/>
      <c r="K271" s="168"/>
      <c r="L271" s="168"/>
      <c r="M271" s="168"/>
      <c r="N271" s="170"/>
    </row>
    <row r="272" spans="2:14" x14ac:dyDescent="0.25">
      <c r="B272" s="166"/>
      <c r="C272" s="167"/>
      <c r="D272" s="168"/>
      <c r="E272" s="168"/>
      <c r="F272" s="168"/>
      <c r="G272" s="167"/>
      <c r="H272" s="168"/>
      <c r="J272" s="169"/>
      <c r="K272" s="168"/>
      <c r="L272" s="168"/>
      <c r="M272" s="168"/>
      <c r="N272" s="170"/>
    </row>
    <row r="273" spans="2:14" x14ac:dyDescent="0.25">
      <c r="B273" s="166"/>
      <c r="C273" s="167"/>
      <c r="D273" s="168"/>
      <c r="E273" s="168"/>
      <c r="F273" s="168"/>
      <c r="G273" s="167"/>
      <c r="H273" s="168"/>
      <c r="J273" s="169"/>
      <c r="K273" s="171"/>
      <c r="L273" s="171"/>
      <c r="M273" s="171"/>
      <c r="N273" s="170"/>
    </row>
    <row r="274" spans="2:14" x14ac:dyDescent="0.25">
      <c r="B274" s="166"/>
      <c r="C274" s="167"/>
      <c r="D274" s="168"/>
      <c r="E274" s="168"/>
      <c r="F274" s="168"/>
      <c r="G274" s="167"/>
      <c r="H274" s="168"/>
      <c r="J274" s="169"/>
      <c r="K274" s="171"/>
      <c r="L274" s="171"/>
      <c r="M274" s="171"/>
      <c r="N274" s="170"/>
    </row>
    <row r="275" spans="2:14" x14ac:dyDescent="0.25">
      <c r="B275" s="166"/>
      <c r="C275" s="167"/>
      <c r="D275" s="168"/>
      <c r="E275" s="168"/>
      <c r="F275" s="168"/>
      <c r="G275" s="167"/>
      <c r="H275" s="168"/>
      <c r="J275" s="169"/>
      <c r="K275" s="171"/>
      <c r="L275" s="171"/>
      <c r="M275" s="171"/>
      <c r="N275" s="170"/>
    </row>
    <row r="276" spans="2:14" x14ac:dyDescent="0.25">
      <c r="B276" s="166"/>
      <c r="C276" s="167"/>
      <c r="D276" s="168"/>
      <c r="E276" s="168"/>
      <c r="F276" s="168"/>
      <c r="G276" s="167"/>
      <c r="H276" s="168"/>
      <c r="J276" s="169"/>
      <c r="K276" s="171"/>
      <c r="L276" s="171"/>
      <c r="M276" s="171"/>
      <c r="N276" s="170"/>
    </row>
    <row r="277" spans="2:14" x14ac:dyDescent="0.25">
      <c r="B277" s="166"/>
      <c r="C277" s="167"/>
      <c r="D277" s="168"/>
      <c r="E277" s="168"/>
      <c r="F277" s="168"/>
      <c r="G277" s="167"/>
      <c r="H277" s="168"/>
      <c r="J277" s="169"/>
      <c r="K277" s="171"/>
      <c r="L277" s="171"/>
      <c r="M277" s="171"/>
      <c r="N277" s="170"/>
    </row>
    <row r="278" spans="2:14" x14ac:dyDescent="0.25">
      <c r="B278" s="166"/>
      <c r="C278" s="167"/>
      <c r="D278" s="168"/>
      <c r="E278" s="168"/>
      <c r="F278" s="168"/>
      <c r="G278" s="167"/>
      <c r="H278" s="168"/>
      <c r="J278" s="169"/>
      <c r="K278" s="171"/>
      <c r="L278" s="171"/>
      <c r="M278" s="171"/>
      <c r="N278" s="170"/>
    </row>
    <row r="279" spans="2:14" x14ac:dyDescent="0.25">
      <c r="B279" s="166"/>
      <c r="C279" s="167"/>
      <c r="D279" s="168"/>
      <c r="E279" s="168"/>
      <c r="F279" s="168"/>
      <c r="G279" s="167"/>
      <c r="H279" s="168"/>
      <c r="J279" s="169"/>
      <c r="K279" s="171"/>
      <c r="L279" s="171"/>
      <c r="M279" s="171"/>
      <c r="N279" s="170"/>
    </row>
    <row r="280" spans="2:14" x14ac:dyDescent="0.25">
      <c r="B280" s="166"/>
      <c r="C280" s="167"/>
      <c r="D280" s="168"/>
      <c r="E280" s="168"/>
      <c r="F280" s="168"/>
      <c r="G280" s="167"/>
      <c r="H280" s="168"/>
      <c r="J280" s="169"/>
      <c r="K280" s="171"/>
      <c r="L280" s="171"/>
      <c r="M280" s="171"/>
      <c r="N280" s="170"/>
    </row>
    <row r="281" spans="2:14" x14ac:dyDescent="0.25">
      <c r="B281" s="166"/>
      <c r="C281" s="167"/>
      <c r="D281" s="168"/>
      <c r="E281" s="168"/>
      <c r="F281" s="168"/>
      <c r="G281" s="167"/>
      <c r="H281" s="168"/>
      <c r="J281" s="169"/>
      <c r="K281" s="171"/>
      <c r="L281" s="171"/>
      <c r="M281" s="171"/>
      <c r="N281" s="170"/>
    </row>
    <row r="282" spans="2:14" x14ac:dyDescent="0.25">
      <c r="B282" s="166"/>
      <c r="C282" s="167"/>
      <c r="D282" s="168"/>
      <c r="E282" s="168"/>
      <c r="F282" s="168"/>
      <c r="G282" s="167"/>
      <c r="H282" s="168"/>
      <c r="J282" s="169"/>
      <c r="K282" s="171"/>
      <c r="L282" s="171"/>
      <c r="M282" s="171"/>
      <c r="N282" s="170"/>
    </row>
    <row r="283" spans="2:14" x14ac:dyDescent="0.25">
      <c r="B283" s="166"/>
      <c r="C283" s="167"/>
      <c r="D283" s="168"/>
      <c r="E283" s="168"/>
      <c r="F283" s="168"/>
      <c r="G283" s="167"/>
      <c r="H283" s="168"/>
      <c r="J283" s="169"/>
      <c r="K283" s="171"/>
      <c r="L283" s="171"/>
      <c r="M283" s="171"/>
      <c r="N283" s="170"/>
    </row>
    <row r="284" spans="2:14" x14ac:dyDescent="0.25">
      <c r="B284" s="166"/>
      <c r="C284" s="167"/>
      <c r="D284" s="168"/>
      <c r="E284" s="168"/>
      <c r="F284" s="168"/>
      <c r="G284" s="167"/>
      <c r="H284" s="168"/>
      <c r="J284" s="169"/>
      <c r="K284" s="171"/>
      <c r="L284" s="171"/>
      <c r="M284" s="171"/>
      <c r="N284" s="170"/>
    </row>
    <row r="285" spans="2:14" x14ac:dyDescent="0.25">
      <c r="B285" s="166"/>
      <c r="C285" s="167"/>
      <c r="D285" s="168"/>
      <c r="E285" s="168"/>
      <c r="F285" s="168"/>
      <c r="G285" s="167"/>
      <c r="H285" s="168"/>
      <c r="J285" s="169"/>
      <c r="K285" s="171"/>
      <c r="L285" s="171"/>
      <c r="M285" s="171"/>
      <c r="N285" s="170"/>
    </row>
    <row r="286" spans="2:14" x14ac:dyDescent="0.25">
      <c r="B286" s="166"/>
      <c r="C286" s="167"/>
      <c r="D286" s="168"/>
      <c r="E286" s="168"/>
      <c r="F286" s="168"/>
      <c r="G286" s="167"/>
      <c r="H286" s="168"/>
      <c r="J286" s="169"/>
      <c r="K286" s="171"/>
      <c r="L286" s="171"/>
      <c r="M286" s="171"/>
      <c r="N286" s="170"/>
    </row>
    <row r="287" spans="2:14" x14ac:dyDescent="0.25">
      <c r="B287" s="166"/>
      <c r="C287" s="167"/>
      <c r="D287" s="168"/>
      <c r="E287" s="168"/>
      <c r="F287" s="168"/>
      <c r="G287" s="167"/>
      <c r="H287" s="168"/>
      <c r="J287" s="169"/>
      <c r="K287" s="171"/>
      <c r="L287" s="171"/>
      <c r="M287" s="171"/>
      <c r="N287" s="170"/>
    </row>
    <row r="288" spans="2:14" x14ac:dyDescent="0.25">
      <c r="B288" s="166"/>
      <c r="C288" s="167"/>
      <c r="D288" s="168"/>
      <c r="E288" s="168"/>
      <c r="F288" s="168"/>
      <c r="G288" s="167"/>
      <c r="H288" s="168"/>
      <c r="J288" s="169"/>
      <c r="K288" s="171"/>
      <c r="L288" s="171"/>
      <c r="M288" s="171"/>
      <c r="N288" s="170"/>
    </row>
    <row r="289" spans="2:14" x14ac:dyDescent="0.25">
      <c r="B289" s="166"/>
      <c r="C289" s="167"/>
      <c r="D289" s="168"/>
      <c r="E289" s="168"/>
      <c r="F289" s="168"/>
      <c r="G289" s="167"/>
      <c r="H289" s="168"/>
      <c r="J289" s="169"/>
      <c r="K289" s="171"/>
      <c r="L289" s="171"/>
      <c r="M289" s="171"/>
      <c r="N289" s="170"/>
    </row>
    <row r="290" spans="2:14" x14ac:dyDescent="0.25">
      <c r="B290" s="166"/>
      <c r="C290" s="167"/>
      <c r="D290" s="168"/>
      <c r="E290" s="168"/>
      <c r="F290" s="168"/>
      <c r="G290" s="167"/>
      <c r="H290" s="168"/>
      <c r="J290" s="169"/>
      <c r="K290" s="171"/>
      <c r="L290" s="171"/>
      <c r="M290" s="171"/>
      <c r="N290" s="170"/>
    </row>
    <row r="291" spans="2:14" x14ac:dyDescent="0.25">
      <c r="B291" s="166"/>
      <c r="C291" s="167"/>
      <c r="D291" s="168"/>
      <c r="E291" s="168"/>
      <c r="F291" s="168"/>
      <c r="G291" s="167"/>
      <c r="H291" s="168"/>
      <c r="J291" s="169"/>
      <c r="K291" s="171"/>
      <c r="L291" s="171"/>
      <c r="M291" s="171"/>
      <c r="N291" s="170"/>
    </row>
    <row r="292" spans="2:14" x14ac:dyDescent="0.25">
      <c r="B292" s="166"/>
      <c r="C292" s="167"/>
      <c r="D292" s="168"/>
      <c r="E292" s="168"/>
      <c r="F292" s="168"/>
      <c r="G292" s="167"/>
      <c r="H292" s="168"/>
      <c r="J292" s="169"/>
      <c r="K292" s="171"/>
      <c r="L292" s="171"/>
      <c r="M292" s="171"/>
      <c r="N292" s="170"/>
    </row>
    <row r="293" spans="2:14" x14ac:dyDescent="0.25">
      <c r="B293" s="166"/>
      <c r="C293" s="167"/>
      <c r="D293" s="168"/>
      <c r="E293" s="168"/>
      <c r="F293" s="168"/>
      <c r="G293" s="167"/>
      <c r="H293" s="168"/>
      <c r="J293" s="169"/>
      <c r="K293" s="171"/>
      <c r="L293" s="171"/>
      <c r="M293" s="171"/>
      <c r="N293" s="170"/>
    </row>
    <row r="294" spans="2:14" x14ac:dyDescent="0.25">
      <c r="B294" s="166"/>
      <c r="C294" s="167"/>
      <c r="D294" s="168"/>
      <c r="E294" s="168"/>
      <c r="F294" s="168"/>
      <c r="G294" s="167"/>
      <c r="H294" s="168"/>
      <c r="J294" s="169"/>
      <c r="K294" s="171"/>
      <c r="L294" s="171"/>
      <c r="M294" s="171"/>
      <c r="N294" s="170"/>
    </row>
    <row r="295" spans="2:14" x14ac:dyDescent="0.25">
      <c r="B295" s="166"/>
      <c r="C295" s="167"/>
      <c r="D295" s="168"/>
      <c r="E295" s="168"/>
      <c r="F295" s="168"/>
      <c r="G295" s="167"/>
      <c r="H295" s="168"/>
      <c r="J295" s="169"/>
      <c r="K295" s="171"/>
      <c r="L295" s="171"/>
      <c r="M295" s="171"/>
      <c r="N295" s="170"/>
    </row>
    <row r="296" spans="2:14" x14ac:dyDescent="0.25">
      <c r="B296" s="166"/>
      <c r="C296" s="167"/>
      <c r="D296" s="168"/>
      <c r="E296" s="168"/>
      <c r="F296" s="168"/>
      <c r="G296" s="167"/>
      <c r="H296" s="168"/>
      <c r="J296" s="169"/>
      <c r="K296" s="171"/>
      <c r="L296" s="171"/>
      <c r="M296" s="171"/>
      <c r="N296" s="170"/>
    </row>
    <row r="297" spans="2:14" x14ac:dyDescent="0.25">
      <c r="B297" s="166"/>
      <c r="C297" s="167"/>
      <c r="D297" s="168"/>
      <c r="E297" s="168"/>
      <c r="F297" s="168"/>
      <c r="G297" s="167"/>
      <c r="H297" s="168"/>
      <c r="J297" s="169"/>
      <c r="K297" s="171"/>
      <c r="L297" s="171"/>
      <c r="M297" s="171"/>
      <c r="N297" s="170"/>
    </row>
    <row r="298" spans="2:14" x14ac:dyDescent="0.25">
      <c r="B298" s="166"/>
      <c r="C298" s="167"/>
      <c r="D298" s="168"/>
      <c r="E298" s="168"/>
      <c r="F298" s="168"/>
      <c r="G298" s="167"/>
      <c r="H298" s="168"/>
      <c r="J298" s="169"/>
      <c r="K298" s="171"/>
      <c r="L298" s="171"/>
      <c r="M298" s="171"/>
      <c r="N298" s="170"/>
    </row>
    <row r="299" spans="2:14" x14ac:dyDescent="0.25">
      <c r="B299" s="166"/>
      <c r="C299" s="167"/>
      <c r="D299" s="168"/>
      <c r="E299" s="168"/>
      <c r="F299" s="168"/>
      <c r="G299" s="167"/>
      <c r="H299" s="168"/>
      <c r="J299" s="169"/>
      <c r="K299" s="171"/>
      <c r="L299" s="171"/>
      <c r="M299" s="171"/>
      <c r="N299" s="170"/>
    </row>
    <row r="300" spans="2:14" x14ac:dyDescent="0.25">
      <c r="B300" s="166"/>
      <c r="C300" s="167"/>
      <c r="D300" s="168"/>
      <c r="E300" s="168"/>
      <c r="F300" s="168"/>
      <c r="G300" s="167"/>
      <c r="H300" s="168"/>
      <c r="J300" s="169"/>
      <c r="K300" s="171"/>
      <c r="L300" s="171"/>
      <c r="M300" s="171"/>
      <c r="N300" s="170"/>
    </row>
    <row r="301" spans="2:14" x14ac:dyDescent="0.25">
      <c r="B301" s="166"/>
      <c r="C301" s="167"/>
      <c r="D301" s="168"/>
      <c r="E301" s="168"/>
      <c r="F301" s="168"/>
      <c r="G301" s="167"/>
      <c r="H301" s="168"/>
      <c r="J301" s="169"/>
      <c r="K301" s="171"/>
      <c r="L301" s="171"/>
      <c r="M301" s="171"/>
      <c r="N301" s="170"/>
    </row>
    <row r="302" spans="2:14" x14ac:dyDescent="0.25">
      <c r="B302" s="166"/>
      <c r="C302" s="167"/>
      <c r="D302" s="168"/>
      <c r="E302" s="168"/>
      <c r="F302" s="168"/>
      <c r="G302" s="167"/>
      <c r="H302" s="168"/>
      <c r="J302" s="169"/>
      <c r="K302" s="171"/>
      <c r="L302" s="171"/>
      <c r="M302" s="171"/>
      <c r="N302" s="170"/>
    </row>
    <row r="303" spans="2:14" x14ac:dyDescent="0.25">
      <c r="B303" s="166"/>
      <c r="C303" s="167"/>
      <c r="D303" s="168"/>
      <c r="E303" s="168"/>
      <c r="F303" s="168"/>
      <c r="G303" s="167"/>
      <c r="H303" s="168"/>
      <c r="J303" s="169"/>
      <c r="K303" s="171"/>
      <c r="L303" s="171"/>
      <c r="M303" s="171"/>
      <c r="N303" s="170"/>
    </row>
    <row r="304" spans="2:14" x14ac:dyDescent="0.25">
      <c r="B304" s="166"/>
      <c r="C304" s="167"/>
      <c r="D304" s="168"/>
      <c r="E304" s="168"/>
      <c r="F304" s="168"/>
      <c r="G304" s="167"/>
      <c r="H304" s="168"/>
      <c r="J304" s="169"/>
      <c r="K304" s="171"/>
      <c r="L304" s="171"/>
      <c r="M304" s="171"/>
      <c r="N304" s="170"/>
    </row>
    <row r="305" spans="2:14" x14ac:dyDescent="0.25">
      <c r="B305" s="166"/>
      <c r="C305" s="167"/>
      <c r="D305" s="168"/>
      <c r="E305" s="168"/>
      <c r="F305" s="168"/>
      <c r="G305" s="167"/>
      <c r="H305" s="168"/>
      <c r="J305" s="169"/>
      <c r="K305" s="171"/>
      <c r="L305" s="171"/>
      <c r="M305" s="171"/>
      <c r="N305" s="170"/>
    </row>
    <row r="306" spans="2:14" x14ac:dyDescent="0.25">
      <c r="B306" s="166"/>
      <c r="C306" s="167"/>
      <c r="D306" s="168"/>
      <c r="E306" s="168"/>
      <c r="F306" s="168"/>
      <c r="G306" s="167"/>
      <c r="H306" s="168"/>
      <c r="J306" s="169"/>
      <c r="K306" s="171"/>
      <c r="L306" s="171"/>
      <c r="M306" s="171"/>
      <c r="N306" s="170"/>
    </row>
    <row r="307" spans="2:14" x14ac:dyDescent="0.25">
      <c r="B307" s="166"/>
      <c r="C307" s="167"/>
      <c r="D307" s="168"/>
      <c r="E307" s="168"/>
      <c r="F307" s="168"/>
      <c r="G307" s="167"/>
      <c r="H307" s="168"/>
      <c r="J307" s="169"/>
      <c r="K307" s="171"/>
      <c r="L307" s="171"/>
      <c r="M307" s="171"/>
      <c r="N307" s="170"/>
    </row>
    <row r="308" spans="2:14" x14ac:dyDescent="0.25">
      <c r="B308" s="166"/>
      <c r="C308" s="167"/>
      <c r="D308" s="168"/>
      <c r="E308" s="168"/>
      <c r="F308" s="168"/>
      <c r="G308" s="167"/>
      <c r="H308" s="168"/>
      <c r="J308" s="169"/>
      <c r="K308" s="171"/>
      <c r="L308" s="171"/>
      <c r="M308" s="171"/>
      <c r="N308" s="170"/>
    </row>
    <row r="309" spans="2:14" x14ac:dyDescent="0.25">
      <c r="B309" s="166"/>
      <c r="C309" s="167"/>
      <c r="D309" s="168"/>
      <c r="E309" s="168"/>
      <c r="F309" s="168"/>
      <c r="G309" s="167"/>
      <c r="H309" s="168"/>
      <c r="J309" s="169"/>
      <c r="K309" s="171"/>
      <c r="L309" s="171"/>
      <c r="M309" s="171"/>
      <c r="N309" s="170"/>
    </row>
    <row r="310" spans="2:14" x14ac:dyDescent="0.25">
      <c r="B310" s="166"/>
      <c r="C310" s="167"/>
      <c r="D310" s="168"/>
      <c r="E310" s="168"/>
      <c r="F310" s="168"/>
      <c r="G310" s="167"/>
      <c r="H310" s="168"/>
      <c r="J310" s="169"/>
      <c r="K310" s="171"/>
      <c r="L310" s="171"/>
      <c r="M310" s="171"/>
      <c r="N310" s="170"/>
    </row>
    <row r="311" spans="2:14" x14ac:dyDescent="0.25">
      <c r="B311" s="166"/>
      <c r="C311" s="167"/>
      <c r="D311" s="168"/>
      <c r="E311" s="168"/>
      <c r="F311" s="168"/>
      <c r="G311" s="167"/>
      <c r="H311" s="168"/>
      <c r="J311" s="169"/>
      <c r="K311" s="171"/>
      <c r="L311" s="171"/>
      <c r="M311" s="171"/>
      <c r="N311" s="170"/>
    </row>
    <row r="312" spans="2:14" x14ac:dyDescent="0.25">
      <c r="B312" s="166"/>
      <c r="C312" s="167"/>
      <c r="D312" s="168"/>
      <c r="E312" s="168"/>
      <c r="F312" s="168"/>
      <c r="G312" s="167"/>
      <c r="H312" s="168"/>
      <c r="J312" s="169"/>
      <c r="K312" s="171"/>
      <c r="L312" s="171"/>
      <c r="M312" s="171"/>
      <c r="N312" s="170"/>
    </row>
    <row r="313" spans="2:14" x14ac:dyDescent="0.25">
      <c r="B313" s="166"/>
      <c r="C313" s="167"/>
      <c r="D313" s="168"/>
      <c r="E313" s="168"/>
      <c r="F313" s="168"/>
      <c r="G313" s="167"/>
      <c r="H313" s="168"/>
      <c r="J313" s="169"/>
      <c r="K313" s="171"/>
      <c r="L313" s="171"/>
      <c r="M313" s="171"/>
      <c r="N313" s="170"/>
    </row>
    <row r="314" spans="2:14" x14ac:dyDescent="0.25">
      <c r="B314" s="166"/>
      <c r="C314" s="167"/>
      <c r="D314" s="168"/>
      <c r="E314" s="168"/>
      <c r="F314" s="168"/>
      <c r="G314" s="167"/>
      <c r="H314" s="168"/>
      <c r="J314" s="169"/>
      <c r="K314" s="171"/>
      <c r="L314" s="171"/>
      <c r="M314" s="171"/>
      <c r="N314" s="170"/>
    </row>
    <row r="315" spans="2:14" x14ac:dyDescent="0.25">
      <c r="B315" s="166"/>
      <c r="C315" s="167"/>
      <c r="D315" s="168"/>
      <c r="E315" s="168"/>
      <c r="F315" s="168"/>
      <c r="G315" s="167"/>
      <c r="H315" s="168"/>
      <c r="J315" s="169"/>
      <c r="K315" s="171"/>
      <c r="L315" s="171"/>
      <c r="M315" s="171"/>
      <c r="N315" s="170"/>
    </row>
  </sheetData>
  <mergeCells count="1">
    <mergeCell ref="E8:G8"/>
  </mergeCells>
  <dataValidations count="1">
    <dataValidation type="list" allowBlank="1" showInputMessage="1" showErrorMessage="1" sqref="C8" xr:uid="{51B1A646-4ECA-4790-95F8-EB635FEABF7F}">
      <formula1>$T$9:$W$9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A68B6-9AC7-4B00-A07B-E7D8A6B1B492}">
  <sheetPr codeName="Sheet2"/>
  <dimension ref="B1:V518"/>
  <sheetViews>
    <sheetView showGridLines="0" workbookViewId="0">
      <pane ySplit="7" topLeftCell="A8" activePane="bottomLeft" state="frozen"/>
      <selection pane="bottomLeft" activeCell="I27" sqref="I27"/>
    </sheetView>
  </sheetViews>
  <sheetFormatPr defaultColWidth="9.109375" defaultRowHeight="14.4" x14ac:dyDescent="0.3"/>
  <cols>
    <col min="1" max="1" width="9.109375" style="225"/>
    <col min="2" max="2" width="9.5546875" style="225" customWidth="1"/>
    <col min="3" max="3" width="11.44140625" style="225" bestFit="1" customWidth="1"/>
    <col min="4" max="4" width="11.33203125" style="225" bestFit="1" customWidth="1"/>
    <col min="5" max="7" width="9.109375" style="225"/>
    <col min="8" max="9" width="14.88671875" style="225" bestFit="1" customWidth="1"/>
    <col min="10" max="10" width="9.109375" style="225"/>
    <col min="11" max="11" width="11.6640625" style="225" customWidth="1"/>
    <col min="12" max="12" width="10.5546875" style="225" bestFit="1" customWidth="1"/>
    <col min="13" max="257" width="9.109375" style="225"/>
    <col min="258" max="258" width="9.5546875" style="225" customWidth="1"/>
    <col min="259" max="259" width="11.44140625" style="225" bestFit="1" customWidth="1"/>
    <col min="260" max="260" width="11.33203125" style="225" bestFit="1" customWidth="1"/>
    <col min="261" max="263" width="9.109375" style="225"/>
    <col min="264" max="265" width="14.88671875" style="225" bestFit="1" customWidth="1"/>
    <col min="266" max="266" width="9.109375" style="225"/>
    <col min="267" max="267" width="11.6640625" style="225" customWidth="1"/>
    <col min="268" max="268" width="10.5546875" style="225" bestFit="1" customWidth="1"/>
    <col min="269" max="513" width="9.109375" style="225"/>
    <col min="514" max="514" width="9.5546875" style="225" customWidth="1"/>
    <col min="515" max="515" width="11.44140625" style="225" bestFit="1" customWidth="1"/>
    <col min="516" max="516" width="11.33203125" style="225" bestFit="1" customWidth="1"/>
    <col min="517" max="519" width="9.109375" style="225"/>
    <col min="520" max="521" width="14.88671875" style="225" bestFit="1" customWidth="1"/>
    <col min="522" max="522" width="9.109375" style="225"/>
    <col min="523" max="523" width="11.6640625" style="225" customWidth="1"/>
    <col min="524" max="524" width="10.5546875" style="225" bestFit="1" customWidth="1"/>
    <col min="525" max="769" width="9.109375" style="225"/>
    <col min="770" max="770" width="9.5546875" style="225" customWidth="1"/>
    <col min="771" max="771" width="11.44140625" style="225" bestFit="1" customWidth="1"/>
    <col min="772" max="772" width="11.33203125" style="225" bestFit="1" customWidth="1"/>
    <col min="773" max="775" width="9.109375" style="225"/>
    <col min="776" max="777" width="14.88671875" style="225" bestFit="1" customWidth="1"/>
    <col min="778" max="778" width="9.109375" style="225"/>
    <col min="779" max="779" width="11.6640625" style="225" customWidth="1"/>
    <col min="780" max="780" width="10.5546875" style="225" bestFit="1" customWidth="1"/>
    <col min="781" max="1025" width="9.109375" style="225"/>
    <col min="1026" max="1026" width="9.5546875" style="225" customWidth="1"/>
    <col min="1027" max="1027" width="11.44140625" style="225" bestFit="1" customWidth="1"/>
    <col min="1028" max="1028" width="11.33203125" style="225" bestFit="1" customWidth="1"/>
    <col min="1029" max="1031" width="9.109375" style="225"/>
    <col min="1032" max="1033" width="14.88671875" style="225" bestFit="1" customWidth="1"/>
    <col min="1034" max="1034" width="9.109375" style="225"/>
    <col min="1035" max="1035" width="11.6640625" style="225" customWidth="1"/>
    <col min="1036" max="1036" width="10.5546875" style="225" bestFit="1" customWidth="1"/>
    <col min="1037" max="1281" width="9.109375" style="225"/>
    <col min="1282" max="1282" width="9.5546875" style="225" customWidth="1"/>
    <col min="1283" max="1283" width="11.44140625" style="225" bestFit="1" customWidth="1"/>
    <col min="1284" max="1284" width="11.33203125" style="225" bestFit="1" customWidth="1"/>
    <col min="1285" max="1287" width="9.109375" style="225"/>
    <col min="1288" max="1289" width="14.88671875" style="225" bestFit="1" customWidth="1"/>
    <col min="1290" max="1290" width="9.109375" style="225"/>
    <col min="1291" max="1291" width="11.6640625" style="225" customWidth="1"/>
    <col min="1292" max="1292" width="10.5546875" style="225" bestFit="1" customWidth="1"/>
    <col min="1293" max="1537" width="9.109375" style="225"/>
    <col min="1538" max="1538" width="9.5546875" style="225" customWidth="1"/>
    <col min="1539" max="1539" width="11.44140625" style="225" bestFit="1" customWidth="1"/>
    <col min="1540" max="1540" width="11.33203125" style="225" bestFit="1" customWidth="1"/>
    <col min="1541" max="1543" width="9.109375" style="225"/>
    <col min="1544" max="1545" width="14.88671875" style="225" bestFit="1" customWidth="1"/>
    <col min="1546" max="1546" width="9.109375" style="225"/>
    <col min="1547" max="1547" width="11.6640625" style="225" customWidth="1"/>
    <col min="1548" max="1548" width="10.5546875" style="225" bestFit="1" customWidth="1"/>
    <col min="1549" max="1793" width="9.109375" style="225"/>
    <col min="1794" max="1794" width="9.5546875" style="225" customWidth="1"/>
    <col min="1795" max="1795" width="11.44140625" style="225" bestFit="1" customWidth="1"/>
    <col min="1796" max="1796" width="11.33203125" style="225" bestFit="1" customWidth="1"/>
    <col min="1797" max="1799" width="9.109375" style="225"/>
    <col min="1800" max="1801" width="14.88671875" style="225" bestFit="1" customWidth="1"/>
    <col min="1802" max="1802" width="9.109375" style="225"/>
    <col min="1803" max="1803" width="11.6640625" style="225" customWidth="1"/>
    <col min="1804" max="1804" width="10.5546875" style="225" bestFit="1" customWidth="1"/>
    <col min="1805" max="2049" width="9.109375" style="225"/>
    <col min="2050" max="2050" width="9.5546875" style="225" customWidth="1"/>
    <col min="2051" max="2051" width="11.44140625" style="225" bestFit="1" customWidth="1"/>
    <col min="2052" max="2052" width="11.33203125" style="225" bestFit="1" customWidth="1"/>
    <col min="2053" max="2055" width="9.109375" style="225"/>
    <col min="2056" max="2057" width="14.88671875" style="225" bestFit="1" customWidth="1"/>
    <col min="2058" max="2058" width="9.109375" style="225"/>
    <col min="2059" max="2059" width="11.6640625" style="225" customWidth="1"/>
    <col min="2060" max="2060" width="10.5546875" style="225" bestFit="1" customWidth="1"/>
    <col min="2061" max="2305" width="9.109375" style="225"/>
    <col min="2306" max="2306" width="9.5546875" style="225" customWidth="1"/>
    <col min="2307" max="2307" width="11.44140625" style="225" bestFit="1" customWidth="1"/>
    <col min="2308" max="2308" width="11.33203125" style="225" bestFit="1" customWidth="1"/>
    <col min="2309" max="2311" width="9.109375" style="225"/>
    <col min="2312" max="2313" width="14.88671875" style="225" bestFit="1" customWidth="1"/>
    <col min="2314" max="2314" width="9.109375" style="225"/>
    <col min="2315" max="2315" width="11.6640625" style="225" customWidth="1"/>
    <col min="2316" max="2316" width="10.5546875" style="225" bestFit="1" customWidth="1"/>
    <col min="2317" max="2561" width="9.109375" style="225"/>
    <col min="2562" max="2562" width="9.5546875" style="225" customWidth="1"/>
    <col min="2563" max="2563" width="11.44140625" style="225" bestFit="1" customWidth="1"/>
    <col min="2564" max="2564" width="11.33203125" style="225" bestFit="1" customWidth="1"/>
    <col min="2565" max="2567" width="9.109375" style="225"/>
    <col min="2568" max="2569" width="14.88671875" style="225" bestFit="1" customWidth="1"/>
    <col min="2570" max="2570" width="9.109375" style="225"/>
    <col min="2571" max="2571" width="11.6640625" style="225" customWidth="1"/>
    <col min="2572" max="2572" width="10.5546875" style="225" bestFit="1" customWidth="1"/>
    <col min="2573" max="2817" width="9.109375" style="225"/>
    <col min="2818" max="2818" width="9.5546875" style="225" customWidth="1"/>
    <col min="2819" max="2819" width="11.44140625" style="225" bestFit="1" customWidth="1"/>
    <col min="2820" max="2820" width="11.33203125" style="225" bestFit="1" customWidth="1"/>
    <col min="2821" max="2823" width="9.109375" style="225"/>
    <col min="2824" max="2825" width="14.88671875" style="225" bestFit="1" customWidth="1"/>
    <col min="2826" max="2826" width="9.109375" style="225"/>
    <col min="2827" max="2827" width="11.6640625" style="225" customWidth="1"/>
    <col min="2828" max="2828" width="10.5546875" style="225" bestFit="1" customWidth="1"/>
    <col min="2829" max="3073" width="9.109375" style="225"/>
    <col min="3074" max="3074" width="9.5546875" style="225" customWidth="1"/>
    <col min="3075" max="3075" width="11.44140625" style="225" bestFit="1" customWidth="1"/>
    <col min="3076" max="3076" width="11.33203125" style="225" bestFit="1" customWidth="1"/>
    <col min="3077" max="3079" width="9.109375" style="225"/>
    <col min="3080" max="3081" width="14.88671875" style="225" bestFit="1" customWidth="1"/>
    <col min="3082" max="3082" width="9.109375" style="225"/>
    <col min="3083" max="3083" width="11.6640625" style="225" customWidth="1"/>
    <col min="3084" max="3084" width="10.5546875" style="225" bestFit="1" customWidth="1"/>
    <col min="3085" max="3329" width="9.109375" style="225"/>
    <col min="3330" max="3330" width="9.5546875" style="225" customWidth="1"/>
    <col min="3331" max="3331" width="11.44140625" style="225" bestFit="1" customWidth="1"/>
    <col min="3332" max="3332" width="11.33203125" style="225" bestFit="1" customWidth="1"/>
    <col min="3333" max="3335" width="9.109375" style="225"/>
    <col min="3336" max="3337" width="14.88671875" style="225" bestFit="1" customWidth="1"/>
    <col min="3338" max="3338" width="9.109375" style="225"/>
    <col min="3339" max="3339" width="11.6640625" style="225" customWidth="1"/>
    <col min="3340" max="3340" width="10.5546875" style="225" bestFit="1" customWidth="1"/>
    <col min="3341" max="3585" width="9.109375" style="225"/>
    <col min="3586" max="3586" width="9.5546875" style="225" customWidth="1"/>
    <col min="3587" max="3587" width="11.44140625" style="225" bestFit="1" customWidth="1"/>
    <col min="3588" max="3588" width="11.33203125" style="225" bestFit="1" customWidth="1"/>
    <col min="3589" max="3591" width="9.109375" style="225"/>
    <col min="3592" max="3593" width="14.88671875" style="225" bestFit="1" customWidth="1"/>
    <col min="3594" max="3594" width="9.109375" style="225"/>
    <col min="3595" max="3595" width="11.6640625" style="225" customWidth="1"/>
    <col min="3596" max="3596" width="10.5546875" style="225" bestFit="1" customWidth="1"/>
    <col min="3597" max="3841" width="9.109375" style="225"/>
    <col min="3842" max="3842" width="9.5546875" style="225" customWidth="1"/>
    <col min="3843" max="3843" width="11.44140625" style="225" bestFit="1" customWidth="1"/>
    <col min="3844" max="3844" width="11.33203125" style="225" bestFit="1" customWidth="1"/>
    <col min="3845" max="3847" width="9.109375" style="225"/>
    <col min="3848" max="3849" width="14.88671875" style="225" bestFit="1" customWidth="1"/>
    <col min="3850" max="3850" width="9.109375" style="225"/>
    <col min="3851" max="3851" width="11.6640625" style="225" customWidth="1"/>
    <col min="3852" max="3852" width="10.5546875" style="225" bestFit="1" customWidth="1"/>
    <col min="3853" max="4097" width="9.109375" style="225"/>
    <col min="4098" max="4098" width="9.5546875" style="225" customWidth="1"/>
    <col min="4099" max="4099" width="11.44140625" style="225" bestFit="1" customWidth="1"/>
    <col min="4100" max="4100" width="11.33203125" style="225" bestFit="1" customWidth="1"/>
    <col min="4101" max="4103" width="9.109375" style="225"/>
    <col min="4104" max="4105" width="14.88671875" style="225" bestFit="1" customWidth="1"/>
    <col min="4106" max="4106" width="9.109375" style="225"/>
    <col min="4107" max="4107" width="11.6640625" style="225" customWidth="1"/>
    <col min="4108" max="4108" width="10.5546875" style="225" bestFit="1" customWidth="1"/>
    <col min="4109" max="4353" width="9.109375" style="225"/>
    <col min="4354" max="4354" width="9.5546875" style="225" customWidth="1"/>
    <col min="4355" max="4355" width="11.44140625" style="225" bestFit="1" customWidth="1"/>
    <col min="4356" max="4356" width="11.33203125" style="225" bestFit="1" customWidth="1"/>
    <col min="4357" max="4359" width="9.109375" style="225"/>
    <col min="4360" max="4361" width="14.88671875" style="225" bestFit="1" customWidth="1"/>
    <col min="4362" max="4362" width="9.109375" style="225"/>
    <col min="4363" max="4363" width="11.6640625" style="225" customWidth="1"/>
    <col min="4364" max="4364" width="10.5546875" style="225" bestFit="1" customWidth="1"/>
    <col min="4365" max="4609" width="9.109375" style="225"/>
    <col min="4610" max="4610" width="9.5546875" style="225" customWidth="1"/>
    <col min="4611" max="4611" width="11.44140625" style="225" bestFit="1" customWidth="1"/>
    <col min="4612" max="4612" width="11.33203125" style="225" bestFit="1" customWidth="1"/>
    <col min="4613" max="4615" width="9.109375" style="225"/>
    <col min="4616" max="4617" width="14.88671875" style="225" bestFit="1" customWidth="1"/>
    <col min="4618" max="4618" width="9.109375" style="225"/>
    <col min="4619" max="4619" width="11.6640625" style="225" customWidth="1"/>
    <col min="4620" max="4620" width="10.5546875" style="225" bestFit="1" customWidth="1"/>
    <col min="4621" max="4865" width="9.109375" style="225"/>
    <col min="4866" max="4866" width="9.5546875" style="225" customWidth="1"/>
    <col min="4867" max="4867" width="11.44140625" style="225" bestFit="1" customWidth="1"/>
    <col min="4868" max="4868" width="11.33203125" style="225" bestFit="1" customWidth="1"/>
    <col min="4869" max="4871" width="9.109375" style="225"/>
    <col min="4872" max="4873" width="14.88671875" style="225" bestFit="1" customWidth="1"/>
    <col min="4874" max="4874" width="9.109375" style="225"/>
    <col min="4875" max="4875" width="11.6640625" style="225" customWidth="1"/>
    <col min="4876" max="4876" width="10.5546875" style="225" bestFit="1" customWidth="1"/>
    <col min="4877" max="5121" width="9.109375" style="225"/>
    <col min="5122" max="5122" width="9.5546875" style="225" customWidth="1"/>
    <col min="5123" max="5123" width="11.44140625" style="225" bestFit="1" customWidth="1"/>
    <col min="5124" max="5124" width="11.33203125" style="225" bestFit="1" customWidth="1"/>
    <col min="5125" max="5127" width="9.109375" style="225"/>
    <col min="5128" max="5129" width="14.88671875" style="225" bestFit="1" customWidth="1"/>
    <col min="5130" max="5130" width="9.109375" style="225"/>
    <col min="5131" max="5131" width="11.6640625" style="225" customWidth="1"/>
    <col min="5132" max="5132" width="10.5546875" style="225" bestFit="1" customWidth="1"/>
    <col min="5133" max="5377" width="9.109375" style="225"/>
    <col min="5378" max="5378" width="9.5546875" style="225" customWidth="1"/>
    <col min="5379" max="5379" width="11.44140625" style="225" bestFit="1" customWidth="1"/>
    <col min="5380" max="5380" width="11.33203125" style="225" bestFit="1" customWidth="1"/>
    <col min="5381" max="5383" width="9.109375" style="225"/>
    <col min="5384" max="5385" width="14.88671875" style="225" bestFit="1" customWidth="1"/>
    <col min="5386" max="5386" width="9.109375" style="225"/>
    <col min="5387" max="5387" width="11.6640625" style="225" customWidth="1"/>
    <col min="5388" max="5388" width="10.5546875" style="225" bestFit="1" customWidth="1"/>
    <col min="5389" max="5633" width="9.109375" style="225"/>
    <col min="5634" max="5634" width="9.5546875" style="225" customWidth="1"/>
    <col min="5635" max="5635" width="11.44140625" style="225" bestFit="1" customWidth="1"/>
    <col min="5636" max="5636" width="11.33203125" style="225" bestFit="1" customWidth="1"/>
    <col min="5637" max="5639" width="9.109375" style="225"/>
    <col min="5640" max="5641" width="14.88671875" style="225" bestFit="1" customWidth="1"/>
    <col min="5642" max="5642" width="9.109375" style="225"/>
    <col min="5643" max="5643" width="11.6640625" style="225" customWidth="1"/>
    <col min="5644" max="5644" width="10.5546875" style="225" bestFit="1" customWidth="1"/>
    <col min="5645" max="5889" width="9.109375" style="225"/>
    <col min="5890" max="5890" width="9.5546875" style="225" customWidth="1"/>
    <col min="5891" max="5891" width="11.44140625" style="225" bestFit="1" customWidth="1"/>
    <col min="5892" max="5892" width="11.33203125" style="225" bestFit="1" customWidth="1"/>
    <col min="5893" max="5895" width="9.109375" style="225"/>
    <col min="5896" max="5897" width="14.88671875" style="225" bestFit="1" customWidth="1"/>
    <col min="5898" max="5898" width="9.109375" style="225"/>
    <col min="5899" max="5899" width="11.6640625" style="225" customWidth="1"/>
    <col min="5900" max="5900" width="10.5546875" style="225" bestFit="1" customWidth="1"/>
    <col min="5901" max="6145" width="9.109375" style="225"/>
    <col min="6146" max="6146" width="9.5546875" style="225" customWidth="1"/>
    <col min="6147" max="6147" width="11.44140625" style="225" bestFit="1" customWidth="1"/>
    <col min="6148" max="6148" width="11.33203125" style="225" bestFit="1" customWidth="1"/>
    <col min="6149" max="6151" width="9.109375" style="225"/>
    <col min="6152" max="6153" width="14.88671875" style="225" bestFit="1" customWidth="1"/>
    <col min="6154" max="6154" width="9.109375" style="225"/>
    <col min="6155" max="6155" width="11.6640625" style="225" customWidth="1"/>
    <col min="6156" max="6156" width="10.5546875" style="225" bestFit="1" customWidth="1"/>
    <col min="6157" max="6401" width="9.109375" style="225"/>
    <col min="6402" max="6402" width="9.5546875" style="225" customWidth="1"/>
    <col min="6403" max="6403" width="11.44140625" style="225" bestFit="1" customWidth="1"/>
    <col min="6404" max="6404" width="11.33203125" style="225" bestFit="1" customWidth="1"/>
    <col min="6405" max="6407" width="9.109375" style="225"/>
    <col min="6408" max="6409" width="14.88671875" style="225" bestFit="1" customWidth="1"/>
    <col min="6410" max="6410" width="9.109375" style="225"/>
    <col min="6411" max="6411" width="11.6640625" style="225" customWidth="1"/>
    <col min="6412" max="6412" width="10.5546875" style="225" bestFit="1" customWidth="1"/>
    <col min="6413" max="6657" width="9.109375" style="225"/>
    <col min="6658" max="6658" width="9.5546875" style="225" customWidth="1"/>
    <col min="6659" max="6659" width="11.44140625" style="225" bestFit="1" customWidth="1"/>
    <col min="6660" max="6660" width="11.33203125" style="225" bestFit="1" customWidth="1"/>
    <col min="6661" max="6663" width="9.109375" style="225"/>
    <col min="6664" max="6665" width="14.88671875" style="225" bestFit="1" customWidth="1"/>
    <col min="6666" max="6666" width="9.109375" style="225"/>
    <col min="6667" max="6667" width="11.6640625" style="225" customWidth="1"/>
    <col min="6668" max="6668" width="10.5546875" style="225" bestFit="1" customWidth="1"/>
    <col min="6669" max="6913" width="9.109375" style="225"/>
    <col min="6914" max="6914" width="9.5546875" style="225" customWidth="1"/>
    <col min="6915" max="6915" width="11.44140625" style="225" bestFit="1" customWidth="1"/>
    <col min="6916" max="6916" width="11.33203125" style="225" bestFit="1" customWidth="1"/>
    <col min="6917" max="6919" width="9.109375" style="225"/>
    <col min="6920" max="6921" width="14.88671875" style="225" bestFit="1" customWidth="1"/>
    <col min="6922" max="6922" width="9.109375" style="225"/>
    <col min="6923" max="6923" width="11.6640625" style="225" customWidth="1"/>
    <col min="6924" max="6924" width="10.5546875" style="225" bestFit="1" customWidth="1"/>
    <col min="6925" max="7169" width="9.109375" style="225"/>
    <col min="7170" max="7170" width="9.5546875" style="225" customWidth="1"/>
    <col min="7171" max="7171" width="11.44140625" style="225" bestFit="1" customWidth="1"/>
    <col min="7172" max="7172" width="11.33203125" style="225" bestFit="1" customWidth="1"/>
    <col min="7173" max="7175" width="9.109375" style="225"/>
    <col min="7176" max="7177" width="14.88671875" style="225" bestFit="1" customWidth="1"/>
    <col min="7178" max="7178" width="9.109375" style="225"/>
    <col min="7179" max="7179" width="11.6640625" style="225" customWidth="1"/>
    <col min="7180" max="7180" width="10.5546875" style="225" bestFit="1" customWidth="1"/>
    <col min="7181" max="7425" width="9.109375" style="225"/>
    <col min="7426" max="7426" width="9.5546875" style="225" customWidth="1"/>
    <col min="7427" max="7427" width="11.44140625" style="225" bestFit="1" customWidth="1"/>
    <col min="7428" max="7428" width="11.33203125" style="225" bestFit="1" customWidth="1"/>
    <col min="7429" max="7431" width="9.109375" style="225"/>
    <col min="7432" max="7433" width="14.88671875" style="225" bestFit="1" customWidth="1"/>
    <col min="7434" max="7434" width="9.109375" style="225"/>
    <col min="7435" max="7435" width="11.6640625" style="225" customWidth="1"/>
    <col min="7436" max="7436" width="10.5546875" style="225" bestFit="1" customWidth="1"/>
    <col min="7437" max="7681" width="9.109375" style="225"/>
    <col min="7682" max="7682" width="9.5546875" style="225" customWidth="1"/>
    <col min="7683" max="7683" width="11.44140625" style="225" bestFit="1" customWidth="1"/>
    <col min="7684" max="7684" width="11.33203125" style="225" bestFit="1" customWidth="1"/>
    <col min="7685" max="7687" width="9.109375" style="225"/>
    <col min="7688" max="7689" width="14.88671875" style="225" bestFit="1" customWidth="1"/>
    <col min="7690" max="7690" width="9.109375" style="225"/>
    <col min="7691" max="7691" width="11.6640625" style="225" customWidth="1"/>
    <col min="7692" max="7692" width="10.5546875" style="225" bestFit="1" customWidth="1"/>
    <col min="7693" max="7937" width="9.109375" style="225"/>
    <col min="7938" max="7938" width="9.5546875" style="225" customWidth="1"/>
    <col min="7939" max="7939" width="11.44140625" style="225" bestFit="1" customWidth="1"/>
    <col min="7940" max="7940" width="11.33203125" style="225" bestFit="1" customWidth="1"/>
    <col min="7941" max="7943" width="9.109375" style="225"/>
    <col min="7944" max="7945" width="14.88671875" style="225" bestFit="1" customWidth="1"/>
    <col min="7946" max="7946" width="9.109375" style="225"/>
    <col min="7947" max="7947" width="11.6640625" style="225" customWidth="1"/>
    <col min="7948" max="7948" width="10.5546875" style="225" bestFit="1" customWidth="1"/>
    <col min="7949" max="8193" width="9.109375" style="225"/>
    <col min="8194" max="8194" width="9.5546875" style="225" customWidth="1"/>
    <col min="8195" max="8195" width="11.44140625" style="225" bestFit="1" customWidth="1"/>
    <col min="8196" max="8196" width="11.33203125" style="225" bestFit="1" customWidth="1"/>
    <col min="8197" max="8199" width="9.109375" style="225"/>
    <col min="8200" max="8201" width="14.88671875" style="225" bestFit="1" customWidth="1"/>
    <col min="8202" max="8202" width="9.109375" style="225"/>
    <col min="8203" max="8203" width="11.6640625" style="225" customWidth="1"/>
    <col min="8204" max="8204" width="10.5546875" style="225" bestFit="1" customWidth="1"/>
    <col min="8205" max="8449" width="9.109375" style="225"/>
    <col min="8450" max="8450" width="9.5546875" style="225" customWidth="1"/>
    <col min="8451" max="8451" width="11.44140625" style="225" bestFit="1" customWidth="1"/>
    <col min="8452" max="8452" width="11.33203125" style="225" bestFit="1" customWidth="1"/>
    <col min="8453" max="8455" width="9.109375" style="225"/>
    <col min="8456" max="8457" width="14.88671875" style="225" bestFit="1" customWidth="1"/>
    <col min="8458" max="8458" width="9.109375" style="225"/>
    <col min="8459" max="8459" width="11.6640625" style="225" customWidth="1"/>
    <col min="8460" max="8460" width="10.5546875" style="225" bestFit="1" customWidth="1"/>
    <col min="8461" max="8705" width="9.109375" style="225"/>
    <col min="8706" max="8706" width="9.5546875" style="225" customWidth="1"/>
    <col min="8707" max="8707" width="11.44140625" style="225" bestFit="1" customWidth="1"/>
    <col min="8708" max="8708" width="11.33203125" style="225" bestFit="1" customWidth="1"/>
    <col min="8709" max="8711" width="9.109375" style="225"/>
    <col min="8712" max="8713" width="14.88671875" style="225" bestFit="1" customWidth="1"/>
    <col min="8714" max="8714" width="9.109375" style="225"/>
    <col min="8715" max="8715" width="11.6640625" style="225" customWidth="1"/>
    <col min="8716" max="8716" width="10.5546875" style="225" bestFit="1" customWidth="1"/>
    <col min="8717" max="8961" width="9.109375" style="225"/>
    <col min="8962" max="8962" width="9.5546875" style="225" customWidth="1"/>
    <col min="8963" max="8963" width="11.44140625" style="225" bestFit="1" customWidth="1"/>
    <col min="8964" max="8964" width="11.33203125" style="225" bestFit="1" customWidth="1"/>
    <col min="8965" max="8967" width="9.109375" style="225"/>
    <col min="8968" max="8969" width="14.88671875" style="225" bestFit="1" customWidth="1"/>
    <col min="8970" max="8970" width="9.109375" style="225"/>
    <col min="8971" max="8971" width="11.6640625" style="225" customWidth="1"/>
    <col min="8972" max="8972" width="10.5546875" style="225" bestFit="1" customWidth="1"/>
    <col min="8973" max="9217" width="9.109375" style="225"/>
    <col min="9218" max="9218" width="9.5546875" style="225" customWidth="1"/>
    <col min="9219" max="9219" width="11.44140625" style="225" bestFit="1" customWidth="1"/>
    <col min="9220" max="9220" width="11.33203125" style="225" bestFit="1" customWidth="1"/>
    <col min="9221" max="9223" width="9.109375" style="225"/>
    <col min="9224" max="9225" width="14.88671875" style="225" bestFit="1" customWidth="1"/>
    <col min="9226" max="9226" width="9.109375" style="225"/>
    <col min="9227" max="9227" width="11.6640625" style="225" customWidth="1"/>
    <col min="9228" max="9228" width="10.5546875" style="225" bestFit="1" customWidth="1"/>
    <col min="9229" max="9473" width="9.109375" style="225"/>
    <col min="9474" max="9474" width="9.5546875" style="225" customWidth="1"/>
    <col min="9475" max="9475" width="11.44140625" style="225" bestFit="1" customWidth="1"/>
    <col min="9476" max="9476" width="11.33203125" style="225" bestFit="1" customWidth="1"/>
    <col min="9477" max="9479" width="9.109375" style="225"/>
    <col min="9480" max="9481" width="14.88671875" style="225" bestFit="1" customWidth="1"/>
    <col min="9482" max="9482" width="9.109375" style="225"/>
    <col min="9483" max="9483" width="11.6640625" style="225" customWidth="1"/>
    <col min="9484" max="9484" width="10.5546875" style="225" bestFit="1" customWidth="1"/>
    <col min="9485" max="9729" width="9.109375" style="225"/>
    <col min="9730" max="9730" width="9.5546875" style="225" customWidth="1"/>
    <col min="9731" max="9731" width="11.44140625" style="225" bestFit="1" customWidth="1"/>
    <col min="9732" max="9732" width="11.33203125" style="225" bestFit="1" customWidth="1"/>
    <col min="9733" max="9735" width="9.109375" style="225"/>
    <col min="9736" max="9737" width="14.88671875" style="225" bestFit="1" customWidth="1"/>
    <col min="9738" max="9738" width="9.109375" style="225"/>
    <col min="9739" max="9739" width="11.6640625" style="225" customWidth="1"/>
    <col min="9740" max="9740" width="10.5546875" style="225" bestFit="1" customWidth="1"/>
    <col min="9741" max="9985" width="9.109375" style="225"/>
    <col min="9986" max="9986" width="9.5546875" style="225" customWidth="1"/>
    <col min="9987" max="9987" width="11.44140625" style="225" bestFit="1" customWidth="1"/>
    <col min="9988" max="9988" width="11.33203125" style="225" bestFit="1" customWidth="1"/>
    <col min="9989" max="9991" width="9.109375" style="225"/>
    <col min="9992" max="9993" width="14.88671875" style="225" bestFit="1" customWidth="1"/>
    <col min="9994" max="9994" width="9.109375" style="225"/>
    <col min="9995" max="9995" width="11.6640625" style="225" customWidth="1"/>
    <col min="9996" max="9996" width="10.5546875" style="225" bestFit="1" customWidth="1"/>
    <col min="9997" max="10241" width="9.109375" style="225"/>
    <col min="10242" max="10242" width="9.5546875" style="225" customWidth="1"/>
    <col min="10243" max="10243" width="11.44140625" style="225" bestFit="1" customWidth="1"/>
    <col min="10244" max="10244" width="11.33203125" style="225" bestFit="1" customWidth="1"/>
    <col min="10245" max="10247" width="9.109375" style="225"/>
    <col min="10248" max="10249" width="14.88671875" style="225" bestFit="1" customWidth="1"/>
    <col min="10250" max="10250" width="9.109375" style="225"/>
    <col min="10251" max="10251" width="11.6640625" style="225" customWidth="1"/>
    <col min="10252" max="10252" width="10.5546875" style="225" bestFit="1" customWidth="1"/>
    <col min="10253" max="10497" width="9.109375" style="225"/>
    <col min="10498" max="10498" width="9.5546875" style="225" customWidth="1"/>
    <col min="10499" max="10499" width="11.44140625" style="225" bestFit="1" customWidth="1"/>
    <col min="10500" max="10500" width="11.33203125" style="225" bestFit="1" customWidth="1"/>
    <col min="10501" max="10503" width="9.109375" style="225"/>
    <col min="10504" max="10505" width="14.88671875" style="225" bestFit="1" customWidth="1"/>
    <col min="10506" max="10506" width="9.109375" style="225"/>
    <col min="10507" max="10507" width="11.6640625" style="225" customWidth="1"/>
    <col min="10508" max="10508" width="10.5546875" style="225" bestFit="1" customWidth="1"/>
    <col min="10509" max="10753" width="9.109375" style="225"/>
    <col min="10754" max="10754" width="9.5546875" style="225" customWidth="1"/>
    <col min="10755" max="10755" width="11.44140625" style="225" bestFit="1" customWidth="1"/>
    <col min="10756" max="10756" width="11.33203125" style="225" bestFit="1" customWidth="1"/>
    <col min="10757" max="10759" width="9.109375" style="225"/>
    <col min="10760" max="10761" width="14.88671875" style="225" bestFit="1" customWidth="1"/>
    <col min="10762" max="10762" width="9.109375" style="225"/>
    <col min="10763" max="10763" width="11.6640625" style="225" customWidth="1"/>
    <col min="10764" max="10764" width="10.5546875" style="225" bestFit="1" customWidth="1"/>
    <col min="10765" max="11009" width="9.109375" style="225"/>
    <col min="11010" max="11010" width="9.5546875" style="225" customWidth="1"/>
    <col min="11011" max="11011" width="11.44140625" style="225" bestFit="1" customWidth="1"/>
    <col min="11012" max="11012" width="11.33203125" style="225" bestFit="1" customWidth="1"/>
    <col min="11013" max="11015" width="9.109375" style="225"/>
    <col min="11016" max="11017" width="14.88671875" style="225" bestFit="1" customWidth="1"/>
    <col min="11018" max="11018" width="9.109375" style="225"/>
    <col min="11019" max="11019" width="11.6640625" style="225" customWidth="1"/>
    <col min="11020" max="11020" width="10.5546875" style="225" bestFit="1" customWidth="1"/>
    <col min="11021" max="11265" width="9.109375" style="225"/>
    <col min="11266" max="11266" width="9.5546875" style="225" customWidth="1"/>
    <col min="11267" max="11267" width="11.44140625" style="225" bestFit="1" customWidth="1"/>
    <col min="11268" max="11268" width="11.33203125" style="225" bestFit="1" customWidth="1"/>
    <col min="11269" max="11271" width="9.109375" style="225"/>
    <col min="11272" max="11273" width="14.88671875" style="225" bestFit="1" customWidth="1"/>
    <col min="11274" max="11274" width="9.109375" style="225"/>
    <col min="11275" max="11275" width="11.6640625" style="225" customWidth="1"/>
    <col min="11276" max="11276" width="10.5546875" style="225" bestFit="1" customWidth="1"/>
    <col min="11277" max="11521" width="9.109375" style="225"/>
    <col min="11522" max="11522" width="9.5546875" style="225" customWidth="1"/>
    <col min="11523" max="11523" width="11.44140625" style="225" bestFit="1" customWidth="1"/>
    <col min="11524" max="11524" width="11.33203125" style="225" bestFit="1" customWidth="1"/>
    <col min="11525" max="11527" width="9.109375" style="225"/>
    <col min="11528" max="11529" width="14.88671875" style="225" bestFit="1" customWidth="1"/>
    <col min="11530" max="11530" width="9.109375" style="225"/>
    <col min="11531" max="11531" width="11.6640625" style="225" customWidth="1"/>
    <col min="11532" max="11532" width="10.5546875" style="225" bestFit="1" customWidth="1"/>
    <col min="11533" max="11777" width="9.109375" style="225"/>
    <col min="11778" max="11778" width="9.5546875" style="225" customWidth="1"/>
    <col min="11779" max="11779" width="11.44140625" style="225" bestFit="1" customWidth="1"/>
    <col min="11780" max="11780" width="11.33203125" style="225" bestFit="1" customWidth="1"/>
    <col min="11781" max="11783" width="9.109375" style="225"/>
    <col min="11784" max="11785" width="14.88671875" style="225" bestFit="1" customWidth="1"/>
    <col min="11786" max="11786" width="9.109375" style="225"/>
    <col min="11787" max="11787" width="11.6640625" style="225" customWidth="1"/>
    <col min="11788" max="11788" width="10.5546875" style="225" bestFit="1" customWidth="1"/>
    <col min="11789" max="12033" width="9.109375" style="225"/>
    <col min="12034" max="12034" width="9.5546875" style="225" customWidth="1"/>
    <col min="12035" max="12035" width="11.44140625" style="225" bestFit="1" customWidth="1"/>
    <col min="12036" max="12036" width="11.33203125" style="225" bestFit="1" customWidth="1"/>
    <col min="12037" max="12039" width="9.109375" style="225"/>
    <col min="12040" max="12041" width="14.88671875" style="225" bestFit="1" customWidth="1"/>
    <col min="12042" max="12042" width="9.109375" style="225"/>
    <col min="12043" max="12043" width="11.6640625" style="225" customWidth="1"/>
    <col min="12044" max="12044" width="10.5546875" style="225" bestFit="1" customWidth="1"/>
    <col min="12045" max="12289" width="9.109375" style="225"/>
    <col min="12290" max="12290" width="9.5546875" style="225" customWidth="1"/>
    <col min="12291" max="12291" width="11.44140625" style="225" bestFit="1" customWidth="1"/>
    <col min="12292" max="12292" width="11.33203125" style="225" bestFit="1" customWidth="1"/>
    <col min="12293" max="12295" width="9.109375" style="225"/>
    <col min="12296" max="12297" width="14.88671875" style="225" bestFit="1" customWidth="1"/>
    <col min="12298" max="12298" width="9.109375" style="225"/>
    <col min="12299" max="12299" width="11.6640625" style="225" customWidth="1"/>
    <col min="12300" max="12300" width="10.5546875" style="225" bestFit="1" customWidth="1"/>
    <col min="12301" max="12545" width="9.109375" style="225"/>
    <col min="12546" max="12546" width="9.5546875" style="225" customWidth="1"/>
    <col min="12547" max="12547" width="11.44140625" style="225" bestFit="1" customWidth="1"/>
    <col min="12548" max="12548" width="11.33203125" style="225" bestFit="1" customWidth="1"/>
    <col min="12549" max="12551" width="9.109375" style="225"/>
    <col min="12552" max="12553" width="14.88671875" style="225" bestFit="1" customWidth="1"/>
    <col min="12554" max="12554" width="9.109375" style="225"/>
    <col min="12555" max="12555" width="11.6640625" style="225" customWidth="1"/>
    <col min="12556" max="12556" width="10.5546875" style="225" bestFit="1" customWidth="1"/>
    <col min="12557" max="12801" width="9.109375" style="225"/>
    <col min="12802" max="12802" width="9.5546875" style="225" customWidth="1"/>
    <col min="12803" max="12803" width="11.44140625" style="225" bestFit="1" customWidth="1"/>
    <col min="12804" max="12804" width="11.33203125" style="225" bestFit="1" customWidth="1"/>
    <col min="12805" max="12807" width="9.109375" style="225"/>
    <col min="12808" max="12809" width="14.88671875" style="225" bestFit="1" customWidth="1"/>
    <col min="12810" max="12810" width="9.109375" style="225"/>
    <col min="12811" max="12811" width="11.6640625" style="225" customWidth="1"/>
    <col min="12812" max="12812" width="10.5546875" style="225" bestFit="1" customWidth="1"/>
    <col min="12813" max="13057" width="9.109375" style="225"/>
    <col min="13058" max="13058" width="9.5546875" style="225" customWidth="1"/>
    <col min="13059" max="13059" width="11.44140625" style="225" bestFit="1" customWidth="1"/>
    <col min="13060" max="13060" width="11.33203125" style="225" bestFit="1" customWidth="1"/>
    <col min="13061" max="13063" width="9.109375" style="225"/>
    <col min="13064" max="13065" width="14.88671875" style="225" bestFit="1" customWidth="1"/>
    <col min="13066" max="13066" width="9.109375" style="225"/>
    <col min="13067" max="13067" width="11.6640625" style="225" customWidth="1"/>
    <col min="13068" max="13068" width="10.5546875" style="225" bestFit="1" customWidth="1"/>
    <col min="13069" max="13313" width="9.109375" style="225"/>
    <col min="13314" max="13314" width="9.5546875" style="225" customWidth="1"/>
    <col min="13315" max="13315" width="11.44140625" style="225" bestFit="1" customWidth="1"/>
    <col min="13316" max="13316" width="11.33203125" style="225" bestFit="1" customWidth="1"/>
    <col min="13317" max="13319" width="9.109375" style="225"/>
    <col min="13320" max="13321" width="14.88671875" style="225" bestFit="1" customWidth="1"/>
    <col min="13322" max="13322" width="9.109375" style="225"/>
    <col min="13323" max="13323" width="11.6640625" style="225" customWidth="1"/>
    <col min="13324" max="13324" width="10.5546875" style="225" bestFit="1" customWidth="1"/>
    <col min="13325" max="13569" width="9.109375" style="225"/>
    <col min="13570" max="13570" width="9.5546875" style="225" customWidth="1"/>
    <col min="13571" max="13571" width="11.44140625" style="225" bestFit="1" customWidth="1"/>
    <col min="13572" max="13572" width="11.33203125" style="225" bestFit="1" customWidth="1"/>
    <col min="13573" max="13575" width="9.109375" style="225"/>
    <col min="13576" max="13577" width="14.88671875" style="225" bestFit="1" customWidth="1"/>
    <col min="13578" max="13578" width="9.109375" style="225"/>
    <col min="13579" max="13579" width="11.6640625" style="225" customWidth="1"/>
    <col min="13580" max="13580" width="10.5546875" style="225" bestFit="1" customWidth="1"/>
    <col min="13581" max="13825" width="9.109375" style="225"/>
    <col min="13826" max="13826" width="9.5546875" style="225" customWidth="1"/>
    <col min="13827" max="13827" width="11.44140625" style="225" bestFit="1" customWidth="1"/>
    <col min="13828" max="13828" width="11.33203125" style="225" bestFit="1" customWidth="1"/>
    <col min="13829" max="13831" width="9.109375" style="225"/>
    <col min="13832" max="13833" width="14.88671875" style="225" bestFit="1" customWidth="1"/>
    <col min="13834" max="13834" width="9.109375" style="225"/>
    <col min="13835" max="13835" width="11.6640625" style="225" customWidth="1"/>
    <col min="13836" max="13836" width="10.5546875" style="225" bestFit="1" customWidth="1"/>
    <col min="13837" max="14081" width="9.109375" style="225"/>
    <col min="14082" max="14082" width="9.5546875" style="225" customWidth="1"/>
    <col min="14083" max="14083" width="11.44140625" style="225" bestFit="1" customWidth="1"/>
    <col min="14084" max="14084" width="11.33203125" style="225" bestFit="1" customWidth="1"/>
    <col min="14085" max="14087" width="9.109375" style="225"/>
    <col min="14088" max="14089" width="14.88671875" style="225" bestFit="1" customWidth="1"/>
    <col min="14090" max="14090" width="9.109375" style="225"/>
    <col min="14091" max="14091" width="11.6640625" style="225" customWidth="1"/>
    <col min="14092" max="14092" width="10.5546875" style="225" bestFit="1" customWidth="1"/>
    <col min="14093" max="14337" width="9.109375" style="225"/>
    <col min="14338" max="14338" width="9.5546875" style="225" customWidth="1"/>
    <col min="14339" max="14339" width="11.44140625" style="225" bestFit="1" customWidth="1"/>
    <col min="14340" max="14340" width="11.33203125" style="225" bestFit="1" customWidth="1"/>
    <col min="14341" max="14343" width="9.109375" style="225"/>
    <col min="14344" max="14345" width="14.88671875" style="225" bestFit="1" customWidth="1"/>
    <col min="14346" max="14346" width="9.109375" style="225"/>
    <col min="14347" max="14347" width="11.6640625" style="225" customWidth="1"/>
    <col min="14348" max="14348" width="10.5546875" style="225" bestFit="1" customWidth="1"/>
    <col min="14349" max="14593" width="9.109375" style="225"/>
    <col min="14594" max="14594" width="9.5546875" style="225" customWidth="1"/>
    <col min="14595" max="14595" width="11.44140625" style="225" bestFit="1" customWidth="1"/>
    <col min="14596" max="14596" width="11.33203125" style="225" bestFit="1" customWidth="1"/>
    <col min="14597" max="14599" width="9.109375" style="225"/>
    <col min="14600" max="14601" width="14.88671875" style="225" bestFit="1" customWidth="1"/>
    <col min="14602" max="14602" width="9.109375" style="225"/>
    <col min="14603" max="14603" width="11.6640625" style="225" customWidth="1"/>
    <col min="14604" max="14604" width="10.5546875" style="225" bestFit="1" customWidth="1"/>
    <col min="14605" max="14849" width="9.109375" style="225"/>
    <col min="14850" max="14850" width="9.5546875" style="225" customWidth="1"/>
    <col min="14851" max="14851" width="11.44140625" style="225" bestFit="1" customWidth="1"/>
    <col min="14852" max="14852" width="11.33203125" style="225" bestFit="1" customWidth="1"/>
    <col min="14853" max="14855" width="9.109375" style="225"/>
    <col min="14856" max="14857" width="14.88671875" style="225" bestFit="1" customWidth="1"/>
    <col min="14858" max="14858" width="9.109375" style="225"/>
    <col min="14859" max="14859" width="11.6640625" style="225" customWidth="1"/>
    <col min="14860" max="14860" width="10.5546875" style="225" bestFit="1" customWidth="1"/>
    <col min="14861" max="15105" width="9.109375" style="225"/>
    <col min="15106" max="15106" width="9.5546875" style="225" customWidth="1"/>
    <col min="15107" max="15107" width="11.44140625" style="225" bestFit="1" customWidth="1"/>
    <col min="15108" max="15108" width="11.33203125" style="225" bestFit="1" customWidth="1"/>
    <col min="15109" max="15111" width="9.109375" style="225"/>
    <col min="15112" max="15113" width="14.88671875" style="225" bestFit="1" customWidth="1"/>
    <col min="15114" max="15114" width="9.109375" style="225"/>
    <col min="15115" max="15115" width="11.6640625" style="225" customWidth="1"/>
    <col min="15116" max="15116" width="10.5546875" style="225" bestFit="1" customWidth="1"/>
    <col min="15117" max="15361" width="9.109375" style="225"/>
    <col min="15362" max="15362" width="9.5546875" style="225" customWidth="1"/>
    <col min="15363" max="15363" width="11.44140625" style="225" bestFit="1" customWidth="1"/>
    <col min="15364" max="15364" width="11.33203125" style="225" bestFit="1" customWidth="1"/>
    <col min="15365" max="15367" width="9.109375" style="225"/>
    <col min="15368" max="15369" width="14.88671875" style="225" bestFit="1" customWidth="1"/>
    <col min="15370" max="15370" width="9.109375" style="225"/>
    <col min="15371" max="15371" width="11.6640625" style="225" customWidth="1"/>
    <col min="15372" max="15372" width="10.5546875" style="225" bestFit="1" customWidth="1"/>
    <col min="15373" max="15617" width="9.109375" style="225"/>
    <col min="15618" max="15618" width="9.5546875" style="225" customWidth="1"/>
    <col min="15619" max="15619" width="11.44140625" style="225" bestFit="1" customWidth="1"/>
    <col min="15620" max="15620" width="11.33203125" style="225" bestFit="1" customWidth="1"/>
    <col min="15621" max="15623" width="9.109375" style="225"/>
    <col min="15624" max="15625" width="14.88671875" style="225" bestFit="1" customWidth="1"/>
    <col min="15626" max="15626" width="9.109375" style="225"/>
    <col min="15627" max="15627" width="11.6640625" style="225" customWidth="1"/>
    <col min="15628" max="15628" width="10.5546875" style="225" bestFit="1" customWidth="1"/>
    <col min="15629" max="15873" width="9.109375" style="225"/>
    <col min="15874" max="15874" width="9.5546875" style="225" customWidth="1"/>
    <col min="15875" max="15875" width="11.44140625" style="225" bestFit="1" customWidth="1"/>
    <col min="15876" max="15876" width="11.33203125" style="225" bestFit="1" customWidth="1"/>
    <col min="15877" max="15879" width="9.109375" style="225"/>
    <col min="15880" max="15881" width="14.88671875" style="225" bestFit="1" customWidth="1"/>
    <col min="15882" max="15882" width="9.109375" style="225"/>
    <col min="15883" max="15883" width="11.6640625" style="225" customWidth="1"/>
    <col min="15884" max="15884" width="10.5546875" style="225" bestFit="1" customWidth="1"/>
    <col min="15885" max="16129" width="9.109375" style="225"/>
    <col min="16130" max="16130" width="9.5546875" style="225" customWidth="1"/>
    <col min="16131" max="16131" width="11.44140625" style="225" bestFit="1" customWidth="1"/>
    <col min="16132" max="16132" width="11.33203125" style="225" bestFit="1" customWidth="1"/>
    <col min="16133" max="16135" width="9.109375" style="225"/>
    <col min="16136" max="16137" width="14.88671875" style="225" bestFit="1" customWidth="1"/>
    <col min="16138" max="16138" width="9.109375" style="225"/>
    <col min="16139" max="16139" width="11.6640625" style="225" customWidth="1"/>
    <col min="16140" max="16140" width="10.5546875" style="225" bestFit="1" customWidth="1"/>
    <col min="16141" max="16384" width="9.109375" style="225"/>
  </cols>
  <sheetData>
    <row r="1" spans="2:17" s="193" customFormat="1" ht="13.2" x14ac:dyDescent="0.25"/>
    <row r="2" spans="2:17" s="193" customFormat="1" ht="13.2" x14ac:dyDescent="0.25"/>
    <row r="3" spans="2:17" s="193" customFormat="1" ht="13.2" x14ac:dyDescent="0.25"/>
    <row r="4" spans="2:17" s="193" customFormat="1" ht="13.2" x14ac:dyDescent="0.25"/>
    <row r="5" spans="2:17" s="193" customFormat="1" ht="13.2" x14ac:dyDescent="0.25"/>
    <row r="6" spans="2:17" s="193" customFormat="1" ht="13.2" x14ac:dyDescent="0.25"/>
    <row r="7" spans="2:17" s="193" customFormat="1" ht="13.2" x14ac:dyDescent="0.25"/>
    <row r="8" spans="2:17" s="1" customFormat="1" ht="13.2" x14ac:dyDescent="0.25"/>
    <row r="9" spans="2:17" s="194" customFormat="1" ht="13.8" thickBot="1" x14ac:dyDescent="0.3"/>
    <row r="10" spans="2:17" s="194" customFormat="1" ht="13.8" thickBot="1" x14ac:dyDescent="0.3">
      <c r="B10" s="195" t="s">
        <v>14</v>
      </c>
      <c r="C10" s="196" t="s">
        <v>5</v>
      </c>
      <c r="D10" s="197" t="s">
        <v>7</v>
      </c>
      <c r="E10" s="198" t="s">
        <v>87</v>
      </c>
      <c r="K10" s="199" t="s">
        <v>88</v>
      </c>
      <c r="L10" s="200"/>
      <c r="M10" s="201"/>
    </row>
    <row r="11" spans="2:17" s="194" customFormat="1" ht="13.8" thickBot="1" x14ac:dyDescent="0.3">
      <c r="B11" s="202">
        <f ca="1">1%+RAND()*5%</f>
        <v>5.7605319787914576E-2</v>
      </c>
      <c r="C11" s="203">
        <f t="shared" ref="C11:C42" ca="1" si="0">B11/(1-RecRate)</f>
        <v>9.6008866313190958E-2</v>
      </c>
      <c r="D11" s="204">
        <f t="shared" ref="D11:D42" ca="1" si="1">(1-RecRate)*C11/(C11+IntRate)*(1-EXP(-(IntRate+C11)*Maturity))</f>
        <v>0.20441244219503854</v>
      </c>
      <c r="E11" s="205">
        <f ca="1">(1-EXP(-(IntRate+C11)*Maturity))/(C11+IntRate)</f>
        <v>3.5484993911608091</v>
      </c>
      <c r="H11" s="206" t="s">
        <v>11</v>
      </c>
      <c r="I11" s="207">
        <v>0.4</v>
      </c>
      <c r="K11" s="195" t="s">
        <v>86</v>
      </c>
      <c r="L11" s="197" t="s">
        <v>15</v>
      </c>
      <c r="M11" s="198" t="s">
        <v>87</v>
      </c>
      <c r="P11" s="208">
        <v>501.86772862879809</v>
      </c>
      <c r="Q11" s="208">
        <v>283.45466086914212</v>
      </c>
    </row>
    <row r="12" spans="2:17" s="194" customFormat="1" ht="13.2" x14ac:dyDescent="0.25">
      <c r="B12" s="202">
        <f t="shared" ref="B12:B75" ca="1" si="2">1%+RAND()*5%</f>
        <v>3.9282118433339321E-2</v>
      </c>
      <c r="C12" s="203">
        <f t="shared" ca="1" si="0"/>
        <v>6.5470197388898865E-2</v>
      </c>
      <c r="D12" s="204">
        <f t="shared" ca="1" si="1"/>
        <v>0.14921412851720106</v>
      </c>
      <c r="E12" s="205">
        <f t="shared" ref="E12:E42" ca="1" si="3">(1-EXP(-(IntRate+C12)*Maturity))/(C12+IntRate)</f>
        <v>3.7985254988325883</v>
      </c>
      <c r="H12" s="209" t="s">
        <v>10</v>
      </c>
      <c r="I12" s="210">
        <v>0.05</v>
      </c>
      <c r="K12" s="211">
        <f ca="1">AvSpread</f>
        <v>3.481412688029064E-2</v>
      </c>
      <c r="L12" s="212">
        <f t="shared" ref="L12:L17" ca="1" si="4">K12/(1-RecRate)</f>
        <v>5.8023544800484404E-2</v>
      </c>
      <c r="M12" s="213">
        <f t="shared" ref="M12:M17" ca="1" si="5">K12*(1-EXP(-(IntRate+L12)*Maturity))/(L12+IntRate)*125</f>
        <v>16.811894502461474</v>
      </c>
      <c r="P12" s="208">
        <v>211.60565204438203</v>
      </c>
      <c r="Q12" s="208">
        <v>208.82693732871141</v>
      </c>
    </row>
    <row r="13" spans="2:17" s="194" customFormat="1" ht="13.2" x14ac:dyDescent="0.25">
      <c r="B13" s="202">
        <f t="shared" ca="1" si="2"/>
        <v>4.1608880814468487E-2</v>
      </c>
      <c r="C13" s="203">
        <f t="shared" ca="1" si="0"/>
        <v>6.9348134690780813E-2</v>
      </c>
      <c r="D13" s="204">
        <f t="shared" ca="1" si="1"/>
        <v>0.15667520345632813</v>
      </c>
      <c r="E13" s="205">
        <f t="shared" ca="1" si="3"/>
        <v>3.7654270047525067</v>
      </c>
      <c r="H13" s="209" t="s">
        <v>85</v>
      </c>
      <c r="I13" s="214">
        <v>5</v>
      </c>
      <c r="K13" s="211">
        <f ca="1">K12*$K$22/M12</f>
        <v>3.4103212724394961E-2</v>
      </c>
      <c r="L13" s="212">
        <f t="shared" ca="1" si="4"/>
        <v>5.6838687873991607E-2</v>
      </c>
      <c r="M13" s="213">
        <f t="shared" ca="1" si="5"/>
        <v>16.513086830424626</v>
      </c>
      <c r="P13" s="208">
        <v>13.360481646226978</v>
      </c>
      <c r="Q13" s="208">
        <v>228.70013203162142</v>
      </c>
    </row>
    <row r="14" spans="2:17" s="194" customFormat="1" ht="13.2" x14ac:dyDescent="0.25">
      <c r="B14" s="202">
        <f t="shared" ca="1" si="2"/>
        <v>1.8988739651739948E-2</v>
      </c>
      <c r="C14" s="203">
        <f t="shared" ca="1" si="0"/>
        <v>3.1647899419566583E-2</v>
      </c>
      <c r="D14" s="204">
        <f t="shared" ca="1" si="1"/>
        <v>7.7952435854489063E-2</v>
      </c>
      <c r="E14" s="205">
        <f t="shared" ca="1" si="3"/>
        <v>4.1051927239070993</v>
      </c>
      <c r="H14" s="209" t="s">
        <v>89</v>
      </c>
      <c r="I14" s="215">
        <f ca="1">AVERAGE(B11:B135)</f>
        <v>3.481412688029064E-2</v>
      </c>
      <c r="K14" s="211">
        <f ca="1">K13*$K$22/M13</f>
        <v>3.4011318771484604E-2</v>
      </c>
      <c r="L14" s="212">
        <f t="shared" ca="1" si="4"/>
        <v>5.6685531285807673E-2</v>
      </c>
      <c r="M14" s="213">
        <f t="shared" ca="1" si="5"/>
        <v>16.474339265498894</v>
      </c>
      <c r="P14" s="208">
        <v>8.9678109067842975</v>
      </c>
      <c r="Q14" s="208">
        <v>82.160586293180955</v>
      </c>
    </row>
    <row r="15" spans="2:17" s="194" customFormat="1" ht="13.2" x14ac:dyDescent="0.25">
      <c r="B15" s="202">
        <f t="shared" ca="1" si="2"/>
        <v>2.492826843794502E-2</v>
      </c>
      <c r="C15" s="203">
        <f t="shared" ca="1" si="0"/>
        <v>4.15471140632417E-2</v>
      </c>
      <c r="D15" s="204">
        <f t="shared" ca="1" si="1"/>
        <v>0.1000117271151668</v>
      </c>
      <c r="E15" s="205">
        <f t="shared" ca="1" si="3"/>
        <v>4.0119805097626484</v>
      </c>
      <c r="H15" s="209" t="s">
        <v>90</v>
      </c>
      <c r="I15" s="215">
        <f ca="1">K17</f>
        <v>3.3997721054123221E-2</v>
      </c>
      <c r="K15" s="211">
        <f ca="1">K14*$K$22/M14</f>
        <v>3.3999451337236551E-2</v>
      </c>
      <c r="L15" s="212">
        <f t="shared" ca="1" si="4"/>
        <v>5.6665752228727585E-2</v>
      </c>
      <c r="M15" s="213">
        <f t="shared" ca="1" si="5"/>
        <v>16.4693332392124</v>
      </c>
      <c r="P15" s="208">
        <v>230.6196790140371</v>
      </c>
      <c r="Q15" s="208">
        <v>180.22203779528931</v>
      </c>
    </row>
    <row r="16" spans="2:17" s="194" customFormat="1" ht="13.8" thickBot="1" x14ac:dyDescent="0.3">
      <c r="B16" s="202">
        <f t="shared" ca="1" si="2"/>
        <v>3.1899578036430329E-2</v>
      </c>
      <c r="C16" s="203">
        <f t="shared" ca="1" si="0"/>
        <v>5.3165963394050553E-2</v>
      </c>
      <c r="D16" s="204">
        <f t="shared" ca="1" si="1"/>
        <v>0.12460864546389742</v>
      </c>
      <c r="E16" s="205">
        <f t="shared" ca="1" si="3"/>
        <v>3.9062788016064158</v>
      </c>
      <c r="H16" s="209" t="s">
        <v>5</v>
      </c>
      <c r="I16" s="215">
        <f ca="1">I15/(1-RecRate)</f>
        <v>5.6662868423538702E-2</v>
      </c>
      <c r="K16" s="211">
        <f ca="1">K15*$K$22/M15</f>
        <v>3.3997918927111084E-2</v>
      </c>
      <c r="L16" s="212">
        <f t="shared" ca="1" si="4"/>
        <v>5.6663198211851812E-2</v>
      </c>
      <c r="M16" s="213">
        <f t="shared" ca="1" si="5"/>
        <v>16.468686790019611</v>
      </c>
      <c r="P16" s="208">
        <v>6.0215144081213881</v>
      </c>
      <c r="Q16" s="208">
        <v>100.65518594712084</v>
      </c>
    </row>
    <row r="17" spans="2:17" s="194" customFormat="1" ht="13.8" thickBot="1" x14ac:dyDescent="0.3">
      <c r="B17" s="202">
        <f t="shared" ca="1" si="2"/>
        <v>2.7479245012269983E-2</v>
      </c>
      <c r="C17" s="203">
        <f t="shared" ca="1" si="0"/>
        <v>4.5798741687116638E-2</v>
      </c>
      <c r="D17" s="204">
        <f t="shared" ca="1" si="1"/>
        <v>0.10917080018752871</v>
      </c>
      <c r="E17" s="205">
        <f t="shared" ca="1" si="3"/>
        <v>3.9728456927685594</v>
      </c>
      <c r="H17" s="216" t="s">
        <v>91</v>
      </c>
      <c r="I17" s="217">
        <f ca="1">(I14-I15)*10000</f>
        <v>8.1640582616741835</v>
      </c>
      <c r="K17" s="218">
        <f ca="1">K16*$K$22/M16</f>
        <v>3.3997721054123221E-2</v>
      </c>
      <c r="L17" s="219">
        <f t="shared" ca="1" si="4"/>
        <v>5.6662868423538702E-2</v>
      </c>
      <c r="M17" s="220">
        <f t="shared" ca="1" si="5"/>
        <v>16.468603316470695</v>
      </c>
      <c r="P17" s="208">
        <v>183.53020655667297</v>
      </c>
      <c r="Q17" s="208">
        <v>248.82670487687554</v>
      </c>
    </row>
    <row r="18" spans="2:17" s="194" customFormat="1" ht="13.2" x14ac:dyDescent="0.25">
      <c r="B18" s="202">
        <f t="shared" ca="1" si="2"/>
        <v>1.514287561401503E-2</v>
      </c>
      <c r="C18" s="203">
        <f t="shared" ca="1" si="0"/>
        <v>2.5238126023358384E-2</v>
      </c>
      <c r="D18" s="204">
        <f t="shared" ca="1" si="1"/>
        <v>6.310263103711912E-2</v>
      </c>
      <c r="E18" s="205">
        <f t="shared" ca="1" si="3"/>
        <v>4.1671497967477453</v>
      </c>
      <c r="P18" s="208">
        <v>15.632113991442015</v>
      </c>
      <c r="Q18" s="208">
        <v>101.27821349559083</v>
      </c>
    </row>
    <row r="19" spans="2:17" s="194" customFormat="1" ht="13.8" thickBot="1" x14ac:dyDescent="0.3">
      <c r="B19" s="202">
        <f t="shared" ca="1" si="2"/>
        <v>5.0479149226730913E-2</v>
      </c>
      <c r="C19" s="203">
        <f t="shared" ca="1" si="0"/>
        <v>8.4131915377884864E-2</v>
      </c>
      <c r="D19" s="204">
        <f t="shared" ca="1" si="1"/>
        <v>0.18389036760493388</v>
      </c>
      <c r="E19" s="205">
        <f t="shared" ca="1" si="3"/>
        <v>3.6428975214890489</v>
      </c>
      <c r="P19" s="208">
        <v>261.02433531447639</v>
      </c>
      <c r="Q19" s="208">
        <v>58.661656951204044</v>
      </c>
    </row>
    <row r="20" spans="2:17" s="194" customFormat="1" ht="13.8" thickBot="1" x14ac:dyDescent="0.3">
      <c r="B20" s="202">
        <f t="shared" ca="1" si="2"/>
        <v>4.2508351586314337E-2</v>
      </c>
      <c r="C20" s="203">
        <f t="shared" ca="1" si="0"/>
        <v>7.0847252643857231E-2</v>
      </c>
      <c r="D20" s="204">
        <f t="shared" ca="1" si="1"/>
        <v>0.15952280471532504</v>
      </c>
      <c r="E20" s="205">
        <f t="shared" ca="1" si="3"/>
        <v>3.7527403148393028</v>
      </c>
      <c r="H20" s="221" t="s">
        <v>92</v>
      </c>
      <c r="I20" s="197"/>
      <c r="J20" s="197" t="s">
        <v>87</v>
      </c>
      <c r="K20" s="198" t="s">
        <v>93</v>
      </c>
      <c r="P20" s="208">
        <v>447.34853742100796</v>
      </c>
      <c r="Q20" s="208">
        <v>222.59154321627551</v>
      </c>
    </row>
    <row r="21" spans="2:17" s="194" customFormat="1" ht="13.2" x14ac:dyDescent="0.25">
      <c r="B21" s="202">
        <f t="shared" ca="1" si="2"/>
        <v>3.908258261322746E-2</v>
      </c>
      <c r="C21" s="203">
        <f t="shared" ca="1" si="0"/>
        <v>6.5137637688712433E-2</v>
      </c>
      <c r="D21" s="204">
        <f t="shared" ca="1" si="1"/>
        <v>0.14856786052287882</v>
      </c>
      <c r="E21" s="205">
        <f t="shared" ca="1" si="3"/>
        <v>3.8013828818107886</v>
      </c>
      <c r="H21" s="209" t="s">
        <v>94</v>
      </c>
      <c r="I21" s="204">
        <f ca="1">J21-K21</f>
        <v>0</v>
      </c>
      <c r="J21" s="204">
        <f ca="1">SUMPRODUCT(B11:B135,E11:E135)</f>
        <v>16.468590939792179</v>
      </c>
      <c r="K21" s="205">
        <f ca="1">SUM(D11:D135)</f>
        <v>16.468590939792179</v>
      </c>
      <c r="P21" s="208">
        <v>8.4447210047143493</v>
      </c>
      <c r="Q21" s="208">
        <v>146.0181258988751</v>
      </c>
    </row>
    <row r="22" spans="2:17" s="194" customFormat="1" ht="13.8" thickBot="1" x14ac:dyDescent="0.3">
      <c r="B22" s="202">
        <f t="shared" ca="1" si="2"/>
        <v>5.5117651683545953E-2</v>
      </c>
      <c r="C22" s="203">
        <f t="shared" ca="1" si="0"/>
        <v>9.1862752805909928E-2</v>
      </c>
      <c r="D22" s="204">
        <f t="shared" ca="1" si="1"/>
        <v>0.19737933537669419</v>
      </c>
      <c r="E22" s="205">
        <f t="shared" ca="1" si="3"/>
        <v>3.5810548771187403</v>
      </c>
      <c r="H22" s="222" t="s">
        <v>95</v>
      </c>
      <c r="I22" s="223">
        <f ca="1">J22-K22</f>
        <v>1.2376678515835238E-5</v>
      </c>
      <c r="J22" s="223">
        <f ca="1">I15*(1-EXP(-(IntRate+I16)*Maturity))/(I16+IntRate)*125</f>
        <v>16.468603316470695</v>
      </c>
      <c r="K22" s="224">
        <f ca="1">SUM(D11:D135)</f>
        <v>16.468590939792179</v>
      </c>
      <c r="P22" s="208">
        <v>16.580180246646819</v>
      </c>
      <c r="Q22" s="208">
        <v>115.96117134250355</v>
      </c>
    </row>
    <row r="23" spans="2:17" s="194" customFormat="1" ht="13.2" x14ac:dyDescent="0.25">
      <c r="B23" s="202">
        <f t="shared" ca="1" si="2"/>
        <v>3.4539819889856681E-2</v>
      </c>
      <c r="C23" s="203">
        <f t="shared" ca="1" si="0"/>
        <v>5.7566366483094468E-2</v>
      </c>
      <c r="D23" s="204">
        <f t="shared" ca="1" si="1"/>
        <v>0.13357439148562245</v>
      </c>
      <c r="E23" s="205">
        <f t="shared" ca="1" si="3"/>
        <v>3.8672579044006326</v>
      </c>
      <c r="P23" s="208">
        <v>100.36201941732884</v>
      </c>
      <c r="Q23" s="208">
        <v>204.58905363918927</v>
      </c>
    </row>
    <row r="24" spans="2:17" s="194" customFormat="1" ht="13.2" x14ac:dyDescent="0.25">
      <c r="B24" s="202">
        <f t="shared" ca="1" si="2"/>
        <v>5.2906264966235649E-2</v>
      </c>
      <c r="C24" s="203">
        <f t="shared" ca="1" si="0"/>
        <v>8.8177108277059421E-2</v>
      </c>
      <c r="D24" s="204">
        <f t="shared" ca="1" si="1"/>
        <v>0.19101020180858749</v>
      </c>
      <c r="E24" s="205">
        <f t="shared" ca="1" si="3"/>
        <v>3.6103512869503955</v>
      </c>
      <c r="P24" s="208">
        <v>66.25268011055843</v>
      </c>
      <c r="Q24" s="208">
        <v>269.12254443338605</v>
      </c>
    </row>
    <row r="25" spans="2:17" s="194" customFormat="1" ht="13.2" x14ac:dyDescent="0.25">
      <c r="B25" s="202">
        <f t="shared" ca="1" si="2"/>
        <v>2.7941402550997987E-2</v>
      </c>
      <c r="C25" s="203">
        <f t="shared" ca="1" si="0"/>
        <v>4.6569004251663312E-2</v>
      </c>
      <c r="D25" s="204">
        <f t="shared" ca="1" si="1"/>
        <v>0.11081036177856131</v>
      </c>
      <c r="E25" s="205">
        <f t="shared" ca="1" si="3"/>
        <v>3.9658124382379469</v>
      </c>
      <c r="P25" s="208">
        <v>7.8913825574260335</v>
      </c>
      <c r="Q25" s="208">
        <v>55.971469711040768</v>
      </c>
    </row>
    <row r="26" spans="2:17" s="194" customFormat="1" ht="13.2" x14ac:dyDescent="0.25">
      <c r="B26" s="202">
        <f t="shared" ca="1" si="2"/>
        <v>2.2894550125686065E-2</v>
      </c>
      <c r="C26" s="203">
        <f t="shared" ca="1" si="0"/>
        <v>3.8157583542810111E-2</v>
      </c>
      <c r="D26" s="204">
        <f t="shared" ca="1" si="1"/>
        <v>9.2575577546880783E-2</v>
      </c>
      <c r="E26" s="205">
        <f t="shared" ca="1" si="3"/>
        <v>4.0435639503139891</v>
      </c>
      <c r="P26" s="208">
        <v>23.820623138861841</v>
      </c>
      <c r="Q26" s="208">
        <v>229.02182437921473</v>
      </c>
    </row>
    <row r="27" spans="2:17" s="194" customFormat="1" ht="13.2" x14ac:dyDescent="0.25">
      <c r="B27" s="202">
        <f t="shared" ca="1" si="2"/>
        <v>5.1862084176137684E-2</v>
      </c>
      <c r="C27" s="203">
        <f t="shared" ca="1" si="0"/>
        <v>8.643680696022947E-2</v>
      </c>
      <c r="D27" s="204">
        <f t="shared" ca="1" si="1"/>
        <v>0.18796388468522993</v>
      </c>
      <c r="E27" s="205">
        <f t="shared" ca="1" si="3"/>
        <v>3.6243025646029503</v>
      </c>
      <c r="P27" s="208">
        <v>7.0822926698796795</v>
      </c>
      <c r="Q27" s="208">
        <v>99.699828426500204</v>
      </c>
    </row>
    <row r="28" spans="2:17" s="194" customFormat="1" ht="13.2" x14ac:dyDescent="0.25">
      <c r="B28" s="202">
        <f t="shared" ca="1" si="2"/>
        <v>3.8839627718780891E-2</v>
      </c>
      <c r="C28" s="203">
        <f t="shared" ca="1" si="0"/>
        <v>6.473271286463482E-2</v>
      </c>
      <c r="D28" s="204">
        <f t="shared" ca="1" si="1"/>
        <v>0.14777958279466041</v>
      </c>
      <c r="E28" s="205">
        <f t="shared" ca="1" si="3"/>
        <v>3.8048660987345571</v>
      </c>
      <c r="P28" s="208">
        <v>61.103411618942161</v>
      </c>
      <c r="Q28" s="208">
        <v>89.121771603696587</v>
      </c>
    </row>
    <row r="29" spans="2:17" s="194" customFormat="1" ht="13.2" x14ac:dyDescent="0.25">
      <c r="B29" s="202">
        <f t="shared" ca="1" si="2"/>
        <v>1.7898759953187956E-2</v>
      </c>
      <c r="C29" s="203">
        <f t="shared" ca="1" si="0"/>
        <v>2.9831266588646595E-2</v>
      </c>
      <c r="D29" s="204">
        <f t="shared" ca="1" si="1"/>
        <v>7.378983332045029E-2</v>
      </c>
      <c r="E29" s="205">
        <f t="shared" ca="1" si="3"/>
        <v>4.1226226572923874</v>
      </c>
      <c r="P29" s="208">
        <v>162.168935618067</v>
      </c>
      <c r="Q29" s="208">
        <v>147.50593084352198</v>
      </c>
    </row>
    <row r="30" spans="2:17" s="194" customFormat="1" ht="13.2" x14ac:dyDescent="0.25">
      <c r="B30" s="202">
        <f t="shared" ca="1" si="2"/>
        <v>3.1570734687830053E-2</v>
      </c>
      <c r="C30" s="203">
        <f t="shared" ca="1" si="0"/>
        <v>5.2617891146383426E-2</v>
      </c>
      <c r="D30" s="204">
        <f t="shared" ca="1" si="1"/>
        <v>0.12347873975794624</v>
      </c>
      <c r="E30" s="205">
        <f t="shared" ca="1" si="3"/>
        <v>3.9111772652394134</v>
      </c>
      <c r="P30" s="208">
        <v>66.087737927317647</v>
      </c>
      <c r="Q30" s="208">
        <v>121.08107614436707</v>
      </c>
    </row>
    <row r="31" spans="2:17" s="194" customFormat="1" ht="13.2" x14ac:dyDescent="0.25">
      <c r="B31" s="202">
        <f t="shared" ca="1" si="2"/>
        <v>4.5297879853831664E-2</v>
      </c>
      <c r="C31" s="203">
        <f t="shared" ca="1" si="0"/>
        <v>7.5496466423052772E-2</v>
      </c>
      <c r="D31" s="204">
        <f t="shared" ca="1" si="1"/>
        <v>0.16822612680782428</v>
      </c>
      <c r="E31" s="205">
        <f t="shared" ca="1" si="3"/>
        <v>3.7137748466519969</v>
      </c>
      <c r="P31" s="208">
        <v>37.283781414935731</v>
      </c>
      <c r="Q31" s="208">
        <v>271.46058080405351</v>
      </c>
    </row>
    <row r="32" spans="2:17" s="194" customFormat="1" ht="13.2" x14ac:dyDescent="0.25">
      <c r="B32" s="202">
        <f t="shared" ca="1" si="2"/>
        <v>3.6129464498471563E-2</v>
      </c>
      <c r="C32" s="203">
        <f t="shared" ca="1" si="0"/>
        <v>6.0215774164119273E-2</v>
      </c>
      <c r="D32" s="204">
        <f t="shared" ca="1" si="1"/>
        <v>0.13888260312227127</v>
      </c>
      <c r="E32" s="205">
        <f t="shared" ca="1" si="3"/>
        <v>3.844026061558333</v>
      </c>
      <c r="P32" s="208">
        <v>151.26428912931931</v>
      </c>
      <c r="Q32" s="208">
        <v>249.65532965770399</v>
      </c>
    </row>
    <row r="33" spans="2:17" s="194" customFormat="1" ht="13.2" x14ac:dyDescent="0.25">
      <c r="B33" s="202">
        <f t="shared" ca="1" si="2"/>
        <v>1.0065622629368828E-2</v>
      </c>
      <c r="C33" s="203">
        <f t="shared" ca="1" si="0"/>
        <v>1.6776037715614714E-2</v>
      </c>
      <c r="D33" s="204">
        <f t="shared" ca="1" si="1"/>
        <v>4.278828120194323E-2</v>
      </c>
      <c r="E33" s="205">
        <f t="shared" ca="1" si="3"/>
        <v>4.2509323841625388</v>
      </c>
      <c r="P33" s="208">
        <v>28.134509381907016</v>
      </c>
      <c r="Q33" s="208">
        <v>248.80622957553467</v>
      </c>
    </row>
    <row r="34" spans="2:17" s="194" customFormat="1" ht="13.2" x14ac:dyDescent="0.25">
      <c r="B34" s="202">
        <f t="shared" ca="1" si="2"/>
        <v>2.1006837561945633E-2</v>
      </c>
      <c r="C34" s="203">
        <f t="shared" ca="1" si="0"/>
        <v>3.5011395936576054E-2</v>
      </c>
      <c r="D34" s="204">
        <f t="shared" ca="1" si="1"/>
        <v>8.5564815382557821E-2</v>
      </c>
      <c r="E34" s="205">
        <f t="shared" ca="1" si="3"/>
        <v>4.0731887953263586</v>
      </c>
      <c r="P34" s="208">
        <v>16.322769687953279</v>
      </c>
      <c r="Q34" s="208">
        <v>282.01119970204059</v>
      </c>
    </row>
    <row r="35" spans="2:17" s="194" customFormat="1" ht="13.2" x14ac:dyDescent="0.25">
      <c r="B35" s="202">
        <f t="shared" ca="1" si="2"/>
        <v>3.4786319646738201E-2</v>
      </c>
      <c r="C35" s="203">
        <f t="shared" ca="1" si="0"/>
        <v>5.7977199411230335E-2</v>
      </c>
      <c r="D35" s="204">
        <f t="shared" ca="1" si="1"/>
        <v>0.13440190691887444</v>
      </c>
      <c r="E35" s="205">
        <f t="shared" ca="1" si="3"/>
        <v>3.8636426124911103</v>
      </c>
      <c r="P35" s="208">
        <v>7.6925593412479376</v>
      </c>
      <c r="Q35" s="208">
        <v>245.92195417329773</v>
      </c>
    </row>
    <row r="36" spans="2:17" s="194" customFormat="1" ht="13.2" x14ac:dyDescent="0.25">
      <c r="B36" s="202">
        <f t="shared" ca="1" si="2"/>
        <v>2.0304257793554187E-2</v>
      </c>
      <c r="C36" s="203">
        <f t="shared" ca="1" si="0"/>
        <v>3.3840429655923647E-2</v>
      </c>
      <c r="D36" s="204">
        <f t="shared" ca="1" si="1"/>
        <v>8.2928505308078937E-2</v>
      </c>
      <c r="E36" s="205">
        <f t="shared" ca="1" si="3"/>
        <v>4.0842913910601313</v>
      </c>
      <c r="P36" s="208">
        <v>23.000107685362057</v>
      </c>
      <c r="Q36" s="208">
        <v>86.152666495536153</v>
      </c>
    </row>
    <row r="37" spans="2:17" s="194" customFormat="1" ht="13.2" x14ac:dyDescent="0.25">
      <c r="B37" s="202">
        <f t="shared" ca="1" si="2"/>
        <v>1.6233126194322541E-2</v>
      </c>
      <c r="C37" s="203">
        <f t="shared" ca="1" si="0"/>
        <v>2.7055210323870902E-2</v>
      </c>
      <c r="D37" s="204">
        <f t="shared" ca="1" si="1"/>
        <v>6.7358637105346675E-2</v>
      </c>
      <c r="E37" s="205">
        <f t="shared" ca="1" si="3"/>
        <v>4.1494556439107235</v>
      </c>
      <c r="P37" s="208">
        <v>56.528433368292319</v>
      </c>
      <c r="Q37" s="208">
        <v>213.58322372731288</v>
      </c>
    </row>
    <row r="38" spans="2:17" s="194" customFormat="1" ht="13.2" x14ac:dyDescent="0.25">
      <c r="B38" s="202">
        <f t="shared" ca="1" si="2"/>
        <v>5.0403418098650135E-2</v>
      </c>
      <c r="C38" s="203">
        <f t="shared" ca="1" si="0"/>
        <v>8.4005696831083568E-2</v>
      </c>
      <c r="D38" s="204">
        <f t="shared" ca="1" si="1"/>
        <v>0.18366600777994538</v>
      </c>
      <c r="E38" s="205">
        <f t="shared" ca="1" si="3"/>
        <v>3.64391969251911</v>
      </c>
      <c r="P38" s="208">
        <v>39.854335325237649</v>
      </c>
      <c r="Q38" s="208">
        <v>188.67700061170041</v>
      </c>
    </row>
    <row r="39" spans="2:17" s="194" customFormat="1" ht="13.2" x14ac:dyDescent="0.25">
      <c r="B39" s="202">
        <f t="shared" ca="1" si="2"/>
        <v>5.9569177826345521E-2</v>
      </c>
      <c r="C39" s="203">
        <f t="shared" ca="1" si="0"/>
        <v>9.928196304390921E-2</v>
      </c>
      <c r="D39" s="204">
        <f t="shared" ca="1" si="1"/>
        <v>0.20986786399349955</v>
      </c>
      <c r="E39" s="205">
        <f t="shared" ca="1" si="3"/>
        <v>3.5230948562912978</v>
      </c>
      <c r="P39" s="208">
        <v>713.41533359769403</v>
      </c>
      <c r="Q39" s="208">
        <v>11.536230270092563</v>
      </c>
    </row>
    <row r="40" spans="2:17" s="194" customFormat="1" ht="13.2" x14ac:dyDescent="0.25">
      <c r="B40" s="202">
        <f t="shared" ca="1" si="2"/>
        <v>5.8364632806322057E-2</v>
      </c>
      <c r="C40" s="203">
        <f t="shared" ca="1" si="0"/>
        <v>9.7274388010536769E-2</v>
      </c>
      <c r="D40" s="204">
        <f t="shared" ca="1" si="1"/>
        <v>0.20653178182158666</v>
      </c>
      <c r="E40" s="205">
        <f t="shared" ca="1" si="3"/>
        <v>3.5386461267895637</v>
      </c>
      <c r="P40" s="208">
        <v>8.236685275969192</v>
      </c>
      <c r="Q40" s="208">
        <v>47.220626313866362</v>
      </c>
    </row>
    <row r="41" spans="2:17" s="194" customFormat="1" ht="13.2" x14ac:dyDescent="0.25">
      <c r="B41" s="202">
        <f t="shared" ca="1" si="2"/>
        <v>2.8301523675592306E-2</v>
      </c>
      <c r="C41" s="203">
        <f t="shared" ca="1" si="0"/>
        <v>4.7169206125987177E-2</v>
      </c>
      <c r="D41" s="204">
        <f t="shared" ca="1" si="1"/>
        <v>0.11208376923807353</v>
      </c>
      <c r="E41" s="205">
        <f t="shared" ca="1" si="3"/>
        <v>3.9603439914698448</v>
      </c>
      <c r="P41" s="208">
        <v>61.041195444338534</v>
      </c>
      <c r="Q41" s="208">
        <v>41.39145725710982</v>
      </c>
    </row>
    <row r="42" spans="2:17" s="194" customFormat="1" ht="13.2" x14ac:dyDescent="0.25">
      <c r="B42" s="202">
        <f t="shared" ca="1" si="2"/>
        <v>4.0239071086311952E-2</v>
      </c>
      <c r="C42" s="203">
        <f t="shared" ca="1" si="0"/>
        <v>6.7065118477186589E-2</v>
      </c>
      <c r="D42" s="204">
        <f t="shared" ca="1" si="1"/>
        <v>0.15229939281744403</v>
      </c>
      <c r="E42" s="205">
        <f t="shared" ca="1" si="3"/>
        <v>3.7848635345176107</v>
      </c>
      <c r="P42" s="208">
        <v>43.164419785762142</v>
      </c>
      <c r="Q42" s="208">
        <v>56.263123474974996</v>
      </c>
    </row>
    <row r="43" spans="2:17" s="194" customFormat="1" ht="13.2" x14ac:dyDescent="0.25">
      <c r="B43" s="202">
        <f t="shared" ca="1" si="2"/>
        <v>4.4898988706773453E-2</v>
      </c>
      <c r="C43" s="203">
        <f t="shared" ref="C43:C74" ca="1" si="6">B43/(1-RecRate)</f>
        <v>7.4831647844622429E-2</v>
      </c>
      <c r="D43" s="204">
        <f t="shared" ref="D43:D74" ca="1" si="7">(1-RecRate)*C43/(C43+IntRate)*(1-EXP(-(IntRate+C43)*Maturity))</f>
        <v>0.16699333810132161</v>
      </c>
      <c r="E43" s="205">
        <f t="shared" ref="E43:E74" ca="1" si="8">(1-EXP(-(IntRate+C43)*Maturity))/(C43+IntRate)</f>
        <v>3.7193117910054183</v>
      </c>
      <c r="P43" s="208">
        <v>519.71735700890906</v>
      </c>
      <c r="Q43" s="208">
        <v>146.69684407223124</v>
      </c>
    </row>
    <row r="44" spans="2:17" s="194" customFormat="1" ht="13.2" x14ac:dyDescent="0.25">
      <c r="B44" s="202">
        <f t="shared" ca="1" si="2"/>
        <v>4.957435097621795E-2</v>
      </c>
      <c r="C44" s="203">
        <f t="shared" ca="1" si="6"/>
        <v>8.2623918293696585E-2</v>
      </c>
      <c r="D44" s="204">
        <f t="shared" ca="1" si="7"/>
        <v>0.18120101734212679</v>
      </c>
      <c r="E44" s="205">
        <f t="shared" ca="1" si="8"/>
        <v>3.6551364520950247</v>
      </c>
      <c r="P44" s="208">
        <v>186.86688116057667</v>
      </c>
      <c r="Q44" s="208">
        <v>262.58875119497276</v>
      </c>
    </row>
    <row r="45" spans="2:17" s="194" customFormat="1" ht="13.2" x14ac:dyDescent="0.25">
      <c r="B45" s="202">
        <f t="shared" ca="1" si="2"/>
        <v>1.418062354974501E-2</v>
      </c>
      <c r="C45" s="203">
        <f t="shared" ca="1" si="6"/>
        <v>2.3634372582908351E-2</v>
      </c>
      <c r="D45" s="204">
        <f t="shared" ca="1" si="7"/>
        <v>5.9315463969701852E-2</v>
      </c>
      <c r="E45" s="205">
        <f t="shared" ca="1" si="8"/>
        <v>4.1828530150050023</v>
      </c>
      <c r="P45" s="208">
        <v>329.48732783120369</v>
      </c>
      <c r="Q45" s="208">
        <v>108.33600574978402</v>
      </c>
    </row>
    <row r="46" spans="2:17" s="194" customFormat="1" ht="13.2" x14ac:dyDescent="0.25">
      <c r="B46" s="202">
        <f t="shared" ca="1" si="2"/>
        <v>4.6118974046225766E-2</v>
      </c>
      <c r="C46" s="203">
        <f t="shared" ca="1" si="6"/>
        <v>7.686495674370962E-2</v>
      </c>
      <c r="D46" s="204">
        <f t="shared" ca="1" si="7"/>
        <v>0.1707515271130734</v>
      </c>
      <c r="E46" s="205">
        <f t="shared" ca="1" si="8"/>
        <v>3.7024138252062251</v>
      </c>
      <c r="P46" s="208">
        <v>17.476131996009734</v>
      </c>
      <c r="Q46" s="208">
        <v>77.176268864118299</v>
      </c>
    </row>
    <row r="47" spans="2:17" s="194" customFormat="1" ht="13.2" x14ac:dyDescent="0.25">
      <c r="B47" s="202">
        <f t="shared" ca="1" si="2"/>
        <v>5.5853269389111192E-2</v>
      </c>
      <c r="C47" s="203">
        <f t="shared" ca="1" si="6"/>
        <v>9.3088782315185317E-2</v>
      </c>
      <c r="D47" s="204">
        <f t="shared" ca="1" si="7"/>
        <v>0.19947347666940407</v>
      </c>
      <c r="E47" s="205">
        <f t="shared" ca="1" si="8"/>
        <v>3.5713840720717451</v>
      </c>
      <c r="P47" s="208">
        <v>555.69243049388535</v>
      </c>
      <c r="Q47" s="208">
        <v>152.12848289160945</v>
      </c>
    </row>
    <row r="48" spans="2:17" s="194" customFormat="1" ht="13.2" x14ac:dyDescent="0.25">
      <c r="B48" s="202">
        <f t="shared" ca="1" si="2"/>
        <v>4.5369110233203024E-2</v>
      </c>
      <c r="C48" s="203">
        <f t="shared" ca="1" si="6"/>
        <v>7.5615183722005042E-2</v>
      </c>
      <c r="D48" s="204">
        <f t="shared" ca="1" si="7"/>
        <v>0.16844585763199807</v>
      </c>
      <c r="E48" s="205">
        <f t="shared" ca="1" si="8"/>
        <v>3.7127873296647178</v>
      </c>
      <c r="P48" s="208">
        <v>503.9698647357078</v>
      </c>
      <c r="Q48" s="208">
        <v>140.02095432032866</v>
      </c>
    </row>
    <row r="49" spans="2:17" s="194" customFormat="1" ht="13.2" x14ac:dyDescent="0.25">
      <c r="B49" s="202">
        <f t="shared" ca="1" si="2"/>
        <v>3.850973556879899E-2</v>
      </c>
      <c r="C49" s="203">
        <f t="shared" ca="1" si="6"/>
        <v>6.4182892614664991E-2</v>
      </c>
      <c r="D49" s="204">
        <f t="shared" ca="1" si="7"/>
        <v>0.14670679969734721</v>
      </c>
      <c r="E49" s="205">
        <f t="shared" ca="1" si="8"/>
        <v>3.8096028843213006</v>
      </c>
      <c r="P49" s="208">
        <v>6.0212306400272642</v>
      </c>
      <c r="Q49" s="208">
        <v>39.929017389245899</v>
      </c>
    </row>
    <row r="50" spans="2:17" s="194" customFormat="1" ht="13.2" x14ac:dyDescent="0.25">
      <c r="B50" s="202">
        <f t="shared" ca="1" si="2"/>
        <v>1.3619563200527627E-2</v>
      </c>
      <c r="C50" s="203">
        <f t="shared" ca="1" si="6"/>
        <v>2.2699272000879379E-2</v>
      </c>
      <c r="D50" s="204">
        <f t="shared" ca="1" si="7"/>
        <v>5.7093844750955788E-2</v>
      </c>
      <c r="E50" s="205">
        <f t="shared" ca="1" si="8"/>
        <v>4.1920466839012835</v>
      </c>
      <c r="P50" s="208">
        <v>124.99561347528194</v>
      </c>
      <c r="Q50" s="208">
        <v>185.84795723718921</v>
      </c>
    </row>
    <row r="51" spans="2:17" s="194" customFormat="1" ht="13.2" x14ac:dyDescent="0.25">
      <c r="B51" s="202">
        <f t="shared" ca="1" si="2"/>
        <v>4.5333314719985432E-2</v>
      </c>
      <c r="C51" s="203">
        <f t="shared" ca="1" si="6"/>
        <v>7.5555524533309062E-2</v>
      </c>
      <c r="D51" s="204">
        <f t="shared" ca="1" si="7"/>
        <v>0.16833545145039122</v>
      </c>
      <c r="E51" s="205">
        <f t="shared" ca="1" si="8"/>
        <v>3.7132835419197714</v>
      </c>
      <c r="P51" s="208">
        <v>298.82569019561282</v>
      </c>
      <c r="Q51" s="208">
        <v>200.00435351484285</v>
      </c>
    </row>
    <row r="52" spans="2:17" s="194" customFormat="1" ht="13.2" x14ac:dyDescent="0.25">
      <c r="B52" s="202">
        <f t="shared" ca="1" si="2"/>
        <v>4.2323063409957305E-2</v>
      </c>
      <c r="C52" s="203">
        <f t="shared" ca="1" si="6"/>
        <v>7.0538439016595511E-2</v>
      </c>
      <c r="D52" s="204">
        <f t="shared" ca="1" si="7"/>
        <v>0.15893786626425485</v>
      </c>
      <c r="E52" s="205">
        <f t="shared" ca="1" si="8"/>
        <v>3.7553488206825243</v>
      </c>
      <c r="P52" s="208">
        <v>8.8109642380774158</v>
      </c>
      <c r="Q52" s="208">
        <v>251.2079518760454</v>
      </c>
    </row>
    <row r="53" spans="2:17" s="194" customFormat="1" ht="13.2" x14ac:dyDescent="0.25">
      <c r="B53" s="202">
        <f t="shared" ca="1" si="2"/>
        <v>3.8330007605354703E-2</v>
      </c>
      <c r="C53" s="203">
        <f t="shared" ca="1" si="6"/>
        <v>6.3883346008924508E-2</v>
      </c>
      <c r="D53" s="204">
        <f t="shared" ca="1" si="7"/>
        <v>0.14612115667465289</v>
      </c>
      <c r="E53" s="205">
        <f t="shared" ca="1" si="8"/>
        <v>3.8121869992595503</v>
      </c>
      <c r="P53" s="208">
        <v>23.361754961208881</v>
      </c>
      <c r="Q53" s="208">
        <v>69.009892791960951</v>
      </c>
    </row>
    <row r="54" spans="2:17" s="194" customFormat="1" ht="13.2" x14ac:dyDescent="0.25">
      <c r="B54" s="202">
        <f t="shared" ca="1" si="2"/>
        <v>3.9777005838138257E-2</v>
      </c>
      <c r="C54" s="203">
        <f t="shared" ca="1" si="6"/>
        <v>6.6295009730230434E-2</v>
      </c>
      <c r="D54" s="204">
        <f t="shared" ca="1" si="7"/>
        <v>0.15081259285440826</v>
      </c>
      <c r="E54" s="205">
        <f t="shared" ca="1" si="8"/>
        <v>3.7914516107144718</v>
      </c>
      <c r="P54" s="208">
        <v>6.8762155385793626</v>
      </c>
      <c r="Q54" s="208">
        <v>50.373963764868044</v>
      </c>
    </row>
    <row r="55" spans="2:17" s="194" customFormat="1" ht="13.2" x14ac:dyDescent="0.25">
      <c r="B55" s="202">
        <f t="shared" ca="1" si="2"/>
        <v>4.2731121248111271E-2</v>
      </c>
      <c r="C55" s="203">
        <f t="shared" ca="1" si="6"/>
        <v>7.1218535413518788E-2</v>
      </c>
      <c r="D55" s="204">
        <f t="shared" ca="1" si="7"/>
        <v>0.16022493305575577</v>
      </c>
      <c r="E55" s="205">
        <f t="shared" ca="1" si="8"/>
        <v>3.7496075079667555</v>
      </c>
      <c r="P55" s="208">
        <v>79.764002502659736</v>
      </c>
      <c r="Q55" s="208">
        <v>121.50027831126305</v>
      </c>
    </row>
    <row r="56" spans="2:17" s="194" customFormat="1" ht="13.2" x14ac:dyDescent="0.25">
      <c r="B56" s="202">
        <f t="shared" ca="1" si="2"/>
        <v>3.8550960962640678E-2</v>
      </c>
      <c r="C56" s="203">
        <f t="shared" ca="1" si="6"/>
        <v>6.4251601604401132E-2</v>
      </c>
      <c r="D56" s="204">
        <f t="shared" ca="1" si="7"/>
        <v>0.14684101488184448</v>
      </c>
      <c r="E56" s="205">
        <f t="shared" ca="1" si="8"/>
        <v>3.8090104945541179</v>
      </c>
      <c r="P56" s="208">
        <v>7.2653005319959902</v>
      </c>
      <c r="Q56" s="208">
        <v>14.603292131508461</v>
      </c>
    </row>
    <row r="57" spans="2:17" s="194" customFormat="1" ht="13.2" x14ac:dyDescent="0.25">
      <c r="B57" s="202">
        <f t="shared" ca="1" si="2"/>
        <v>1.6558839345737961E-2</v>
      </c>
      <c r="C57" s="203">
        <f t="shared" ca="1" si="6"/>
        <v>2.7598065576229937E-2</v>
      </c>
      <c r="D57" s="204">
        <f t="shared" ca="1" si="7"/>
        <v>6.8622969522620106E-2</v>
      </c>
      <c r="E57" s="205">
        <f t="shared" ca="1" si="8"/>
        <v>4.1441895829663213</v>
      </c>
      <c r="P57" s="208">
        <v>296.43323271554243</v>
      </c>
      <c r="Q57" s="208">
        <v>91.38958792525473</v>
      </c>
    </row>
    <row r="58" spans="2:17" s="194" customFormat="1" ht="13.2" x14ac:dyDescent="0.25">
      <c r="B58" s="202">
        <f t="shared" ca="1" si="2"/>
        <v>2.6208541657974253E-2</v>
      </c>
      <c r="C58" s="203">
        <f t="shared" ca="1" si="6"/>
        <v>4.3680902763290425E-2</v>
      </c>
      <c r="D58" s="204">
        <f t="shared" ca="1" si="7"/>
        <v>0.10463165731432816</v>
      </c>
      <c r="E58" s="205">
        <f t="shared" ca="1" si="8"/>
        <v>3.9922731558202806</v>
      </c>
      <c r="P58" s="208">
        <v>159.50589332216259</v>
      </c>
      <c r="Q58" s="208">
        <v>76.517427803573312</v>
      </c>
    </row>
    <row r="59" spans="2:17" s="194" customFormat="1" ht="13.2" x14ac:dyDescent="0.25">
      <c r="B59" s="202">
        <f t="shared" ca="1" si="2"/>
        <v>5.5252416941363798E-2</v>
      </c>
      <c r="C59" s="203">
        <f t="shared" ca="1" si="6"/>
        <v>9.2087361568939666E-2</v>
      </c>
      <c r="D59" s="204">
        <f t="shared" ca="1" si="7"/>
        <v>0.19776389352942669</v>
      </c>
      <c r="E59" s="205">
        <f t="shared" ca="1" si="8"/>
        <v>3.5792804093855675</v>
      </c>
      <c r="P59" s="208">
        <v>33.744216827944484</v>
      </c>
      <c r="Q59" s="208">
        <v>274.86587452760028</v>
      </c>
    </row>
    <row r="60" spans="2:17" s="194" customFormat="1" ht="13.2" x14ac:dyDescent="0.25">
      <c r="B60" s="202">
        <f t="shared" ca="1" si="2"/>
        <v>5.9157147201994185E-2</v>
      </c>
      <c r="C60" s="203">
        <f t="shared" ca="1" si="6"/>
        <v>9.8595245336656978E-2</v>
      </c>
      <c r="D60" s="204">
        <f t="shared" ca="1" si="7"/>
        <v>0.20873028081501413</v>
      </c>
      <c r="E60" s="205">
        <f t="shared" ca="1" si="8"/>
        <v>3.5284034252411995</v>
      </c>
      <c r="P60" s="208">
        <v>25.835526699565293</v>
      </c>
      <c r="Q60" s="208">
        <v>85.40277989688181</v>
      </c>
    </row>
    <row r="61" spans="2:17" s="194" customFormat="1" ht="13.2" x14ac:dyDescent="0.25">
      <c r="B61" s="202">
        <f t="shared" ca="1" si="2"/>
        <v>2.9287886664772639E-2</v>
      </c>
      <c r="C61" s="203">
        <f t="shared" ca="1" si="6"/>
        <v>4.8813144441287731E-2</v>
      </c>
      <c r="D61" s="204">
        <f t="shared" ca="1" si="7"/>
        <v>0.11555300244623186</v>
      </c>
      <c r="E61" s="205">
        <f t="shared" ca="1" si="8"/>
        <v>3.9454196121708764</v>
      </c>
      <c r="P61" s="208">
        <v>28.767218480495366</v>
      </c>
      <c r="Q61" s="208">
        <v>138.08250279625909</v>
      </c>
    </row>
    <row r="62" spans="2:17" s="194" customFormat="1" ht="13.2" x14ac:dyDescent="0.25">
      <c r="B62" s="202">
        <f t="shared" ca="1" si="2"/>
        <v>2.6440654792148896E-2</v>
      </c>
      <c r="C62" s="203">
        <f t="shared" ca="1" si="6"/>
        <v>4.4067757986914827E-2</v>
      </c>
      <c r="D62" s="204">
        <f t="shared" ca="1" si="7"/>
        <v>0.10546422598818236</v>
      </c>
      <c r="E62" s="205">
        <f t="shared" ca="1" si="8"/>
        <v>3.9887146070035366</v>
      </c>
      <c r="P62" s="208">
        <v>228.33243777649295</v>
      </c>
      <c r="Q62" s="208">
        <v>71.645468924111015</v>
      </c>
    </row>
    <row r="63" spans="2:17" s="194" customFormat="1" ht="13.2" x14ac:dyDescent="0.25">
      <c r="B63" s="202">
        <f t="shared" ca="1" si="2"/>
        <v>2.5848274528678272E-2</v>
      </c>
      <c r="C63" s="203">
        <f t="shared" ca="1" si="6"/>
        <v>4.3080457547797123E-2</v>
      </c>
      <c r="D63" s="204">
        <f t="shared" ca="1" si="7"/>
        <v>0.10333636572144962</v>
      </c>
      <c r="E63" s="205">
        <f t="shared" ca="1" si="8"/>
        <v>3.9978051767749321</v>
      </c>
      <c r="P63" s="208">
        <v>66.010214774017172</v>
      </c>
      <c r="Q63" s="208">
        <v>73.418951824074526</v>
      </c>
    </row>
    <row r="64" spans="2:17" s="194" customFormat="1" ht="13.2" x14ac:dyDescent="0.25">
      <c r="B64" s="202">
        <f t="shared" ca="1" si="2"/>
        <v>3.7374714672504368E-2</v>
      </c>
      <c r="C64" s="203">
        <f t="shared" ca="1" si="6"/>
        <v>6.2291191120840618E-2</v>
      </c>
      <c r="D64" s="204">
        <f t="shared" ca="1" si="7"/>
        <v>0.14299428998490907</v>
      </c>
      <c r="E64" s="205">
        <f t="shared" ca="1" si="8"/>
        <v>3.8259633882932715</v>
      </c>
      <c r="P64" s="208">
        <v>7.1739687446388754</v>
      </c>
      <c r="Q64" s="208">
        <v>28.812491178194222</v>
      </c>
    </row>
    <row r="65" spans="2:17" s="194" customFormat="1" ht="13.2" x14ac:dyDescent="0.25">
      <c r="B65" s="202">
        <f t="shared" ca="1" si="2"/>
        <v>2.0849002085474258E-2</v>
      </c>
      <c r="C65" s="203">
        <f t="shared" ca="1" si="6"/>
        <v>3.4748336809123766E-2</v>
      </c>
      <c r="D65" s="204">
        <f t="shared" ca="1" si="7"/>
        <v>8.4973847721993262E-2</v>
      </c>
      <c r="E65" s="205">
        <f t="shared" ca="1" si="8"/>
        <v>4.0756793717813258</v>
      </c>
      <c r="P65" s="208">
        <v>53.269734827612936</v>
      </c>
      <c r="Q65" s="208">
        <v>264.65326662856893</v>
      </c>
    </row>
    <row r="66" spans="2:17" s="194" customFormat="1" ht="13.2" x14ac:dyDescent="0.25">
      <c r="B66" s="202">
        <f t="shared" ca="1" si="2"/>
        <v>2.561005506723029E-2</v>
      </c>
      <c r="C66" s="203">
        <f t="shared" ca="1" si="6"/>
        <v>4.2683425112050484E-2</v>
      </c>
      <c r="D66" s="204">
        <f t="shared" ca="1" si="7"/>
        <v>0.10247784036190712</v>
      </c>
      <c r="E66" s="205">
        <f t="shared" ca="1" si="8"/>
        <v>4.0014689579107587</v>
      </c>
      <c r="P66" s="208">
        <v>342.71509261425257</v>
      </c>
      <c r="Q66" s="208">
        <v>25.972714228475446</v>
      </c>
    </row>
    <row r="67" spans="2:17" s="194" customFormat="1" ht="13.2" x14ac:dyDescent="0.25">
      <c r="B67" s="202">
        <f t="shared" ca="1" si="2"/>
        <v>3.5321317132116108E-2</v>
      </c>
      <c r="C67" s="203">
        <f t="shared" ca="1" si="6"/>
        <v>5.8868861886860184E-2</v>
      </c>
      <c r="D67" s="204">
        <f t="shared" ca="1" si="7"/>
        <v>0.13619236854729841</v>
      </c>
      <c r="E67" s="205">
        <f t="shared" ca="1" si="8"/>
        <v>3.8558122857616972</v>
      </c>
      <c r="P67" s="208">
        <v>83.362249384925889</v>
      </c>
      <c r="Q67" s="208">
        <v>233.8609967967206</v>
      </c>
    </row>
    <row r="68" spans="2:17" s="194" customFormat="1" ht="13.2" x14ac:dyDescent="0.25">
      <c r="B68" s="202">
        <f t="shared" ca="1" si="2"/>
        <v>3.0524964942881948E-2</v>
      </c>
      <c r="C68" s="203">
        <f t="shared" ca="1" si="6"/>
        <v>5.0874941571469913E-2</v>
      </c>
      <c r="D68" s="204">
        <f t="shared" ca="1" si="7"/>
        <v>0.1198658011214862</v>
      </c>
      <c r="E68" s="205">
        <f t="shared" ca="1" si="8"/>
        <v>3.9268120813825029</v>
      </c>
      <c r="P68" s="208">
        <v>180.52697065788621</v>
      </c>
      <c r="Q68" s="208">
        <v>163.97704504816164</v>
      </c>
    </row>
    <row r="69" spans="2:17" s="194" customFormat="1" ht="13.2" x14ac:dyDescent="0.25">
      <c r="B69" s="202">
        <f t="shared" ca="1" si="2"/>
        <v>1.386417670734246E-2</v>
      </c>
      <c r="C69" s="203">
        <f t="shared" ca="1" si="6"/>
        <v>2.3106961178904099E-2</v>
      </c>
      <c r="D69" s="204">
        <f t="shared" ca="1" si="7"/>
        <v>5.806365694826237E-2</v>
      </c>
      <c r="E69" s="205">
        <f t="shared" ca="1" si="8"/>
        <v>4.1880349748796766</v>
      </c>
      <c r="P69" s="208">
        <v>79.064570285560222</v>
      </c>
      <c r="Q69" s="208">
        <v>208.52309393104105</v>
      </c>
    </row>
    <row r="70" spans="2:17" s="194" customFormat="1" ht="13.2" x14ac:dyDescent="0.25">
      <c r="B70" s="202">
        <f t="shared" ca="1" si="2"/>
        <v>5.0803214474857271E-2</v>
      </c>
      <c r="C70" s="203">
        <f t="shared" ca="1" si="6"/>
        <v>8.4672024124762116E-2</v>
      </c>
      <c r="D70" s="204">
        <f t="shared" ca="1" si="7"/>
        <v>0.18484892163767677</v>
      </c>
      <c r="E70" s="205">
        <f t="shared" ca="1" si="8"/>
        <v>3.6385280645806244</v>
      </c>
      <c r="P70" s="208">
        <v>298.69729585396885</v>
      </c>
      <c r="Q70" s="208">
        <v>287.47328365584593</v>
      </c>
    </row>
    <row r="71" spans="2:17" s="194" customFormat="1" ht="13.2" x14ac:dyDescent="0.25">
      <c r="B71" s="202">
        <f t="shared" ca="1" si="2"/>
        <v>4.8347438634317307E-2</v>
      </c>
      <c r="C71" s="203">
        <f t="shared" ca="1" si="6"/>
        <v>8.0579064390528851E-2</v>
      </c>
      <c r="D71" s="204">
        <f t="shared" ca="1" si="7"/>
        <v>0.17752335412200568</v>
      </c>
      <c r="E71" s="205">
        <f t="shared" ca="1" si="8"/>
        <v>3.6718254190202027</v>
      </c>
      <c r="P71" s="208">
        <v>8.5787357231587826</v>
      </c>
      <c r="Q71" s="208">
        <v>12.190829692828231</v>
      </c>
    </row>
    <row r="72" spans="2:17" s="194" customFormat="1" ht="13.2" x14ac:dyDescent="0.25">
      <c r="B72" s="202">
        <f t="shared" ca="1" si="2"/>
        <v>1.3813466296983748E-2</v>
      </c>
      <c r="C72" s="203">
        <f t="shared" ca="1" si="6"/>
        <v>2.3022443828306247E-2</v>
      </c>
      <c r="D72" s="204">
        <f t="shared" ca="1" si="7"/>
        <v>5.7862762096998255E-2</v>
      </c>
      <c r="E72" s="205">
        <f t="shared" ca="1" si="8"/>
        <v>4.1888662015002662</v>
      </c>
      <c r="P72" s="208">
        <v>5.7792069477266566</v>
      </c>
      <c r="Q72" s="208">
        <v>110.73126798500566</v>
      </c>
    </row>
    <row r="73" spans="2:17" s="194" customFormat="1" ht="13.2" x14ac:dyDescent="0.25">
      <c r="B73" s="202">
        <f t="shared" ca="1" si="2"/>
        <v>1.0464219289521468E-2</v>
      </c>
      <c r="C73" s="203">
        <f t="shared" ca="1" si="6"/>
        <v>1.7440365482535782E-2</v>
      </c>
      <c r="D73" s="204">
        <f t="shared" ca="1" si="7"/>
        <v>4.4412989370576181E-2</v>
      </c>
      <c r="E73" s="205">
        <f t="shared" ca="1" si="8"/>
        <v>4.2442716596210781</v>
      </c>
      <c r="P73" s="208">
        <v>188.7999723527719</v>
      </c>
      <c r="Q73" s="208">
        <v>80.303201428240186</v>
      </c>
    </row>
    <row r="74" spans="2:17" s="194" customFormat="1" ht="13.2" x14ac:dyDescent="0.25">
      <c r="B74" s="202">
        <f t="shared" ca="1" si="2"/>
        <v>3.4032725772650048E-2</v>
      </c>
      <c r="C74" s="203">
        <f t="shared" ca="1" si="6"/>
        <v>5.6721209621083415E-2</v>
      </c>
      <c r="D74" s="204">
        <f t="shared" ca="1" si="7"/>
        <v>0.13186694531351198</v>
      </c>
      <c r="E74" s="205">
        <f t="shared" ca="1" si="8"/>
        <v>3.8747100715478129</v>
      </c>
      <c r="P74" s="208">
        <v>187.2435806031352</v>
      </c>
      <c r="Q74" s="208">
        <v>235.44261877331252</v>
      </c>
    </row>
    <row r="75" spans="2:17" s="194" customFormat="1" ht="13.2" x14ac:dyDescent="0.25">
      <c r="B75" s="202">
        <f t="shared" ca="1" si="2"/>
        <v>2.2850362123066962E-2</v>
      </c>
      <c r="C75" s="203">
        <f t="shared" ref="C75:C106" ca="1" si="9">B75/(1-RecRate)</f>
        <v>3.8083936871778273E-2</v>
      </c>
      <c r="D75" s="204">
        <f t="shared" ref="D75:D106" ca="1" si="10">(1-RecRate)*C75/(C75+IntRate)*(1-EXP(-(IntRate+C75)*Maturity))</f>
        <v>9.2412668466737208E-2</v>
      </c>
      <c r="E75" s="205">
        <f t="shared" ref="E75:E106" ca="1" si="11">(1-EXP(-(IntRate+C75)*Maturity))/(C75+IntRate)</f>
        <v>4.0442540021476745</v>
      </c>
      <c r="P75" s="208">
        <v>120.83459119494692</v>
      </c>
      <c r="Q75" s="208">
        <v>110.10243227922869</v>
      </c>
    </row>
    <row r="76" spans="2:17" s="194" customFormat="1" ht="13.2" x14ac:dyDescent="0.25">
      <c r="B76" s="202">
        <f t="shared" ref="B76:B135" ca="1" si="12">1%+RAND()*5%</f>
        <v>1.815561294172072E-2</v>
      </c>
      <c r="C76" s="203">
        <f t="shared" ca="1" si="9"/>
        <v>3.0259354902867869E-2</v>
      </c>
      <c r="D76" s="204">
        <f t="shared" ca="1" si="10"/>
        <v>7.477400305629657E-2</v>
      </c>
      <c r="E76" s="205">
        <f t="shared" ca="1" si="11"/>
        <v>4.1185061223942219</v>
      </c>
      <c r="P76" s="208">
        <v>46.021608539284664</v>
      </c>
      <c r="Q76" s="208">
        <v>73.086032547975492</v>
      </c>
    </row>
    <row r="77" spans="2:17" s="194" customFormat="1" ht="13.2" x14ac:dyDescent="0.25">
      <c r="B77" s="202">
        <f t="shared" ca="1" si="12"/>
        <v>5.1775428947190276E-2</v>
      </c>
      <c r="C77" s="203">
        <f t="shared" ca="1" si="9"/>
        <v>8.6292381578650462E-2</v>
      </c>
      <c r="D77" s="204">
        <f t="shared" ca="1" si="10"/>
        <v>0.18770994272579</v>
      </c>
      <c r="E77" s="205">
        <f t="shared" ca="1" si="11"/>
        <v>3.6254637874125533</v>
      </c>
      <c r="P77" s="208">
        <v>18.167200807041436</v>
      </c>
      <c r="Q77" s="208">
        <v>250.85407215309959</v>
      </c>
    </row>
    <row r="78" spans="2:17" s="194" customFormat="1" ht="13.2" x14ac:dyDescent="0.25">
      <c r="B78" s="202">
        <f t="shared" ca="1" si="12"/>
        <v>2.2970978879280186E-2</v>
      </c>
      <c r="C78" s="203">
        <f t="shared" ca="1" si="9"/>
        <v>3.8284964798800315E-2</v>
      </c>
      <c r="D78" s="204">
        <f t="shared" ca="1" si="10"/>
        <v>9.2857214335263061E-2</v>
      </c>
      <c r="E78" s="205">
        <f t="shared" ca="1" si="11"/>
        <v>4.0423708028838172</v>
      </c>
      <c r="P78" s="208">
        <v>29.616267637543658</v>
      </c>
      <c r="Q78" s="208">
        <v>19.719444309127844</v>
      </c>
    </row>
    <row r="79" spans="2:17" s="194" customFormat="1" ht="13.2" x14ac:dyDescent="0.25">
      <c r="B79" s="202">
        <f t="shared" ca="1" si="12"/>
        <v>1.6656330267836198E-2</v>
      </c>
      <c r="C79" s="203">
        <f t="shared" ca="1" si="9"/>
        <v>2.7760550446393664E-2</v>
      </c>
      <c r="D79" s="204">
        <f t="shared" ca="1" si="10"/>
        <v>6.9000766298863467E-2</v>
      </c>
      <c r="E79" s="205">
        <f t="shared" ca="1" si="11"/>
        <v>4.142615161282297</v>
      </c>
      <c r="P79" s="208">
        <v>289.19228840638334</v>
      </c>
      <c r="Q79" s="208">
        <v>127.81660829341087</v>
      </c>
    </row>
    <row r="80" spans="2:17" s="194" customFormat="1" ht="13.2" x14ac:dyDescent="0.25">
      <c r="B80" s="202">
        <f t="shared" ca="1" si="12"/>
        <v>2.2406856283348285E-2</v>
      </c>
      <c r="C80" s="203">
        <f t="shared" ca="1" si="9"/>
        <v>3.7344760472247142E-2</v>
      </c>
      <c r="D80" s="204">
        <f t="shared" ca="1" si="10"/>
        <v>9.0774408501985732E-2</v>
      </c>
      <c r="E80" s="205">
        <f t="shared" ca="1" si="11"/>
        <v>4.0511889465478026</v>
      </c>
      <c r="P80" s="208">
        <v>99.982809131842941</v>
      </c>
      <c r="Q80" s="208">
        <v>41.885276960668683</v>
      </c>
    </row>
    <row r="81" spans="2:17" s="194" customFormat="1" ht="13.2" x14ac:dyDescent="0.25">
      <c r="B81" s="202">
        <f t="shared" ca="1" si="12"/>
        <v>2.3522264418662668E-2</v>
      </c>
      <c r="C81" s="203">
        <f t="shared" ca="1" si="9"/>
        <v>3.9203774031104449E-2</v>
      </c>
      <c r="D81" s="204">
        <f t="shared" ca="1" si="10"/>
        <v>9.4883615660188145E-2</v>
      </c>
      <c r="E81" s="205">
        <f t="shared" ca="1" si="11"/>
        <v>4.0337789751613826</v>
      </c>
      <c r="P81" s="208">
        <v>5.5849898548107566</v>
      </c>
      <c r="Q81" s="208">
        <v>115.99062822756832</v>
      </c>
    </row>
    <row r="82" spans="2:17" s="194" customFormat="1" ht="13.2" x14ac:dyDescent="0.25">
      <c r="B82" s="202">
        <f t="shared" ca="1" si="12"/>
        <v>3.838723137031242E-2</v>
      </c>
      <c r="C82" s="203">
        <f t="shared" ca="1" si="9"/>
        <v>6.3978718950520708E-2</v>
      </c>
      <c r="D82" s="204">
        <f t="shared" ca="1" si="10"/>
        <v>0.1463077107111227</v>
      </c>
      <c r="E82" s="205">
        <f t="shared" ca="1" si="11"/>
        <v>3.8113639741227305</v>
      </c>
      <c r="P82" s="208">
        <v>30.774018684506551</v>
      </c>
      <c r="Q82" s="208">
        <v>57.501680804772889</v>
      </c>
    </row>
    <row r="83" spans="2:17" s="194" customFormat="1" ht="13.2" x14ac:dyDescent="0.25">
      <c r="B83" s="202">
        <f t="shared" ca="1" si="12"/>
        <v>5.8226648239463386E-2</v>
      </c>
      <c r="C83" s="203">
        <f t="shared" ca="1" si="9"/>
        <v>9.7044413732438981E-2</v>
      </c>
      <c r="D83" s="204">
        <f t="shared" ca="1" si="10"/>
        <v>0.20614759343186392</v>
      </c>
      <c r="E83" s="205">
        <f t="shared" ca="1" si="11"/>
        <v>3.540433799040942</v>
      </c>
      <c r="P83" s="208">
        <v>81.348431753533745</v>
      </c>
      <c r="Q83" s="208">
        <v>103.98423103605899</v>
      </c>
    </row>
    <row r="84" spans="2:17" s="194" customFormat="1" ht="13.2" x14ac:dyDescent="0.25">
      <c r="B84" s="202">
        <f t="shared" ca="1" si="12"/>
        <v>1.3650556246234565E-2</v>
      </c>
      <c r="C84" s="203">
        <f t="shared" ca="1" si="9"/>
        <v>2.2750927077057611E-2</v>
      </c>
      <c r="D84" s="204">
        <f t="shared" ca="1" si="10"/>
        <v>5.7216826587361977E-2</v>
      </c>
      <c r="E84" s="205">
        <f t="shared" ca="1" si="11"/>
        <v>4.1915380996393417</v>
      </c>
      <c r="P84" s="208">
        <v>14.994637667547419</v>
      </c>
      <c r="Q84" s="208">
        <v>253.09376694498465</v>
      </c>
    </row>
    <row r="85" spans="2:17" s="194" customFormat="1" ht="13.2" x14ac:dyDescent="0.25">
      <c r="B85" s="202">
        <f t="shared" ca="1" si="12"/>
        <v>1.090423090199313E-2</v>
      </c>
      <c r="C85" s="203">
        <f t="shared" ca="1" si="9"/>
        <v>1.8173718169988553E-2</v>
      </c>
      <c r="D85" s="204">
        <f t="shared" ca="1" si="10"/>
        <v>4.6200522901002412E-2</v>
      </c>
      <c r="E85" s="205">
        <f t="shared" ca="1" si="11"/>
        <v>4.2369354901094072</v>
      </c>
      <c r="P85" s="208">
        <v>19.460666698962527</v>
      </c>
      <c r="Q85" s="208">
        <v>152.00363105475398</v>
      </c>
    </row>
    <row r="86" spans="2:17" s="194" customFormat="1" ht="13.2" x14ac:dyDescent="0.25">
      <c r="B86" s="202">
        <f t="shared" ca="1" si="12"/>
        <v>1.7330109077862702E-2</v>
      </c>
      <c r="C86" s="203">
        <f t="shared" ca="1" si="9"/>
        <v>2.8883515129771171E-2</v>
      </c>
      <c r="D86" s="204">
        <f t="shared" ca="1" si="10"/>
        <v>7.1603791361293065E-2</v>
      </c>
      <c r="E86" s="205">
        <f t="shared" ca="1" si="11"/>
        <v>4.1317565307629245</v>
      </c>
      <c r="P86" s="208">
        <v>44.207547403057994</v>
      </c>
      <c r="Q86" s="208">
        <v>192.84139065124251</v>
      </c>
    </row>
    <row r="87" spans="2:17" s="194" customFormat="1" ht="13.2" x14ac:dyDescent="0.25">
      <c r="B87" s="202">
        <f t="shared" ca="1" si="12"/>
        <v>3.692311523211831E-2</v>
      </c>
      <c r="C87" s="203">
        <f t="shared" ca="1" si="9"/>
        <v>6.153852538686385E-2</v>
      </c>
      <c r="D87" s="204">
        <f t="shared" ca="1" si="10"/>
        <v>0.14150784689878448</v>
      </c>
      <c r="E87" s="205">
        <f t="shared" ca="1" si="11"/>
        <v>3.8325002104830812</v>
      </c>
      <c r="P87" s="208">
        <v>6.3991078962465888</v>
      </c>
      <c r="Q87" s="208">
        <v>292.75363678418626</v>
      </c>
    </row>
    <row r="88" spans="2:17" s="194" customFormat="1" ht="13.2" x14ac:dyDescent="0.25">
      <c r="B88" s="202">
        <f t="shared" ca="1" si="12"/>
        <v>1.7774961645290847E-2</v>
      </c>
      <c r="C88" s="203">
        <f t="shared" ca="1" si="9"/>
        <v>2.9624936075484748E-2</v>
      </c>
      <c r="D88" s="204">
        <f t="shared" ca="1" si="10"/>
        <v>7.3314762810270356E-2</v>
      </c>
      <c r="E88" s="205">
        <f t="shared" ca="1" si="11"/>
        <v>4.1246087768461521</v>
      </c>
      <c r="P88" s="208">
        <v>328.88555866337703</v>
      </c>
      <c r="Q88" s="208">
        <v>114.54758461685887</v>
      </c>
    </row>
    <row r="89" spans="2:17" s="194" customFormat="1" ht="13.2" x14ac:dyDescent="0.25">
      <c r="B89" s="202">
        <f t="shared" ca="1" si="12"/>
        <v>3.6120799731656564E-2</v>
      </c>
      <c r="C89" s="203">
        <f t="shared" ca="1" si="9"/>
        <v>6.0201332886094278E-2</v>
      </c>
      <c r="D89" s="204">
        <f t="shared" ca="1" si="10"/>
        <v>0.13885385043659654</v>
      </c>
      <c r="E89" s="205">
        <f t="shared" ca="1" si="11"/>
        <v>3.844152163522113</v>
      </c>
      <c r="P89" s="208">
        <v>219.00492371963117</v>
      </c>
      <c r="Q89" s="208">
        <v>19.392405851161687</v>
      </c>
    </row>
    <row r="90" spans="2:17" s="194" customFormat="1" ht="13.2" x14ac:dyDescent="0.25">
      <c r="B90" s="202">
        <f t="shared" ca="1" si="12"/>
        <v>2.1918684174162359E-2</v>
      </c>
      <c r="C90" s="203">
        <f t="shared" ca="1" si="9"/>
        <v>3.6531140290270603E-2</v>
      </c>
      <c r="D90" s="204">
        <f t="shared" ca="1" si="10"/>
        <v>8.8964461927397764E-2</v>
      </c>
      <c r="E90" s="205">
        <f t="shared" ca="1" si="11"/>
        <v>4.0588413620316057</v>
      </c>
      <c r="P90" s="208">
        <v>209.26554632543991</v>
      </c>
      <c r="Q90" s="208">
        <v>152.30135730091342</v>
      </c>
    </row>
    <row r="91" spans="2:17" s="194" customFormat="1" ht="13.2" x14ac:dyDescent="0.25">
      <c r="B91" s="202">
        <f t="shared" ca="1" si="12"/>
        <v>2.4704686397514428E-2</v>
      </c>
      <c r="C91" s="203">
        <f t="shared" ca="1" si="9"/>
        <v>4.1174477329190717E-2</v>
      </c>
      <c r="D91" s="204">
        <f t="shared" ca="1" si="10"/>
        <v>9.9200086067649948E-2</v>
      </c>
      <c r="E91" s="205">
        <f t="shared" ca="1" si="11"/>
        <v>4.015435957026785</v>
      </c>
      <c r="P91" s="208">
        <v>26.702377847593624</v>
      </c>
      <c r="Q91" s="208">
        <v>154.71372104727826</v>
      </c>
    </row>
    <row r="92" spans="2:17" s="194" customFormat="1" ht="13.2" x14ac:dyDescent="0.25">
      <c r="B92" s="202">
        <f t="shared" ca="1" si="12"/>
        <v>1.001651176734761E-2</v>
      </c>
      <c r="C92" s="203">
        <f t="shared" ca="1" si="9"/>
        <v>1.6694186278912684E-2</v>
      </c>
      <c r="D92" s="204">
        <f t="shared" ca="1" si="10"/>
        <v>4.2587744374528454E-2</v>
      </c>
      <c r="E92" s="205">
        <f t="shared" ca="1" si="11"/>
        <v>4.2517540400999057</v>
      </c>
      <c r="P92" s="208">
        <v>80.988263292415695</v>
      </c>
      <c r="Q92" s="208">
        <v>78.885495176234429</v>
      </c>
    </row>
    <row r="93" spans="2:17" s="194" customFormat="1" ht="13.2" x14ac:dyDescent="0.25">
      <c r="B93" s="202">
        <f t="shared" ca="1" si="12"/>
        <v>3.1283583552319416E-2</v>
      </c>
      <c r="C93" s="203">
        <f t="shared" ca="1" si="9"/>
        <v>5.2139305920532363E-2</v>
      </c>
      <c r="D93" s="204">
        <f t="shared" ca="1" si="10"/>
        <v>0.12248967265768491</v>
      </c>
      <c r="E93" s="205">
        <f t="shared" ca="1" si="11"/>
        <v>3.9154616814544356</v>
      </c>
      <c r="P93" s="208">
        <v>5.0793296513457324</v>
      </c>
      <c r="Q93" s="208">
        <v>195.25423146136671</v>
      </c>
    </row>
    <row r="94" spans="2:17" s="194" customFormat="1" ht="13.2" x14ac:dyDescent="0.25">
      <c r="B94" s="202">
        <f t="shared" ca="1" si="12"/>
        <v>3.7696217207819842E-2</v>
      </c>
      <c r="C94" s="203">
        <f t="shared" ca="1" si="9"/>
        <v>6.2827028679699734E-2</v>
      </c>
      <c r="D94" s="204">
        <f t="shared" ca="1" si="10"/>
        <v>0.14404927845778309</v>
      </c>
      <c r="E94" s="205">
        <f t="shared" ca="1" si="11"/>
        <v>3.8213191966620186</v>
      </c>
      <c r="P94" s="208">
        <v>59.5042347705484</v>
      </c>
      <c r="Q94" s="208">
        <v>39.788704317612435</v>
      </c>
    </row>
    <row r="95" spans="2:17" s="194" customFormat="1" ht="13.2" x14ac:dyDescent="0.25">
      <c r="B95" s="202">
        <f t="shared" ca="1" si="12"/>
        <v>1.1218859623710928E-2</v>
      </c>
      <c r="C95" s="203">
        <f t="shared" ca="1" si="9"/>
        <v>1.8698099372851548E-2</v>
      </c>
      <c r="D95" s="204">
        <f t="shared" ca="1" si="10"/>
        <v>4.7474853379565314E-2</v>
      </c>
      <c r="E95" s="205">
        <f t="shared" ca="1" si="11"/>
        <v>4.2317004554747939</v>
      </c>
      <c r="P95" s="208">
        <v>122.61354805693335</v>
      </c>
      <c r="Q95" s="208">
        <v>5.8460364935475795</v>
      </c>
    </row>
    <row r="96" spans="2:17" s="194" customFormat="1" ht="13.2" x14ac:dyDescent="0.25">
      <c r="B96" s="202">
        <f t="shared" ca="1" si="12"/>
        <v>5.7897741730999673E-2</v>
      </c>
      <c r="C96" s="203">
        <f t="shared" ca="1" si="9"/>
        <v>9.6496236218332795E-2</v>
      </c>
      <c r="D96" s="204">
        <f t="shared" ca="1" si="10"/>
        <v>0.20523013408862867</v>
      </c>
      <c r="E96" s="205">
        <f t="shared" ca="1" si="11"/>
        <v>3.5447001550104349</v>
      </c>
      <c r="P96" s="208">
        <v>25.842590810417526</v>
      </c>
      <c r="Q96" s="208">
        <v>14.883029974652207</v>
      </c>
    </row>
    <row r="97" spans="2:17" s="194" customFormat="1" ht="13.2" x14ac:dyDescent="0.25">
      <c r="B97" s="202">
        <f t="shared" ca="1" si="12"/>
        <v>3.5673472923731672E-2</v>
      </c>
      <c r="C97" s="203">
        <f t="shared" ca="1" si="9"/>
        <v>5.9455788206219454E-2</v>
      </c>
      <c r="D97" s="204">
        <f t="shared" ca="1" si="10"/>
        <v>0.13736677763390065</v>
      </c>
      <c r="E97" s="205">
        <f t="shared" ca="1" si="11"/>
        <v>3.850670158399907</v>
      </c>
      <c r="P97" s="208">
        <v>36.684395308853041</v>
      </c>
      <c r="Q97" s="208">
        <v>159.60326790591708</v>
      </c>
    </row>
    <row r="98" spans="2:17" s="194" customFormat="1" ht="13.2" x14ac:dyDescent="0.25">
      <c r="B98" s="202">
        <f t="shared" ca="1" si="12"/>
        <v>4.631726009101355E-2</v>
      </c>
      <c r="C98" s="203">
        <f t="shared" ca="1" si="9"/>
        <v>7.7195433485022585E-2</v>
      </c>
      <c r="D98" s="204">
        <f t="shared" ca="1" si="10"/>
        <v>0.17135892905799879</v>
      </c>
      <c r="E98" s="205">
        <f t="shared" ca="1" si="11"/>
        <v>3.6996775871732912</v>
      </c>
      <c r="P98" s="208">
        <v>63.625181998175734</v>
      </c>
      <c r="Q98" s="208">
        <v>40.08602238221097</v>
      </c>
    </row>
    <row r="99" spans="2:17" s="194" customFormat="1" ht="13.2" x14ac:dyDescent="0.25">
      <c r="B99" s="202">
        <f t="shared" ca="1" si="12"/>
        <v>2.7899149458235337E-2</v>
      </c>
      <c r="C99" s="203">
        <f t="shared" ca="1" si="9"/>
        <v>4.6498582430392232E-2</v>
      </c>
      <c r="D99" s="204">
        <f t="shared" ca="1" si="10"/>
        <v>0.11066071360888932</v>
      </c>
      <c r="E99" s="205">
        <f t="shared" ca="1" si="11"/>
        <v>3.9664547399391847</v>
      </c>
      <c r="P99" s="208">
        <v>207.43163848902054</v>
      </c>
      <c r="Q99" s="208">
        <v>262.41364392815967</v>
      </c>
    </row>
    <row r="100" spans="2:17" s="194" customFormat="1" ht="13.2" x14ac:dyDescent="0.25">
      <c r="B100" s="202">
        <f t="shared" ca="1" si="12"/>
        <v>2.2842324531582723E-2</v>
      </c>
      <c r="C100" s="203">
        <f t="shared" ca="1" si="9"/>
        <v>3.8070540885971206E-2</v>
      </c>
      <c r="D100" s="204">
        <f t="shared" ca="1" si="10"/>
        <v>9.2383029910278788E-2</v>
      </c>
      <c r="E100" s="205">
        <f t="shared" ca="1" si="11"/>
        <v>4.0443795368788438</v>
      </c>
      <c r="P100" s="208">
        <v>21.390363626816146</v>
      </c>
      <c r="Q100" s="208">
        <v>6.4761604055579625</v>
      </c>
    </row>
    <row r="101" spans="2:17" s="194" customFormat="1" ht="13.2" x14ac:dyDescent="0.25">
      <c r="B101" s="202">
        <f t="shared" ca="1" si="12"/>
        <v>1.0285459811890526E-2</v>
      </c>
      <c r="C101" s="203">
        <f t="shared" ca="1" si="9"/>
        <v>1.7142433019817542E-2</v>
      </c>
      <c r="D101" s="204">
        <f t="shared" ca="1" si="10"/>
        <v>4.3684991562174744E-2</v>
      </c>
      <c r="E101" s="205">
        <f t="shared" ca="1" si="11"/>
        <v>4.2472570367415781</v>
      </c>
      <c r="P101" s="208">
        <v>661.82029518507693</v>
      </c>
      <c r="Q101" s="208">
        <v>180.42800663223187</v>
      </c>
    </row>
    <row r="102" spans="2:17" s="194" customFormat="1" ht="13.2" x14ac:dyDescent="0.25">
      <c r="B102" s="202">
        <f t="shared" ca="1" si="12"/>
        <v>2.1079982361573116E-2</v>
      </c>
      <c r="C102" s="203">
        <f t="shared" ca="1" si="9"/>
        <v>3.5133303935955193E-2</v>
      </c>
      <c r="D102" s="204">
        <f t="shared" ca="1" si="10"/>
        <v>8.5838432616469132E-2</v>
      </c>
      <c r="E102" s="205">
        <f t="shared" ca="1" si="11"/>
        <v>4.0720353150268647</v>
      </c>
      <c r="P102" s="208">
        <v>155.72803690854468</v>
      </c>
      <c r="Q102" s="208">
        <v>212.41423849577154</v>
      </c>
    </row>
    <row r="103" spans="2:17" s="194" customFormat="1" ht="13.2" x14ac:dyDescent="0.25">
      <c r="B103" s="202">
        <f t="shared" ca="1" si="12"/>
        <v>5.0322231219209555E-2</v>
      </c>
      <c r="C103" s="203">
        <f t="shared" ca="1" si="9"/>
        <v>8.3870385365349256E-2</v>
      </c>
      <c r="D103" s="204">
        <f t="shared" ca="1" si="10"/>
        <v>0.18342533552405052</v>
      </c>
      <c r="E103" s="205">
        <f t="shared" ca="1" si="11"/>
        <v>3.645015951797292</v>
      </c>
      <c r="P103" s="208">
        <v>340.15777893219541</v>
      </c>
      <c r="Q103" s="208">
        <v>249.60952296844283</v>
      </c>
    </row>
    <row r="104" spans="2:17" s="194" customFormat="1" ht="13.2" x14ac:dyDescent="0.25">
      <c r="B104" s="202">
        <f t="shared" ca="1" si="12"/>
        <v>5.2732942572481623E-2</v>
      </c>
      <c r="C104" s="203">
        <f t="shared" ca="1" si="9"/>
        <v>8.7888237620802709E-2</v>
      </c>
      <c r="D104" s="204">
        <f t="shared" ca="1" si="10"/>
        <v>0.19050628616600412</v>
      </c>
      <c r="E104" s="205">
        <f t="shared" ca="1" si="11"/>
        <v>3.61266177976229</v>
      </c>
      <c r="P104" s="208">
        <v>162.96355275226125</v>
      </c>
      <c r="Q104" s="208">
        <v>3.0637400784629953</v>
      </c>
    </row>
    <row r="105" spans="2:17" s="194" customFormat="1" ht="13.2" x14ac:dyDescent="0.25">
      <c r="B105" s="202">
        <f t="shared" ca="1" si="12"/>
        <v>2.1384112021154741E-2</v>
      </c>
      <c r="C105" s="203">
        <f t="shared" ca="1" si="9"/>
        <v>3.5640186701924571E-2</v>
      </c>
      <c r="D105" s="204">
        <f t="shared" ca="1" si="10"/>
        <v>8.6974403130377784E-2</v>
      </c>
      <c r="E105" s="205">
        <f t="shared" ca="1" si="11"/>
        <v>4.0672440849700138</v>
      </c>
      <c r="P105" s="208">
        <v>314.21209892026786</v>
      </c>
      <c r="Q105" s="208">
        <v>210.85611662759703</v>
      </c>
    </row>
    <row r="106" spans="2:17" s="194" customFormat="1" ht="13.2" x14ac:dyDescent="0.25">
      <c r="B106" s="202">
        <f t="shared" ca="1" si="12"/>
        <v>4.9136791584485959E-2</v>
      </c>
      <c r="C106" s="203">
        <f t="shared" ca="1" si="9"/>
        <v>8.1894652640809931E-2</v>
      </c>
      <c r="D106" s="204">
        <f t="shared" ca="1" si="10"/>
        <v>0.17989352908271614</v>
      </c>
      <c r="E106" s="205">
        <f t="shared" ca="1" si="11"/>
        <v>3.6610760141595042</v>
      </c>
      <c r="P106" s="208">
        <v>6.0765902862271659</v>
      </c>
      <c r="Q106" s="208">
        <v>243.32011911471767</v>
      </c>
    </row>
    <row r="107" spans="2:17" s="194" customFormat="1" ht="13.2" x14ac:dyDescent="0.25">
      <c r="B107" s="202">
        <f t="shared" ca="1" si="12"/>
        <v>5.0818384810087519E-2</v>
      </c>
      <c r="C107" s="203">
        <f t="shared" ref="C107:C135" ca="1" si="13">B107/(1-RecRate)</f>
        <v>8.4697308016812536E-2</v>
      </c>
      <c r="D107" s="204">
        <f t="shared" ref="D107:D135" ca="1" si="14">(1-RecRate)*C107/(C107+IntRate)*(1-EXP(-(IntRate+C107)*Maturity))</f>
        <v>0.18489373387061941</v>
      </c>
      <c r="E107" s="205">
        <f t="shared" ref="E107:E135" ca="1" si="15">(1-EXP(-(IntRate+C107)*Maturity))/(C107+IntRate)</f>
        <v>3.638323700400603</v>
      </c>
      <c r="P107" s="208">
        <v>45.751450489726864</v>
      </c>
      <c r="Q107" s="208">
        <v>162.43835350833561</v>
      </c>
    </row>
    <row r="108" spans="2:17" s="194" customFormat="1" ht="13.2" x14ac:dyDescent="0.25">
      <c r="B108" s="202">
        <f t="shared" ca="1" si="12"/>
        <v>1.6326805521509155E-2</v>
      </c>
      <c r="C108" s="203">
        <f t="shared" ca="1" si="13"/>
        <v>2.7211342535848594E-2</v>
      </c>
      <c r="D108" s="204">
        <f t="shared" ca="1" si="14"/>
        <v>6.7722611529513296E-2</v>
      </c>
      <c r="E108" s="205">
        <f t="shared" ca="1" si="15"/>
        <v>4.1479401123688655</v>
      </c>
      <c r="P108" s="208">
        <v>54.09053103167161</v>
      </c>
      <c r="Q108" s="208">
        <v>295.07336047098335</v>
      </c>
    </row>
    <row r="109" spans="2:17" s="194" customFormat="1" ht="13.2" x14ac:dyDescent="0.25">
      <c r="B109" s="202">
        <f t="shared" ca="1" si="12"/>
        <v>3.9625221960969605E-2</v>
      </c>
      <c r="C109" s="203">
        <f t="shared" ca="1" si="13"/>
        <v>6.6042036601616005E-2</v>
      </c>
      <c r="D109" s="204">
        <f t="shared" ca="1" si="14"/>
        <v>0.15032300424639267</v>
      </c>
      <c r="E109" s="205">
        <f t="shared" ca="1" si="15"/>
        <v>3.7936192356085505</v>
      </c>
      <c r="P109" s="208">
        <v>22.815208862484397</v>
      </c>
      <c r="Q109" s="208">
        <v>136.2384015051461</v>
      </c>
    </row>
    <row r="110" spans="2:17" s="194" customFormat="1" ht="13.2" x14ac:dyDescent="0.25">
      <c r="B110" s="202">
        <f t="shared" ca="1" si="12"/>
        <v>5.5927747539376793E-2</v>
      </c>
      <c r="C110" s="203">
        <f t="shared" ca="1" si="13"/>
        <v>9.3212912565627998E-2</v>
      </c>
      <c r="D110" s="204">
        <f t="shared" ca="1" si="14"/>
        <v>0.19968482182669176</v>
      </c>
      <c r="E110" s="205">
        <f t="shared" ca="1" si="15"/>
        <v>3.5704070092595908</v>
      </c>
      <c r="P110" s="208">
        <v>35.394242649561647</v>
      </c>
      <c r="Q110" s="208">
        <v>251.09937224960206</v>
      </c>
    </row>
    <row r="111" spans="2:17" s="194" customFormat="1" ht="13.2" x14ac:dyDescent="0.25">
      <c r="B111" s="202">
        <f t="shared" ca="1" si="12"/>
        <v>5.4339491489190241E-2</v>
      </c>
      <c r="C111" s="203">
        <f t="shared" ca="1" si="13"/>
        <v>9.0565819148650403E-2</v>
      </c>
      <c r="D111" s="204">
        <f t="shared" ca="1" si="14"/>
        <v>0.19515079658408077</v>
      </c>
      <c r="E111" s="205">
        <f t="shared" ca="1" si="15"/>
        <v>3.5913254105975971</v>
      </c>
      <c r="P111" s="208">
        <v>254.67831286042664</v>
      </c>
      <c r="Q111" s="208">
        <v>227.24187592124295</v>
      </c>
    </row>
    <row r="112" spans="2:17" s="194" customFormat="1" ht="13.2" x14ac:dyDescent="0.25">
      <c r="B112" s="202">
        <f t="shared" ca="1" si="12"/>
        <v>4.5628827172687743E-2</v>
      </c>
      <c r="C112" s="203">
        <f t="shared" ca="1" si="13"/>
        <v>7.6048045287812907E-2</v>
      </c>
      <c r="D112" s="204">
        <f t="shared" ca="1" si="14"/>
        <v>0.16924598119176459</v>
      </c>
      <c r="E112" s="205">
        <f t="shared" ca="1" si="15"/>
        <v>3.7091898187791017</v>
      </c>
      <c r="P112" s="208">
        <v>5.6810382891009104</v>
      </c>
      <c r="Q112" s="208">
        <v>275.02888262438103</v>
      </c>
    </row>
    <row r="113" spans="2:17" s="194" customFormat="1" ht="13.2" x14ac:dyDescent="0.25">
      <c r="B113" s="202">
        <f t="shared" ca="1" si="12"/>
        <v>4.5120934246351899E-2</v>
      </c>
      <c r="C113" s="203">
        <f t="shared" ca="1" si="13"/>
        <v>7.5201557077253164E-2</v>
      </c>
      <c r="D113" s="204">
        <f t="shared" ca="1" si="14"/>
        <v>0.167679749994153</v>
      </c>
      <c r="E113" s="205">
        <f t="shared" ca="1" si="15"/>
        <v>3.7162295682676425</v>
      </c>
      <c r="P113" s="208">
        <v>33.1183185363289</v>
      </c>
      <c r="Q113" s="208">
        <v>172.47924562527743</v>
      </c>
    </row>
    <row r="114" spans="2:17" s="194" customFormat="1" ht="13.2" x14ac:dyDescent="0.25">
      <c r="B114" s="202">
        <f t="shared" ca="1" si="12"/>
        <v>4.1927128891393987E-2</v>
      </c>
      <c r="C114" s="203">
        <f t="shared" ca="1" si="13"/>
        <v>6.9878548152323319E-2</v>
      </c>
      <c r="D114" s="204">
        <f t="shared" ca="1" si="14"/>
        <v>0.15768505409962175</v>
      </c>
      <c r="E114" s="205">
        <f t="shared" ca="1" si="15"/>
        <v>3.7609313651807996</v>
      </c>
      <c r="P114" s="208">
        <v>203.59084428692913</v>
      </c>
      <c r="Q114" s="208">
        <v>289.56922337584598</v>
      </c>
    </row>
    <row r="115" spans="2:17" s="194" customFormat="1" ht="13.2" x14ac:dyDescent="0.25">
      <c r="B115" s="202">
        <f t="shared" ca="1" si="12"/>
        <v>3.4685061710140956E-2</v>
      </c>
      <c r="C115" s="203">
        <f t="shared" ca="1" si="13"/>
        <v>5.7808436183568263E-2</v>
      </c>
      <c r="D115" s="204">
        <f t="shared" ca="1" si="14"/>
        <v>0.13406217343879198</v>
      </c>
      <c r="E115" s="205">
        <f t="shared" ca="1" si="15"/>
        <v>3.8651271420282898</v>
      </c>
      <c r="P115" s="208">
        <v>8.4163566408768364</v>
      </c>
      <c r="Q115" s="208">
        <v>247.45975207455763</v>
      </c>
    </row>
    <row r="116" spans="2:17" s="194" customFormat="1" ht="13.2" x14ac:dyDescent="0.25">
      <c r="B116" s="202">
        <f t="shared" ca="1" si="12"/>
        <v>3.7054923191846431E-2</v>
      </c>
      <c r="C116" s="203">
        <f t="shared" ca="1" si="13"/>
        <v>6.1758205319744054E-2</v>
      </c>
      <c r="D116" s="204">
        <f t="shared" ca="1" si="14"/>
        <v>0.14194224417695078</v>
      </c>
      <c r="E116" s="205">
        <f t="shared" ca="1" si="15"/>
        <v>3.8305907002442194</v>
      </c>
      <c r="P116" s="208">
        <v>154.90460408622252</v>
      </c>
      <c r="Q116" s="208">
        <v>104.23547288885095</v>
      </c>
    </row>
    <row r="117" spans="2:17" s="194" customFormat="1" ht="13.2" x14ac:dyDescent="0.25">
      <c r="B117" s="202">
        <f t="shared" ca="1" si="12"/>
        <v>2.2727762374605807E-2</v>
      </c>
      <c r="C117" s="203">
        <f t="shared" ca="1" si="13"/>
        <v>3.7879603957676346E-2</v>
      </c>
      <c r="D117" s="204">
        <f t="shared" ca="1" si="14"/>
        <v>9.196037680621573E-2</v>
      </c>
      <c r="E117" s="205">
        <f t="shared" ca="1" si="15"/>
        <v>4.046169406846885</v>
      </c>
      <c r="P117" s="208">
        <v>541.79901990597227</v>
      </c>
      <c r="Q117" s="208">
        <v>133.68622048523011</v>
      </c>
    </row>
    <row r="118" spans="2:17" s="194" customFormat="1" ht="13.2" x14ac:dyDescent="0.25">
      <c r="B118" s="202">
        <f t="shared" ca="1" si="12"/>
        <v>5.5227547989967901E-2</v>
      </c>
      <c r="C118" s="203">
        <f t="shared" ca="1" si="13"/>
        <v>9.2045913316613173E-2</v>
      </c>
      <c r="D118" s="204">
        <f t="shared" ca="1" si="14"/>
        <v>0.1976929597702009</v>
      </c>
      <c r="E118" s="205">
        <f t="shared" ca="1" si="15"/>
        <v>3.5796077675965603</v>
      </c>
      <c r="P118" s="208">
        <v>568.6845108154622</v>
      </c>
      <c r="Q118" s="208">
        <v>80.430437857839451</v>
      </c>
    </row>
    <row r="119" spans="2:17" s="194" customFormat="1" ht="13.2" x14ac:dyDescent="0.25">
      <c r="B119" s="202">
        <f t="shared" ca="1" si="12"/>
        <v>4.1558659732740193E-2</v>
      </c>
      <c r="C119" s="203">
        <f t="shared" ca="1" si="13"/>
        <v>6.9264432887900323E-2</v>
      </c>
      <c r="D119" s="204">
        <f t="shared" ca="1" si="14"/>
        <v>0.15651561137729469</v>
      </c>
      <c r="E119" s="205">
        <f t="shared" ca="1" si="15"/>
        <v>3.7661371272276774</v>
      </c>
      <c r="P119" s="208">
        <v>55.737036531583648</v>
      </c>
      <c r="Q119" s="208">
        <v>125.97789024466269</v>
      </c>
    </row>
    <row r="120" spans="2:17" s="194" customFormat="1" ht="13.2" x14ac:dyDescent="0.25">
      <c r="B120" s="202">
        <f t="shared" ca="1" si="12"/>
        <v>1.2742977505452821E-2</v>
      </c>
      <c r="C120" s="203">
        <f t="shared" ca="1" si="13"/>
        <v>2.123829584242137E-2</v>
      </c>
      <c r="D120" s="204">
        <f t="shared" ca="1" si="14"/>
        <v>5.3602905821010773E-2</v>
      </c>
      <c r="E120" s="205">
        <f t="shared" ca="1" si="15"/>
        <v>4.2064663300295138</v>
      </c>
      <c r="P120" s="208">
        <v>15.510505465008894</v>
      </c>
      <c r="Q120" s="208">
        <v>278.0994005664873</v>
      </c>
    </row>
    <row r="121" spans="2:17" s="194" customFormat="1" ht="13.2" x14ac:dyDescent="0.25">
      <c r="B121" s="202">
        <f t="shared" ca="1" si="12"/>
        <v>3.9352010746396188E-2</v>
      </c>
      <c r="C121" s="203">
        <f t="shared" ca="1" si="13"/>
        <v>6.5586684577326984E-2</v>
      </c>
      <c r="D121" s="204">
        <f t="shared" ca="1" si="14"/>
        <v>0.14944025806462982</v>
      </c>
      <c r="E121" s="205">
        <f t="shared" ca="1" si="15"/>
        <v>3.7975253419119226</v>
      </c>
      <c r="P121" s="208">
        <v>344.15873365320641</v>
      </c>
      <c r="Q121" s="208">
        <v>210.60540857771647</v>
      </c>
    </row>
    <row r="122" spans="2:17" s="194" customFormat="1" ht="13.2" x14ac:dyDescent="0.25">
      <c r="B122" s="202">
        <f t="shared" ca="1" si="12"/>
        <v>1.2620253126867816E-2</v>
      </c>
      <c r="C122" s="203">
        <f t="shared" ca="1" si="13"/>
        <v>2.1033755211446362E-2</v>
      </c>
      <c r="D122" s="204">
        <f t="shared" ca="1" si="14"/>
        <v>5.3112216121848126E-2</v>
      </c>
      <c r="E122" s="205">
        <f t="shared" ca="1" si="15"/>
        <v>4.2084905578300305</v>
      </c>
      <c r="P122" s="208">
        <v>200.49550553854152</v>
      </c>
      <c r="Q122" s="208">
        <v>207.02873261404932</v>
      </c>
    </row>
    <row r="123" spans="2:17" s="194" customFormat="1" ht="13.2" x14ac:dyDescent="0.25">
      <c r="B123" s="202">
        <f t="shared" ca="1" si="12"/>
        <v>5.5764173578886904E-2</v>
      </c>
      <c r="C123" s="203">
        <f t="shared" ca="1" si="13"/>
        <v>9.2940289298144838E-2</v>
      </c>
      <c r="D123" s="204">
        <f t="shared" ca="1" si="14"/>
        <v>0.19922048785848248</v>
      </c>
      <c r="E123" s="205">
        <f t="shared" ca="1" si="15"/>
        <v>3.5725533989426888</v>
      </c>
      <c r="P123" s="208">
        <v>573.44610044464264</v>
      </c>
      <c r="Q123" s="208">
        <v>53.528558672455119</v>
      </c>
    </row>
    <row r="124" spans="2:17" s="194" customFormat="1" ht="13.2" x14ac:dyDescent="0.25">
      <c r="B124" s="202">
        <f t="shared" ca="1" si="12"/>
        <v>4.135507754525776E-2</v>
      </c>
      <c r="C124" s="203">
        <f t="shared" ca="1" si="13"/>
        <v>6.8925129242096275E-2</v>
      </c>
      <c r="D124" s="204">
        <f t="shared" ca="1" si="14"/>
        <v>0.15586801885451185</v>
      </c>
      <c r="E124" s="205">
        <f t="shared" ca="1" si="15"/>
        <v>3.7690176903654584</v>
      </c>
      <c r="P124" s="208">
        <v>34.497155133771749</v>
      </c>
      <c r="Q124" s="208">
        <v>115.28668989110685</v>
      </c>
    </row>
    <row r="125" spans="2:17" s="194" customFormat="1" ht="13.2" x14ac:dyDescent="0.25">
      <c r="B125" s="202">
        <f t="shared" ca="1" si="12"/>
        <v>4.1429296703065083E-2</v>
      </c>
      <c r="C125" s="203">
        <f t="shared" ca="1" si="13"/>
        <v>6.9048827838441809E-2</v>
      </c>
      <c r="D125" s="204">
        <f t="shared" ca="1" si="14"/>
        <v>0.15610423013623265</v>
      </c>
      <c r="E125" s="205">
        <f t="shared" ca="1" si="15"/>
        <v>3.7679671768283605</v>
      </c>
      <c r="P125" s="208">
        <v>312.59797149930711</v>
      </c>
      <c r="Q125" s="208">
        <v>123.14275305248535</v>
      </c>
    </row>
    <row r="126" spans="2:17" s="194" customFormat="1" ht="13.2" x14ac:dyDescent="0.25">
      <c r="B126" s="202">
        <f t="shared" ca="1" si="12"/>
        <v>5.7063207278186777E-2</v>
      </c>
      <c r="C126" s="203">
        <f t="shared" ca="1" si="13"/>
        <v>9.510534546364463E-2</v>
      </c>
      <c r="D126" s="204">
        <f t="shared" ca="1" si="14"/>
        <v>0.20289154272906851</v>
      </c>
      <c r="E126" s="205">
        <f t="shared" ca="1" si="15"/>
        <v>3.5555579927353067</v>
      </c>
      <c r="P126" s="208">
        <v>446.19274213990531</v>
      </c>
      <c r="Q126" s="208">
        <v>15.078416069940026</v>
      </c>
    </row>
    <row r="127" spans="2:17" s="194" customFormat="1" ht="13.2" x14ac:dyDescent="0.25">
      <c r="B127" s="202">
        <f t="shared" ca="1" si="12"/>
        <v>5.4207552018366099E-2</v>
      </c>
      <c r="C127" s="203">
        <f t="shared" ca="1" si="13"/>
        <v>9.0345920030610163E-2</v>
      </c>
      <c r="D127" s="204">
        <f t="shared" ca="1" si="14"/>
        <v>0.19477158030013575</v>
      </c>
      <c r="E127" s="205">
        <f t="shared" ca="1" si="15"/>
        <v>3.5930709476448053</v>
      </c>
      <c r="P127" s="208">
        <v>16.748418028918696</v>
      </c>
      <c r="Q127" s="208">
        <v>72.097272499861106</v>
      </c>
    </row>
    <row r="128" spans="2:17" s="194" customFormat="1" ht="13.2" x14ac:dyDescent="0.25">
      <c r="B128" s="202">
        <f t="shared" ca="1" si="12"/>
        <v>3.825589295033565E-2</v>
      </c>
      <c r="C128" s="203">
        <f t="shared" ca="1" si="13"/>
        <v>6.3759821583892748E-2</v>
      </c>
      <c r="D128" s="204">
        <f t="shared" ca="1" si="14"/>
        <v>0.1458794111370984</v>
      </c>
      <c r="E128" s="205">
        <f t="shared" ca="1" si="15"/>
        <v>3.8132533287481007</v>
      </c>
      <c r="P128" s="208">
        <v>13.666515171309841</v>
      </c>
      <c r="Q128" s="208">
        <v>73.641882366742834</v>
      </c>
    </row>
    <row r="129" spans="2:22" s="194" customFormat="1" ht="13.2" x14ac:dyDescent="0.25">
      <c r="B129" s="202">
        <f t="shared" ca="1" si="12"/>
        <v>3.4173596164262014E-2</v>
      </c>
      <c r="C129" s="203">
        <f t="shared" ca="1" si="13"/>
        <v>5.6955993607103357E-2</v>
      </c>
      <c r="D129" s="204">
        <f t="shared" ca="1" si="14"/>
        <v>0.13234196216330599</v>
      </c>
      <c r="E129" s="205">
        <f t="shared" ca="1" si="15"/>
        <v>3.8726378554711856</v>
      </c>
      <c r="P129" s="208">
        <v>69.062581636750707</v>
      </c>
      <c r="Q129" s="208">
        <v>178.91794662281367</v>
      </c>
    </row>
    <row r="130" spans="2:22" s="194" customFormat="1" ht="13.2" x14ac:dyDescent="0.25">
      <c r="B130" s="202">
        <f t="shared" ca="1" si="12"/>
        <v>4.4701345778782348E-2</v>
      </c>
      <c r="C130" s="203">
        <f t="shared" ca="1" si="13"/>
        <v>7.4502242964637255E-2</v>
      </c>
      <c r="D130" s="204">
        <f t="shared" ca="1" si="14"/>
        <v>0.16638107068609828</v>
      </c>
      <c r="E130" s="205">
        <f t="shared" ca="1" si="15"/>
        <v>3.7220595440120201</v>
      </c>
      <c r="P130" s="208">
        <v>18.905665625272668</v>
      </c>
      <c r="Q130" s="208">
        <v>129.3337129944388</v>
      </c>
    </row>
    <row r="131" spans="2:22" x14ac:dyDescent="0.3">
      <c r="B131" s="202">
        <f t="shared" ca="1" si="12"/>
        <v>4.8591400882837012E-2</v>
      </c>
      <c r="C131" s="203">
        <f t="shared" ca="1" si="13"/>
        <v>8.0985668138061684E-2</v>
      </c>
      <c r="D131" s="204">
        <f t="shared" ca="1" si="14"/>
        <v>0.17825747610761664</v>
      </c>
      <c r="E131" s="205">
        <f t="shared" ca="1" si="15"/>
        <v>3.6684983941382727</v>
      </c>
      <c r="F131" s="194"/>
      <c r="G131" s="194"/>
      <c r="H131" s="194"/>
      <c r="I131" s="194"/>
      <c r="J131" s="194"/>
      <c r="K131" s="194"/>
      <c r="L131" s="194"/>
      <c r="M131" s="194"/>
      <c r="N131" s="194"/>
      <c r="O131" s="194"/>
      <c r="P131" s="208">
        <v>148.58642416336212</v>
      </c>
      <c r="Q131" s="208">
        <v>62.259325666525811</v>
      </c>
      <c r="R131" s="194"/>
      <c r="S131" s="194"/>
      <c r="T131" s="194"/>
      <c r="U131" s="194"/>
      <c r="V131" s="194"/>
    </row>
    <row r="132" spans="2:22" x14ac:dyDescent="0.3">
      <c r="B132" s="202">
        <f t="shared" ca="1" si="12"/>
        <v>3.2639730649170869E-2</v>
      </c>
      <c r="C132" s="203">
        <f t="shared" ca="1" si="13"/>
        <v>5.439955108195145E-2</v>
      </c>
      <c r="D132" s="204">
        <f t="shared" ca="1" si="14"/>
        <v>0.1271410431191668</v>
      </c>
      <c r="E132" s="205">
        <f t="shared" ca="1" si="15"/>
        <v>3.8952846910946097</v>
      </c>
      <c r="F132" s="194"/>
      <c r="G132" s="194"/>
      <c r="H132" s="194"/>
      <c r="I132" s="194"/>
      <c r="J132" s="194"/>
      <c r="K132" s="194"/>
      <c r="L132" s="194"/>
      <c r="M132" s="194"/>
      <c r="N132" s="194"/>
      <c r="O132" s="194"/>
      <c r="P132" s="208">
        <v>28.542834617081475</v>
      </c>
      <c r="Q132" s="208">
        <v>123.55064725706546</v>
      </c>
      <c r="R132" s="194"/>
      <c r="S132" s="194"/>
      <c r="T132" s="194"/>
      <c r="U132" s="194"/>
      <c r="V132" s="194"/>
    </row>
    <row r="133" spans="2:22" x14ac:dyDescent="0.3">
      <c r="B133" s="202">
        <f t="shared" ca="1" si="12"/>
        <v>1.125275439862318E-2</v>
      </c>
      <c r="C133" s="203">
        <f t="shared" ca="1" si="13"/>
        <v>1.8754590664371969E-2</v>
      </c>
      <c r="D133" s="204">
        <f t="shared" ca="1" si="14"/>
        <v>4.7611945690604819E-2</v>
      </c>
      <c r="E133" s="205">
        <f t="shared" ca="1" si="15"/>
        <v>4.2311370180113705</v>
      </c>
      <c r="F133" s="194"/>
      <c r="G133" s="194"/>
      <c r="H133" s="194"/>
      <c r="I133" s="194"/>
      <c r="J133" s="194"/>
      <c r="K133" s="194"/>
      <c r="L133" s="194"/>
      <c r="M133" s="194"/>
      <c r="N133" s="194"/>
      <c r="O133" s="194"/>
      <c r="P133" s="208">
        <v>6.952900413627753</v>
      </c>
      <c r="Q133" s="208">
        <v>181.73454279811645</v>
      </c>
      <c r="R133" s="194"/>
      <c r="S133" s="194"/>
      <c r="T133" s="194"/>
      <c r="U133" s="194"/>
      <c r="V133" s="194"/>
    </row>
    <row r="134" spans="2:22" x14ac:dyDescent="0.3">
      <c r="B134" s="202">
        <f t="shared" ca="1" si="12"/>
        <v>4.0422185051952511E-2</v>
      </c>
      <c r="C134" s="203">
        <f t="shared" ca="1" si="13"/>
        <v>6.7370308419920852E-2</v>
      </c>
      <c r="D134" s="204">
        <f t="shared" ca="1" si="14"/>
        <v>0.1528870986303042</v>
      </c>
      <c r="E134" s="205">
        <f t="shared" ca="1" si="15"/>
        <v>3.7822571549213992</v>
      </c>
      <c r="F134" s="194"/>
      <c r="G134" s="194"/>
      <c r="H134" s="194"/>
      <c r="I134" s="194"/>
      <c r="J134" s="194"/>
      <c r="K134" s="194"/>
      <c r="L134" s="194"/>
      <c r="M134" s="194"/>
      <c r="N134" s="194"/>
      <c r="O134" s="194"/>
      <c r="P134" s="208">
        <v>32.704406754155997</v>
      </c>
      <c r="Q134" s="208">
        <v>129.33136701088762</v>
      </c>
      <c r="R134" s="194"/>
      <c r="S134" s="194"/>
      <c r="T134" s="194"/>
      <c r="U134" s="194"/>
      <c r="V134" s="194"/>
    </row>
    <row r="135" spans="2:22" ht="15" thickBot="1" x14ac:dyDescent="0.35">
      <c r="B135" s="226">
        <f t="shared" ca="1" si="12"/>
        <v>4.7953929390297897E-2</v>
      </c>
      <c r="C135" s="227">
        <f t="shared" ca="1" si="13"/>
        <v>7.9923215650496496E-2</v>
      </c>
      <c r="D135" s="223">
        <f t="shared" ca="1" si="14"/>
        <v>0.17633623028715517</v>
      </c>
      <c r="E135" s="224">
        <f t="shared" ca="1" si="15"/>
        <v>3.6772008577639466</v>
      </c>
      <c r="F135" s="194"/>
      <c r="G135" s="194"/>
      <c r="H135" s="194"/>
      <c r="I135" s="194"/>
      <c r="J135" s="194"/>
      <c r="K135" s="194"/>
      <c r="L135" s="194"/>
      <c r="M135" s="194"/>
      <c r="N135" s="194"/>
      <c r="O135" s="194"/>
      <c r="P135" s="208">
        <v>52.337032002904813</v>
      </c>
      <c r="Q135" s="208">
        <v>295.55193195280782</v>
      </c>
      <c r="R135" s="194"/>
      <c r="S135" s="194"/>
      <c r="T135" s="194"/>
      <c r="U135" s="194"/>
      <c r="V135" s="194"/>
    </row>
    <row r="136" spans="2:22" x14ac:dyDescent="0.3">
      <c r="B136" s="228"/>
      <c r="C136" s="229"/>
      <c r="D136" s="230"/>
      <c r="E136" s="194"/>
      <c r="F136" s="194"/>
      <c r="G136" s="194"/>
      <c r="H136" s="194"/>
      <c r="I136" s="194"/>
      <c r="J136" s="194"/>
      <c r="K136" s="194"/>
      <c r="L136" s="194"/>
      <c r="M136" s="194"/>
      <c r="N136" s="194"/>
      <c r="O136" s="194"/>
      <c r="P136" s="208">
        <v>133.45847028861019</v>
      </c>
      <c r="Q136" s="208">
        <v>95.407149774660468</v>
      </c>
      <c r="R136" s="194"/>
      <c r="S136" s="194"/>
      <c r="T136" s="194"/>
      <c r="U136" s="194"/>
      <c r="V136" s="194"/>
    </row>
    <row r="137" spans="2:22" x14ac:dyDescent="0.3">
      <c r="D137" s="231"/>
      <c r="E137" s="232"/>
    </row>
    <row r="138" spans="2:22" x14ac:dyDescent="0.3">
      <c r="D138" s="231"/>
      <c r="E138" s="232"/>
    </row>
    <row r="139" spans="2:22" x14ac:dyDescent="0.3">
      <c r="D139" s="231"/>
      <c r="E139" s="232"/>
    </row>
    <row r="140" spans="2:22" x14ac:dyDescent="0.3">
      <c r="D140" s="231"/>
      <c r="E140" s="232"/>
    </row>
    <row r="141" spans="2:22" x14ac:dyDescent="0.3">
      <c r="D141" s="231"/>
      <c r="E141" s="232"/>
    </row>
    <row r="142" spans="2:22" x14ac:dyDescent="0.3">
      <c r="D142" s="231"/>
      <c r="E142" s="232"/>
    </row>
    <row r="143" spans="2:22" x14ac:dyDescent="0.3">
      <c r="D143" s="231"/>
      <c r="E143" s="232"/>
    </row>
    <row r="144" spans="2:22" x14ac:dyDescent="0.3">
      <c r="D144" s="231"/>
      <c r="E144" s="232"/>
    </row>
    <row r="145" spans="4:5" x14ac:dyDescent="0.3">
      <c r="D145" s="231"/>
      <c r="E145" s="232"/>
    </row>
    <row r="146" spans="4:5" x14ac:dyDescent="0.3">
      <c r="D146" s="231"/>
      <c r="E146" s="232"/>
    </row>
    <row r="147" spans="4:5" x14ac:dyDescent="0.3">
      <c r="D147" s="231"/>
      <c r="E147" s="232"/>
    </row>
    <row r="148" spans="4:5" x14ac:dyDescent="0.3">
      <c r="D148" s="231"/>
      <c r="E148" s="232"/>
    </row>
    <row r="149" spans="4:5" x14ac:dyDescent="0.3">
      <c r="D149" s="231"/>
      <c r="E149" s="232"/>
    </row>
    <row r="150" spans="4:5" x14ac:dyDescent="0.3">
      <c r="D150" s="231"/>
      <c r="E150" s="232"/>
    </row>
    <row r="151" spans="4:5" x14ac:dyDescent="0.3">
      <c r="D151" s="231"/>
      <c r="E151" s="232"/>
    </row>
    <row r="152" spans="4:5" x14ac:dyDescent="0.3">
      <c r="D152" s="231"/>
      <c r="E152" s="232"/>
    </row>
    <row r="153" spans="4:5" x14ac:dyDescent="0.3">
      <c r="D153" s="231"/>
      <c r="E153" s="232"/>
    </row>
    <row r="154" spans="4:5" x14ac:dyDescent="0.3">
      <c r="D154" s="231"/>
      <c r="E154" s="232"/>
    </row>
    <row r="155" spans="4:5" x14ac:dyDescent="0.3">
      <c r="D155" s="231"/>
      <c r="E155" s="232"/>
    </row>
    <row r="156" spans="4:5" x14ac:dyDescent="0.3">
      <c r="D156" s="231"/>
      <c r="E156" s="232"/>
    </row>
    <row r="157" spans="4:5" x14ac:dyDescent="0.3">
      <c r="D157" s="231"/>
      <c r="E157" s="232"/>
    </row>
    <row r="158" spans="4:5" x14ac:dyDescent="0.3">
      <c r="D158" s="231"/>
      <c r="E158" s="232"/>
    </row>
    <row r="159" spans="4:5" x14ac:dyDescent="0.3">
      <c r="D159" s="231"/>
      <c r="E159" s="232"/>
    </row>
    <row r="160" spans="4:5" x14ac:dyDescent="0.3">
      <c r="D160" s="231"/>
      <c r="E160" s="232"/>
    </row>
    <row r="161" spans="4:5" x14ac:dyDescent="0.3">
      <c r="D161" s="231"/>
      <c r="E161" s="232"/>
    </row>
    <row r="162" spans="4:5" x14ac:dyDescent="0.3">
      <c r="D162" s="231"/>
      <c r="E162" s="232"/>
    </row>
    <row r="163" spans="4:5" x14ac:dyDescent="0.3">
      <c r="D163" s="231"/>
      <c r="E163" s="232"/>
    </row>
    <row r="164" spans="4:5" x14ac:dyDescent="0.3">
      <c r="D164" s="231"/>
      <c r="E164" s="232"/>
    </row>
    <row r="165" spans="4:5" x14ac:dyDescent="0.3">
      <c r="D165" s="231"/>
      <c r="E165" s="232"/>
    </row>
    <row r="166" spans="4:5" x14ac:dyDescent="0.3">
      <c r="D166" s="231"/>
      <c r="E166" s="232"/>
    </row>
    <row r="167" spans="4:5" x14ac:dyDescent="0.3">
      <c r="D167" s="231"/>
      <c r="E167" s="232"/>
    </row>
    <row r="168" spans="4:5" x14ac:dyDescent="0.3">
      <c r="D168" s="231"/>
      <c r="E168" s="232"/>
    </row>
    <row r="169" spans="4:5" x14ac:dyDescent="0.3">
      <c r="D169" s="231"/>
      <c r="E169" s="232"/>
    </row>
    <row r="170" spans="4:5" x14ac:dyDescent="0.3">
      <c r="D170" s="231"/>
      <c r="E170" s="232"/>
    </row>
    <row r="171" spans="4:5" x14ac:dyDescent="0.3">
      <c r="D171" s="231"/>
      <c r="E171" s="232"/>
    </row>
    <row r="172" spans="4:5" x14ac:dyDescent="0.3">
      <c r="D172" s="231"/>
      <c r="E172" s="232"/>
    </row>
    <row r="173" spans="4:5" x14ac:dyDescent="0.3">
      <c r="D173" s="231"/>
      <c r="E173" s="232"/>
    </row>
    <row r="174" spans="4:5" x14ac:dyDescent="0.3">
      <c r="D174" s="231"/>
      <c r="E174" s="232"/>
    </row>
    <row r="175" spans="4:5" x14ac:dyDescent="0.3">
      <c r="D175" s="231"/>
      <c r="E175" s="232"/>
    </row>
    <row r="176" spans="4:5" x14ac:dyDescent="0.3">
      <c r="D176" s="231"/>
      <c r="E176" s="232"/>
    </row>
    <row r="177" spans="3:5" x14ac:dyDescent="0.3">
      <c r="D177" s="231"/>
      <c r="E177" s="232"/>
    </row>
    <row r="178" spans="3:5" x14ac:dyDescent="0.3">
      <c r="D178" s="231"/>
      <c r="E178" s="232"/>
    </row>
    <row r="179" spans="3:5" x14ac:dyDescent="0.3">
      <c r="D179" s="231"/>
      <c r="E179" s="232"/>
    </row>
    <row r="180" spans="3:5" x14ac:dyDescent="0.3">
      <c r="D180" s="231"/>
      <c r="E180" s="232"/>
    </row>
    <row r="181" spans="3:5" x14ac:dyDescent="0.3">
      <c r="D181" s="231"/>
      <c r="E181" s="232"/>
    </row>
    <row r="182" spans="3:5" x14ac:dyDescent="0.3">
      <c r="D182" s="231"/>
      <c r="E182" s="232"/>
    </row>
    <row r="183" spans="3:5" x14ac:dyDescent="0.3">
      <c r="D183" s="231"/>
      <c r="E183" s="232"/>
    </row>
    <row r="184" spans="3:5" x14ac:dyDescent="0.3">
      <c r="D184" s="231"/>
      <c r="E184" s="232"/>
    </row>
    <row r="185" spans="3:5" x14ac:dyDescent="0.3">
      <c r="D185" s="231"/>
      <c r="E185" s="232"/>
    </row>
    <row r="186" spans="3:5" x14ac:dyDescent="0.3">
      <c r="D186" s="231"/>
      <c r="E186" s="232"/>
    </row>
    <row r="187" spans="3:5" x14ac:dyDescent="0.3">
      <c r="D187" s="231"/>
      <c r="E187" s="232"/>
    </row>
    <row r="188" spans="3:5" x14ac:dyDescent="0.3">
      <c r="C188" s="231"/>
      <c r="D188" s="232"/>
    </row>
    <row r="189" spans="3:5" x14ac:dyDescent="0.3">
      <c r="C189" s="231"/>
      <c r="D189" s="232"/>
    </row>
    <row r="190" spans="3:5" x14ac:dyDescent="0.3">
      <c r="C190" s="231"/>
      <c r="D190" s="232"/>
    </row>
    <row r="191" spans="3:5" x14ac:dyDescent="0.3">
      <c r="C191" s="231"/>
      <c r="D191" s="232"/>
    </row>
    <row r="192" spans="3:5" x14ac:dyDescent="0.3">
      <c r="C192" s="231"/>
      <c r="D192" s="232"/>
    </row>
    <row r="193" spans="3:4" x14ac:dyDescent="0.3">
      <c r="C193" s="231"/>
      <c r="D193" s="232"/>
    </row>
    <row r="194" spans="3:4" x14ac:dyDescent="0.3">
      <c r="C194" s="231"/>
      <c r="D194" s="232"/>
    </row>
    <row r="195" spans="3:4" x14ac:dyDescent="0.3">
      <c r="C195" s="231"/>
      <c r="D195" s="232"/>
    </row>
    <row r="196" spans="3:4" x14ac:dyDescent="0.3">
      <c r="C196" s="231"/>
      <c r="D196" s="232"/>
    </row>
    <row r="197" spans="3:4" x14ac:dyDescent="0.3">
      <c r="C197" s="231"/>
      <c r="D197" s="232"/>
    </row>
    <row r="198" spans="3:4" x14ac:dyDescent="0.3">
      <c r="C198" s="231"/>
      <c r="D198" s="232"/>
    </row>
    <row r="199" spans="3:4" x14ac:dyDescent="0.3">
      <c r="C199" s="231"/>
      <c r="D199" s="232"/>
    </row>
    <row r="200" spans="3:4" x14ac:dyDescent="0.3">
      <c r="C200" s="231"/>
      <c r="D200" s="232"/>
    </row>
    <row r="201" spans="3:4" x14ac:dyDescent="0.3">
      <c r="C201" s="231"/>
      <c r="D201" s="232"/>
    </row>
    <row r="202" spans="3:4" x14ac:dyDescent="0.3">
      <c r="C202" s="231"/>
      <c r="D202" s="232"/>
    </row>
    <row r="203" spans="3:4" x14ac:dyDescent="0.3">
      <c r="C203" s="231"/>
      <c r="D203" s="232"/>
    </row>
    <row r="204" spans="3:4" x14ac:dyDescent="0.3">
      <c r="C204" s="231"/>
      <c r="D204" s="232"/>
    </row>
    <row r="205" spans="3:4" x14ac:dyDescent="0.3">
      <c r="C205" s="231"/>
      <c r="D205" s="232"/>
    </row>
    <row r="206" spans="3:4" x14ac:dyDescent="0.3">
      <c r="C206" s="231"/>
      <c r="D206" s="232"/>
    </row>
    <row r="207" spans="3:4" x14ac:dyDescent="0.3">
      <c r="C207" s="231"/>
      <c r="D207" s="232"/>
    </row>
    <row r="208" spans="3:4" x14ac:dyDescent="0.3">
      <c r="C208" s="231"/>
    </row>
    <row r="209" spans="3:3" x14ac:dyDescent="0.3">
      <c r="C209" s="231"/>
    </row>
    <row r="210" spans="3:3" x14ac:dyDescent="0.3">
      <c r="C210" s="231"/>
    </row>
    <row r="211" spans="3:3" x14ac:dyDescent="0.3">
      <c r="C211" s="231"/>
    </row>
    <row r="212" spans="3:3" x14ac:dyDescent="0.3">
      <c r="C212" s="231"/>
    </row>
    <row r="213" spans="3:3" x14ac:dyDescent="0.3">
      <c r="C213" s="231"/>
    </row>
    <row r="214" spans="3:3" x14ac:dyDescent="0.3">
      <c r="C214" s="231"/>
    </row>
    <row r="215" spans="3:3" x14ac:dyDescent="0.3">
      <c r="C215" s="231"/>
    </row>
    <row r="216" spans="3:3" x14ac:dyDescent="0.3">
      <c r="C216" s="231"/>
    </row>
    <row r="217" spans="3:3" x14ac:dyDescent="0.3">
      <c r="C217" s="231"/>
    </row>
    <row r="218" spans="3:3" x14ac:dyDescent="0.3">
      <c r="C218" s="231"/>
    </row>
    <row r="219" spans="3:3" x14ac:dyDescent="0.3">
      <c r="C219" s="231"/>
    </row>
    <row r="220" spans="3:3" x14ac:dyDescent="0.3">
      <c r="C220" s="231"/>
    </row>
    <row r="221" spans="3:3" x14ac:dyDescent="0.3">
      <c r="C221" s="231"/>
    </row>
    <row r="222" spans="3:3" x14ac:dyDescent="0.3">
      <c r="C222" s="231"/>
    </row>
    <row r="223" spans="3:3" x14ac:dyDescent="0.3">
      <c r="C223" s="231"/>
    </row>
    <row r="224" spans="3:3" x14ac:dyDescent="0.3">
      <c r="C224" s="231"/>
    </row>
    <row r="225" spans="3:3" x14ac:dyDescent="0.3">
      <c r="C225" s="231"/>
    </row>
    <row r="226" spans="3:3" x14ac:dyDescent="0.3">
      <c r="C226" s="231"/>
    </row>
    <row r="227" spans="3:3" x14ac:dyDescent="0.3">
      <c r="C227" s="231"/>
    </row>
    <row r="228" spans="3:3" x14ac:dyDescent="0.3">
      <c r="C228" s="231"/>
    </row>
    <row r="229" spans="3:3" x14ac:dyDescent="0.3">
      <c r="C229" s="231"/>
    </row>
    <row r="230" spans="3:3" x14ac:dyDescent="0.3">
      <c r="C230" s="231"/>
    </row>
    <row r="231" spans="3:3" x14ac:dyDescent="0.3">
      <c r="C231" s="231"/>
    </row>
    <row r="232" spans="3:3" x14ac:dyDescent="0.3">
      <c r="C232" s="231"/>
    </row>
    <row r="233" spans="3:3" x14ac:dyDescent="0.3">
      <c r="C233" s="231"/>
    </row>
    <row r="234" spans="3:3" x14ac:dyDescent="0.3">
      <c r="C234" s="231"/>
    </row>
    <row r="235" spans="3:3" x14ac:dyDescent="0.3">
      <c r="C235" s="231"/>
    </row>
    <row r="236" spans="3:3" x14ac:dyDescent="0.3">
      <c r="C236" s="231"/>
    </row>
    <row r="237" spans="3:3" x14ac:dyDescent="0.3">
      <c r="C237" s="231"/>
    </row>
    <row r="238" spans="3:3" x14ac:dyDescent="0.3">
      <c r="C238" s="231"/>
    </row>
    <row r="239" spans="3:3" x14ac:dyDescent="0.3">
      <c r="C239" s="231"/>
    </row>
    <row r="240" spans="3:3" x14ac:dyDescent="0.3">
      <c r="C240" s="231"/>
    </row>
    <row r="241" spans="3:3" x14ac:dyDescent="0.3">
      <c r="C241" s="231"/>
    </row>
    <row r="242" spans="3:3" x14ac:dyDescent="0.3">
      <c r="C242" s="231"/>
    </row>
    <row r="243" spans="3:3" x14ac:dyDescent="0.3">
      <c r="C243" s="231"/>
    </row>
    <row r="244" spans="3:3" x14ac:dyDescent="0.3">
      <c r="C244" s="231"/>
    </row>
    <row r="245" spans="3:3" x14ac:dyDescent="0.3">
      <c r="C245" s="231"/>
    </row>
    <row r="246" spans="3:3" x14ac:dyDescent="0.3">
      <c r="C246" s="231"/>
    </row>
    <row r="247" spans="3:3" x14ac:dyDescent="0.3">
      <c r="C247" s="231"/>
    </row>
    <row r="248" spans="3:3" x14ac:dyDescent="0.3">
      <c r="C248" s="231"/>
    </row>
    <row r="249" spans="3:3" x14ac:dyDescent="0.3">
      <c r="C249" s="231"/>
    </row>
    <row r="250" spans="3:3" x14ac:dyDescent="0.3">
      <c r="C250" s="231"/>
    </row>
    <row r="251" spans="3:3" x14ac:dyDescent="0.3">
      <c r="C251" s="231"/>
    </row>
    <row r="252" spans="3:3" x14ac:dyDescent="0.3">
      <c r="C252" s="231"/>
    </row>
    <row r="253" spans="3:3" x14ac:dyDescent="0.3">
      <c r="C253" s="231"/>
    </row>
    <row r="254" spans="3:3" x14ac:dyDescent="0.3">
      <c r="C254" s="231"/>
    </row>
    <row r="255" spans="3:3" x14ac:dyDescent="0.3">
      <c r="C255" s="231"/>
    </row>
    <row r="256" spans="3:3" x14ac:dyDescent="0.3">
      <c r="C256" s="231"/>
    </row>
    <row r="257" spans="3:3" x14ac:dyDescent="0.3">
      <c r="C257" s="231"/>
    </row>
    <row r="258" spans="3:3" x14ac:dyDescent="0.3">
      <c r="C258" s="231"/>
    </row>
    <row r="259" spans="3:3" x14ac:dyDescent="0.3">
      <c r="C259" s="231"/>
    </row>
    <row r="260" spans="3:3" x14ac:dyDescent="0.3">
      <c r="C260" s="231"/>
    </row>
    <row r="261" spans="3:3" x14ac:dyDescent="0.3">
      <c r="C261" s="231"/>
    </row>
    <row r="262" spans="3:3" x14ac:dyDescent="0.3">
      <c r="C262" s="231"/>
    </row>
    <row r="263" spans="3:3" x14ac:dyDescent="0.3">
      <c r="C263" s="231"/>
    </row>
    <row r="264" spans="3:3" x14ac:dyDescent="0.3">
      <c r="C264" s="231"/>
    </row>
    <row r="265" spans="3:3" x14ac:dyDescent="0.3">
      <c r="C265" s="231"/>
    </row>
    <row r="266" spans="3:3" x14ac:dyDescent="0.3">
      <c r="C266" s="231"/>
    </row>
    <row r="267" spans="3:3" x14ac:dyDescent="0.3">
      <c r="C267" s="231"/>
    </row>
    <row r="268" spans="3:3" x14ac:dyDescent="0.3">
      <c r="C268" s="231"/>
    </row>
    <row r="269" spans="3:3" x14ac:dyDescent="0.3">
      <c r="C269" s="231"/>
    </row>
    <row r="270" spans="3:3" x14ac:dyDescent="0.3">
      <c r="C270" s="231"/>
    </row>
    <row r="271" spans="3:3" x14ac:dyDescent="0.3">
      <c r="C271" s="231"/>
    </row>
    <row r="272" spans="3:3" x14ac:dyDescent="0.3">
      <c r="C272" s="231"/>
    </row>
    <row r="273" spans="3:3" x14ac:dyDescent="0.3">
      <c r="C273" s="231"/>
    </row>
    <row r="274" spans="3:3" x14ac:dyDescent="0.3">
      <c r="C274" s="231"/>
    </row>
    <row r="275" spans="3:3" x14ac:dyDescent="0.3">
      <c r="C275" s="231"/>
    </row>
    <row r="276" spans="3:3" x14ac:dyDescent="0.3">
      <c r="C276" s="231"/>
    </row>
    <row r="277" spans="3:3" x14ac:dyDescent="0.3">
      <c r="C277" s="231"/>
    </row>
    <row r="278" spans="3:3" x14ac:dyDescent="0.3">
      <c r="C278" s="231"/>
    </row>
    <row r="279" spans="3:3" x14ac:dyDescent="0.3">
      <c r="C279" s="231"/>
    </row>
    <row r="280" spans="3:3" x14ac:dyDescent="0.3">
      <c r="C280" s="231"/>
    </row>
    <row r="281" spans="3:3" x14ac:dyDescent="0.3">
      <c r="C281" s="231"/>
    </row>
    <row r="282" spans="3:3" x14ac:dyDescent="0.3">
      <c r="C282" s="231"/>
    </row>
    <row r="283" spans="3:3" x14ac:dyDescent="0.3">
      <c r="C283" s="231"/>
    </row>
    <row r="284" spans="3:3" x14ac:dyDescent="0.3">
      <c r="C284" s="231"/>
    </row>
    <row r="285" spans="3:3" x14ac:dyDescent="0.3">
      <c r="C285" s="231"/>
    </row>
    <row r="286" spans="3:3" x14ac:dyDescent="0.3">
      <c r="C286" s="231"/>
    </row>
    <row r="287" spans="3:3" x14ac:dyDescent="0.3">
      <c r="C287" s="231"/>
    </row>
    <row r="288" spans="3:3" x14ac:dyDescent="0.3">
      <c r="C288" s="231"/>
    </row>
    <row r="289" spans="3:3" x14ac:dyDescent="0.3">
      <c r="C289" s="231"/>
    </row>
    <row r="290" spans="3:3" x14ac:dyDescent="0.3">
      <c r="C290" s="231"/>
    </row>
    <row r="291" spans="3:3" x14ac:dyDescent="0.3">
      <c r="C291" s="231"/>
    </row>
    <row r="292" spans="3:3" x14ac:dyDescent="0.3">
      <c r="C292" s="231"/>
    </row>
    <row r="293" spans="3:3" x14ac:dyDescent="0.3">
      <c r="C293" s="231"/>
    </row>
    <row r="294" spans="3:3" x14ac:dyDescent="0.3">
      <c r="C294" s="231"/>
    </row>
    <row r="295" spans="3:3" x14ac:dyDescent="0.3">
      <c r="C295" s="231"/>
    </row>
    <row r="296" spans="3:3" x14ac:dyDescent="0.3">
      <c r="C296" s="231"/>
    </row>
    <row r="297" spans="3:3" x14ac:dyDescent="0.3">
      <c r="C297" s="231"/>
    </row>
    <row r="298" spans="3:3" x14ac:dyDescent="0.3">
      <c r="C298" s="231"/>
    </row>
    <row r="299" spans="3:3" x14ac:dyDescent="0.3">
      <c r="C299" s="231"/>
    </row>
    <row r="300" spans="3:3" x14ac:dyDescent="0.3">
      <c r="C300" s="231"/>
    </row>
    <row r="301" spans="3:3" x14ac:dyDescent="0.3">
      <c r="C301" s="231"/>
    </row>
    <row r="302" spans="3:3" x14ac:dyDescent="0.3">
      <c r="C302" s="231"/>
    </row>
    <row r="303" spans="3:3" x14ac:dyDescent="0.3">
      <c r="C303" s="231"/>
    </row>
    <row r="304" spans="3:3" x14ac:dyDescent="0.3">
      <c r="C304" s="231"/>
    </row>
    <row r="305" spans="3:3" x14ac:dyDescent="0.3">
      <c r="C305" s="231"/>
    </row>
    <row r="306" spans="3:3" x14ac:dyDescent="0.3">
      <c r="C306" s="231"/>
    </row>
    <row r="307" spans="3:3" x14ac:dyDescent="0.3">
      <c r="C307" s="231"/>
    </row>
    <row r="308" spans="3:3" x14ac:dyDescent="0.3">
      <c r="C308" s="231"/>
    </row>
    <row r="309" spans="3:3" x14ac:dyDescent="0.3">
      <c r="C309" s="231"/>
    </row>
    <row r="310" spans="3:3" x14ac:dyDescent="0.3">
      <c r="C310" s="231"/>
    </row>
    <row r="311" spans="3:3" x14ac:dyDescent="0.3">
      <c r="C311" s="231"/>
    </row>
    <row r="312" spans="3:3" x14ac:dyDescent="0.3">
      <c r="C312" s="231"/>
    </row>
    <row r="313" spans="3:3" x14ac:dyDescent="0.3">
      <c r="C313" s="231"/>
    </row>
    <row r="314" spans="3:3" x14ac:dyDescent="0.3">
      <c r="C314" s="231"/>
    </row>
    <row r="315" spans="3:3" x14ac:dyDescent="0.3">
      <c r="C315" s="231"/>
    </row>
    <row r="316" spans="3:3" x14ac:dyDescent="0.3">
      <c r="C316" s="231"/>
    </row>
    <row r="317" spans="3:3" x14ac:dyDescent="0.3">
      <c r="C317" s="231"/>
    </row>
    <row r="318" spans="3:3" x14ac:dyDescent="0.3">
      <c r="C318" s="231"/>
    </row>
    <row r="319" spans="3:3" x14ac:dyDescent="0.3">
      <c r="C319" s="231"/>
    </row>
    <row r="320" spans="3:3" x14ac:dyDescent="0.3">
      <c r="C320" s="231"/>
    </row>
    <row r="321" spans="3:3" x14ac:dyDescent="0.3">
      <c r="C321" s="231"/>
    </row>
    <row r="322" spans="3:3" x14ac:dyDescent="0.3">
      <c r="C322" s="231"/>
    </row>
    <row r="323" spans="3:3" x14ac:dyDescent="0.3">
      <c r="C323" s="231"/>
    </row>
    <row r="324" spans="3:3" x14ac:dyDescent="0.3">
      <c r="C324" s="231"/>
    </row>
    <row r="325" spans="3:3" x14ac:dyDescent="0.3">
      <c r="C325" s="231"/>
    </row>
    <row r="326" spans="3:3" x14ac:dyDescent="0.3">
      <c r="C326" s="231"/>
    </row>
    <row r="327" spans="3:3" x14ac:dyDescent="0.3">
      <c r="C327" s="231"/>
    </row>
    <row r="328" spans="3:3" x14ac:dyDescent="0.3">
      <c r="C328" s="231"/>
    </row>
    <row r="329" spans="3:3" x14ac:dyDescent="0.3">
      <c r="C329" s="231"/>
    </row>
    <row r="330" spans="3:3" x14ac:dyDescent="0.3">
      <c r="C330" s="231"/>
    </row>
    <row r="331" spans="3:3" x14ac:dyDescent="0.3">
      <c r="C331" s="231"/>
    </row>
    <row r="332" spans="3:3" x14ac:dyDescent="0.3">
      <c r="C332" s="231"/>
    </row>
    <row r="333" spans="3:3" x14ac:dyDescent="0.3">
      <c r="C333" s="231"/>
    </row>
    <row r="334" spans="3:3" x14ac:dyDescent="0.3">
      <c r="C334" s="231"/>
    </row>
    <row r="335" spans="3:3" x14ac:dyDescent="0.3">
      <c r="C335" s="231"/>
    </row>
    <row r="336" spans="3:3" x14ac:dyDescent="0.3">
      <c r="C336" s="231"/>
    </row>
    <row r="337" spans="3:3" x14ac:dyDescent="0.3">
      <c r="C337" s="231"/>
    </row>
    <row r="338" spans="3:3" x14ac:dyDescent="0.3">
      <c r="C338" s="231"/>
    </row>
    <row r="339" spans="3:3" x14ac:dyDescent="0.3">
      <c r="C339" s="231"/>
    </row>
    <row r="340" spans="3:3" x14ac:dyDescent="0.3">
      <c r="C340" s="231"/>
    </row>
    <row r="341" spans="3:3" x14ac:dyDescent="0.3">
      <c r="C341" s="231"/>
    </row>
    <row r="342" spans="3:3" x14ac:dyDescent="0.3">
      <c r="C342" s="231"/>
    </row>
    <row r="343" spans="3:3" x14ac:dyDescent="0.3">
      <c r="C343" s="231"/>
    </row>
    <row r="344" spans="3:3" x14ac:dyDescent="0.3">
      <c r="C344" s="231"/>
    </row>
    <row r="345" spans="3:3" x14ac:dyDescent="0.3">
      <c r="C345" s="231"/>
    </row>
    <row r="346" spans="3:3" x14ac:dyDescent="0.3">
      <c r="C346" s="231"/>
    </row>
    <row r="347" spans="3:3" x14ac:dyDescent="0.3">
      <c r="C347" s="231"/>
    </row>
    <row r="348" spans="3:3" x14ac:dyDescent="0.3">
      <c r="C348" s="231"/>
    </row>
    <row r="349" spans="3:3" x14ac:dyDescent="0.3">
      <c r="C349" s="231"/>
    </row>
    <row r="350" spans="3:3" x14ac:dyDescent="0.3">
      <c r="C350" s="231"/>
    </row>
    <row r="351" spans="3:3" x14ac:dyDescent="0.3">
      <c r="C351" s="231"/>
    </row>
    <row r="352" spans="3:3" x14ac:dyDescent="0.3">
      <c r="C352" s="231"/>
    </row>
    <row r="353" spans="3:3" x14ac:dyDescent="0.3">
      <c r="C353" s="231"/>
    </row>
    <row r="354" spans="3:3" x14ac:dyDescent="0.3">
      <c r="C354" s="231"/>
    </row>
    <row r="355" spans="3:3" x14ac:dyDescent="0.3">
      <c r="C355" s="231"/>
    </row>
    <row r="356" spans="3:3" x14ac:dyDescent="0.3">
      <c r="C356" s="231"/>
    </row>
    <row r="357" spans="3:3" x14ac:dyDescent="0.3">
      <c r="C357" s="231"/>
    </row>
    <row r="358" spans="3:3" x14ac:dyDescent="0.3">
      <c r="C358" s="231"/>
    </row>
    <row r="359" spans="3:3" x14ac:dyDescent="0.3">
      <c r="C359" s="231"/>
    </row>
    <row r="360" spans="3:3" x14ac:dyDescent="0.3">
      <c r="C360" s="231"/>
    </row>
    <row r="361" spans="3:3" x14ac:dyDescent="0.3">
      <c r="C361" s="231"/>
    </row>
    <row r="362" spans="3:3" x14ac:dyDescent="0.3">
      <c r="C362" s="231"/>
    </row>
    <row r="363" spans="3:3" x14ac:dyDescent="0.3">
      <c r="C363" s="231"/>
    </row>
    <row r="364" spans="3:3" x14ac:dyDescent="0.3">
      <c r="C364" s="231"/>
    </row>
    <row r="365" spans="3:3" x14ac:dyDescent="0.3">
      <c r="C365" s="231"/>
    </row>
    <row r="366" spans="3:3" x14ac:dyDescent="0.3">
      <c r="C366" s="231"/>
    </row>
    <row r="367" spans="3:3" x14ac:dyDescent="0.3">
      <c r="C367" s="231"/>
    </row>
    <row r="368" spans="3:3" x14ac:dyDescent="0.3">
      <c r="C368" s="231"/>
    </row>
    <row r="369" spans="3:3" x14ac:dyDescent="0.3">
      <c r="C369" s="231"/>
    </row>
    <row r="370" spans="3:3" x14ac:dyDescent="0.3">
      <c r="C370" s="231"/>
    </row>
    <row r="371" spans="3:3" x14ac:dyDescent="0.3">
      <c r="C371" s="231"/>
    </row>
    <row r="372" spans="3:3" x14ac:dyDescent="0.3">
      <c r="C372" s="231"/>
    </row>
    <row r="373" spans="3:3" x14ac:dyDescent="0.3">
      <c r="C373" s="231"/>
    </row>
    <row r="374" spans="3:3" x14ac:dyDescent="0.3">
      <c r="C374" s="231"/>
    </row>
    <row r="375" spans="3:3" x14ac:dyDescent="0.3">
      <c r="C375" s="231"/>
    </row>
    <row r="376" spans="3:3" x14ac:dyDescent="0.3">
      <c r="C376" s="231"/>
    </row>
    <row r="377" spans="3:3" x14ac:dyDescent="0.3">
      <c r="C377" s="231"/>
    </row>
    <row r="378" spans="3:3" x14ac:dyDescent="0.3">
      <c r="C378" s="231"/>
    </row>
    <row r="379" spans="3:3" x14ac:dyDescent="0.3">
      <c r="C379" s="231"/>
    </row>
    <row r="380" spans="3:3" x14ac:dyDescent="0.3">
      <c r="C380" s="231"/>
    </row>
    <row r="381" spans="3:3" x14ac:dyDescent="0.3">
      <c r="C381" s="231"/>
    </row>
    <row r="382" spans="3:3" x14ac:dyDescent="0.3">
      <c r="C382" s="231"/>
    </row>
    <row r="383" spans="3:3" x14ac:dyDescent="0.3">
      <c r="C383" s="231"/>
    </row>
    <row r="384" spans="3:3" x14ac:dyDescent="0.3">
      <c r="C384" s="231"/>
    </row>
    <row r="385" spans="3:3" x14ac:dyDescent="0.3">
      <c r="C385" s="231"/>
    </row>
    <row r="386" spans="3:3" x14ac:dyDescent="0.3">
      <c r="C386" s="231"/>
    </row>
    <row r="387" spans="3:3" x14ac:dyDescent="0.3">
      <c r="C387" s="231"/>
    </row>
    <row r="388" spans="3:3" x14ac:dyDescent="0.3">
      <c r="C388" s="231"/>
    </row>
    <row r="389" spans="3:3" x14ac:dyDescent="0.3">
      <c r="C389" s="231"/>
    </row>
    <row r="390" spans="3:3" x14ac:dyDescent="0.3">
      <c r="C390" s="231"/>
    </row>
    <row r="391" spans="3:3" x14ac:dyDescent="0.3">
      <c r="C391" s="231"/>
    </row>
    <row r="392" spans="3:3" x14ac:dyDescent="0.3">
      <c r="C392" s="231"/>
    </row>
    <row r="393" spans="3:3" x14ac:dyDescent="0.3">
      <c r="C393" s="231"/>
    </row>
    <row r="394" spans="3:3" x14ac:dyDescent="0.3">
      <c r="C394" s="231"/>
    </row>
    <row r="395" spans="3:3" x14ac:dyDescent="0.3">
      <c r="C395" s="231"/>
    </row>
    <row r="396" spans="3:3" x14ac:dyDescent="0.3">
      <c r="C396" s="231"/>
    </row>
    <row r="397" spans="3:3" x14ac:dyDescent="0.3">
      <c r="C397" s="231"/>
    </row>
    <row r="398" spans="3:3" x14ac:dyDescent="0.3">
      <c r="C398" s="231"/>
    </row>
    <row r="399" spans="3:3" x14ac:dyDescent="0.3">
      <c r="C399" s="231"/>
    </row>
    <row r="400" spans="3:3" x14ac:dyDescent="0.3">
      <c r="C400" s="231"/>
    </row>
    <row r="401" spans="3:3" x14ac:dyDescent="0.3">
      <c r="C401" s="231"/>
    </row>
    <row r="402" spans="3:3" x14ac:dyDescent="0.3">
      <c r="C402" s="231"/>
    </row>
    <row r="403" spans="3:3" x14ac:dyDescent="0.3">
      <c r="C403" s="231"/>
    </row>
    <row r="404" spans="3:3" x14ac:dyDescent="0.3">
      <c r="C404" s="231"/>
    </row>
    <row r="405" spans="3:3" x14ac:dyDescent="0.3">
      <c r="C405" s="231"/>
    </row>
    <row r="406" spans="3:3" x14ac:dyDescent="0.3">
      <c r="C406" s="231"/>
    </row>
    <row r="407" spans="3:3" x14ac:dyDescent="0.3">
      <c r="C407" s="231"/>
    </row>
    <row r="408" spans="3:3" x14ac:dyDescent="0.3">
      <c r="C408" s="231"/>
    </row>
    <row r="409" spans="3:3" x14ac:dyDescent="0.3">
      <c r="C409" s="231"/>
    </row>
    <row r="410" spans="3:3" x14ac:dyDescent="0.3">
      <c r="C410" s="231"/>
    </row>
    <row r="411" spans="3:3" x14ac:dyDescent="0.3">
      <c r="C411" s="231"/>
    </row>
    <row r="412" spans="3:3" x14ac:dyDescent="0.3">
      <c r="C412" s="231"/>
    </row>
    <row r="413" spans="3:3" x14ac:dyDescent="0.3">
      <c r="C413" s="231"/>
    </row>
    <row r="414" spans="3:3" x14ac:dyDescent="0.3">
      <c r="C414" s="231"/>
    </row>
    <row r="415" spans="3:3" x14ac:dyDescent="0.3">
      <c r="C415" s="231"/>
    </row>
    <row r="416" spans="3:3" x14ac:dyDescent="0.3">
      <c r="C416" s="231"/>
    </row>
    <row r="417" spans="3:3" x14ac:dyDescent="0.3">
      <c r="C417" s="231"/>
    </row>
    <row r="418" spans="3:3" x14ac:dyDescent="0.3">
      <c r="C418" s="231"/>
    </row>
    <row r="419" spans="3:3" x14ac:dyDescent="0.3">
      <c r="C419" s="231"/>
    </row>
    <row r="420" spans="3:3" x14ac:dyDescent="0.3">
      <c r="C420" s="231"/>
    </row>
    <row r="421" spans="3:3" x14ac:dyDescent="0.3">
      <c r="C421" s="231"/>
    </row>
    <row r="422" spans="3:3" x14ac:dyDescent="0.3">
      <c r="C422" s="231"/>
    </row>
    <row r="423" spans="3:3" x14ac:dyDescent="0.3">
      <c r="C423" s="231"/>
    </row>
    <row r="424" spans="3:3" x14ac:dyDescent="0.3">
      <c r="C424" s="231"/>
    </row>
    <row r="425" spans="3:3" x14ac:dyDescent="0.3">
      <c r="C425" s="231"/>
    </row>
    <row r="426" spans="3:3" x14ac:dyDescent="0.3">
      <c r="C426" s="231"/>
    </row>
    <row r="427" spans="3:3" x14ac:dyDescent="0.3">
      <c r="C427" s="231"/>
    </row>
    <row r="428" spans="3:3" x14ac:dyDescent="0.3">
      <c r="C428" s="231"/>
    </row>
    <row r="429" spans="3:3" x14ac:dyDescent="0.3">
      <c r="C429" s="231"/>
    </row>
    <row r="430" spans="3:3" x14ac:dyDescent="0.3">
      <c r="C430" s="231"/>
    </row>
    <row r="431" spans="3:3" x14ac:dyDescent="0.3">
      <c r="C431" s="231"/>
    </row>
    <row r="432" spans="3:3" x14ac:dyDescent="0.3">
      <c r="C432" s="231"/>
    </row>
    <row r="433" spans="3:3" x14ac:dyDescent="0.3">
      <c r="C433" s="231"/>
    </row>
    <row r="434" spans="3:3" x14ac:dyDescent="0.3">
      <c r="C434" s="231"/>
    </row>
    <row r="435" spans="3:3" x14ac:dyDescent="0.3">
      <c r="C435" s="231"/>
    </row>
    <row r="436" spans="3:3" x14ac:dyDescent="0.3">
      <c r="C436" s="231"/>
    </row>
    <row r="437" spans="3:3" x14ac:dyDescent="0.3">
      <c r="C437" s="231"/>
    </row>
    <row r="438" spans="3:3" x14ac:dyDescent="0.3">
      <c r="C438" s="231"/>
    </row>
    <row r="439" spans="3:3" x14ac:dyDescent="0.3">
      <c r="C439" s="231"/>
    </row>
    <row r="440" spans="3:3" x14ac:dyDescent="0.3">
      <c r="C440" s="231"/>
    </row>
    <row r="441" spans="3:3" x14ac:dyDescent="0.3">
      <c r="C441" s="231"/>
    </row>
    <row r="442" spans="3:3" x14ac:dyDescent="0.3">
      <c r="C442" s="231"/>
    </row>
    <row r="443" spans="3:3" x14ac:dyDescent="0.3">
      <c r="C443" s="231"/>
    </row>
    <row r="444" spans="3:3" x14ac:dyDescent="0.3">
      <c r="C444" s="231"/>
    </row>
    <row r="445" spans="3:3" x14ac:dyDescent="0.3">
      <c r="C445" s="231"/>
    </row>
    <row r="446" spans="3:3" x14ac:dyDescent="0.3">
      <c r="C446" s="231"/>
    </row>
    <row r="447" spans="3:3" x14ac:dyDescent="0.3">
      <c r="C447" s="231"/>
    </row>
    <row r="448" spans="3:3" x14ac:dyDescent="0.3">
      <c r="C448" s="231"/>
    </row>
    <row r="449" spans="3:3" x14ac:dyDescent="0.3">
      <c r="C449" s="231"/>
    </row>
    <row r="450" spans="3:3" x14ac:dyDescent="0.3">
      <c r="C450" s="231"/>
    </row>
    <row r="451" spans="3:3" x14ac:dyDescent="0.3">
      <c r="C451" s="231"/>
    </row>
    <row r="452" spans="3:3" x14ac:dyDescent="0.3">
      <c r="C452" s="231"/>
    </row>
    <row r="453" spans="3:3" x14ac:dyDescent="0.3">
      <c r="C453" s="231"/>
    </row>
    <row r="454" spans="3:3" x14ac:dyDescent="0.3">
      <c r="C454" s="231"/>
    </row>
    <row r="455" spans="3:3" x14ac:dyDescent="0.3">
      <c r="C455" s="231"/>
    </row>
    <row r="456" spans="3:3" x14ac:dyDescent="0.3">
      <c r="C456" s="231"/>
    </row>
    <row r="457" spans="3:3" x14ac:dyDescent="0.3">
      <c r="C457" s="231"/>
    </row>
    <row r="458" spans="3:3" x14ac:dyDescent="0.3">
      <c r="C458" s="231"/>
    </row>
    <row r="459" spans="3:3" x14ac:dyDescent="0.3">
      <c r="C459" s="231"/>
    </row>
    <row r="460" spans="3:3" x14ac:dyDescent="0.3">
      <c r="C460" s="231"/>
    </row>
    <row r="461" spans="3:3" x14ac:dyDescent="0.3">
      <c r="C461" s="231"/>
    </row>
    <row r="462" spans="3:3" x14ac:dyDescent="0.3">
      <c r="C462" s="231"/>
    </row>
    <row r="463" spans="3:3" x14ac:dyDescent="0.3">
      <c r="C463" s="231"/>
    </row>
    <row r="464" spans="3:3" x14ac:dyDescent="0.3">
      <c r="C464" s="231"/>
    </row>
    <row r="465" spans="3:3" x14ac:dyDescent="0.3">
      <c r="C465" s="231"/>
    </row>
    <row r="466" spans="3:3" x14ac:dyDescent="0.3">
      <c r="C466" s="231"/>
    </row>
    <row r="467" spans="3:3" x14ac:dyDescent="0.3">
      <c r="C467" s="231"/>
    </row>
    <row r="468" spans="3:3" x14ac:dyDescent="0.3">
      <c r="C468" s="231"/>
    </row>
    <row r="469" spans="3:3" x14ac:dyDescent="0.3">
      <c r="C469" s="231"/>
    </row>
    <row r="470" spans="3:3" x14ac:dyDescent="0.3">
      <c r="C470" s="231"/>
    </row>
    <row r="471" spans="3:3" x14ac:dyDescent="0.3">
      <c r="C471" s="231"/>
    </row>
    <row r="472" spans="3:3" x14ac:dyDescent="0.3">
      <c r="C472" s="231"/>
    </row>
    <row r="473" spans="3:3" x14ac:dyDescent="0.3">
      <c r="C473" s="231"/>
    </row>
    <row r="474" spans="3:3" x14ac:dyDescent="0.3">
      <c r="C474" s="231"/>
    </row>
    <row r="475" spans="3:3" x14ac:dyDescent="0.3">
      <c r="C475" s="231"/>
    </row>
    <row r="476" spans="3:3" x14ac:dyDescent="0.3">
      <c r="C476" s="231"/>
    </row>
    <row r="477" spans="3:3" x14ac:dyDescent="0.3">
      <c r="C477" s="231"/>
    </row>
    <row r="478" spans="3:3" x14ac:dyDescent="0.3">
      <c r="C478" s="231"/>
    </row>
    <row r="479" spans="3:3" x14ac:dyDescent="0.3">
      <c r="C479" s="231"/>
    </row>
    <row r="480" spans="3:3" x14ac:dyDescent="0.3">
      <c r="C480" s="231"/>
    </row>
    <row r="481" spans="3:3" x14ac:dyDescent="0.3">
      <c r="C481" s="231"/>
    </row>
    <row r="482" spans="3:3" x14ac:dyDescent="0.3">
      <c r="C482" s="231"/>
    </row>
    <row r="483" spans="3:3" x14ac:dyDescent="0.3">
      <c r="C483" s="231"/>
    </row>
    <row r="484" spans="3:3" x14ac:dyDescent="0.3">
      <c r="C484" s="231"/>
    </row>
    <row r="485" spans="3:3" x14ac:dyDescent="0.3">
      <c r="C485" s="231"/>
    </row>
    <row r="486" spans="3:3" x14ac:dyDescent="0.3">
      <c r="C486" s="231"/>
    </row>
    <row r="487" spans="3:3" x14ac:dyDescent="0.3">
      <c r="C487" s="231"/>
    </row>
    <row r="488" spans="3:3" x14ac:dyDescent="0.3">
      <c r="C488" s="231"/>
    </row>
    <row r="489" spans="3:3" x14ac:dyDescent="0.3">
      <c r="C489" s="231"/>
    </row>
    <row r="490" spans="3:3" x14ac:dyDescent="0.3">
      <c r="C490" s="231"/>
    </row>
    <row r="491" spans="3:3" x14ac:dyDescent="0.3">
      <c r="C491" s="231"/>
    </row>
    <row r="492" spans="3:3" x14ac:dyDescent="0.3">
      <c r="C492" s="231"/>
    </row>
    <row r="493" spans="3:3" x14ac:dyDescent="0.3">
      <c r="C493" s="231"/>
    </row>
    <row r="494" spans="3:3" x14ac:dyDescent="0.3">
      <c r="C494" s="231"/>
    </row>
    <row r="495" spans="3:3" x14ac:dyDescent="0.3">
      <c r="C495" s="231"/>
    </row>
    <row r="496" spans="3:3" x14ac:dyDescent="0.3">
      <c r="C496" s="231"/>
    </row>
    <row r="497" spans="3:3" x14ac:dyDescent="0.3">
      <c r="C497" s="231"/>
    </row>
    <row r="498" spans="3:3" x14ac:dyDescent="0.3">
      <c r="C498" s="231"/>
    </row>
    <row r="499" spans="3:3" x14ac:dyDescent="0.3">
      <c r="C499" s="231"/>
    </row>
    <row r="500" spans="3:3" x14ac:dyDescent="0.3">
      <c r="C500" s="231"/>
    </row>
    <row r="501" spans="3:3" x14ac:dyDescent="0.3">
      <c r="C501" s="231"/>
    </row>
    <row r="502" spans="3:3" x14ac:dyDescent="0.3">
      <c r="C502" s="231"/>
    </row>
    <row r="503" spans="3:3" x14ac:dyDescent="0.3">
      <c r="C503" s="231"/>
    </row>
    <row r="504" spans="3:3" x14ac:dyDescent="0.3">
      <c r="C504" s="231"/>
    </row>
    <row r="505" spans="3:3" x14ac:dyDescent="0.3">
      <c r="C505" s="231"/>
    </row>
    <row r="506" spans="3:3" x14ac:dyDescent="0.3">
      <c r="C506" s="231"/>
    </row>
    <row r="507" spans="3:3" x14ac:dyDescent="0.3">
      <c r="C507" s="231"/>
    </row>
    <row r="508" spans="3:3" x14ac:dyDescent="0.3">
      <c r="C508" s="231"/>
    </row>
    <row r="509" spans="3:3" x14ac:dyDescent="0.3">
      <c r="C509" s="231"/>
    </row>
    <row r="510" spans="3:3" x14ac:dyDescent="0.3">
      <c r="C510" s="231"/>
    </row>
    <row r="511" spans="3:3" x14ac:dyDescent="0.3">
      <c r="C511" s="231"/>
    </row>
    <row r="512" spans="3:3" x14ac:dyDescent="0.3">
      <c r="C512" s="231"/>
    </row>
    <row r="513" spans="3:3" x14ac:dyDescent="0.3">
      <c r="C513" s="231"/>
    </row>
    <row r="514" spans="3:3" x14ac:dyDescent="0.3">
      <c r="C514" s="231"/>
    </row>
    <row r="515" spans="3:3" x14ac:dyDescent="0.3">
      <c r="C515" s="231"/>
    </row>
    <row r="516" spans="3:3" x14ac:dyDescent="0.3">
      <c r="C516" s="231"/>
    </row>
    <row r="517" spans="3:3" x14ac:dyDescent="0.3">
      <c r="C517" s="231"/>
    </row>
    <row r="518" spans="3:3" x14ac:dyDescent="0.3">
      <c r="C518" s="231"/>
    </row>
  </sheetData>
  <pageMargins left="0.7" right="0.7" top="0.75" bottom="0.75" header="0.3" footer="0.3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D2A58-645B-4453-8739-D967204CD78B}">
  <sheetPr codeName="Sheet5"/>
  <dimension ref="A1:XFD1082"/>
  <sheetViews>
    <sheetView showGridLines="0" zoomScale="110" zoomScaleNormal="110" workbookViewId="0">
      <pane ySplit="7" topLeftCell="A8" activePane="bottomLeft" state="frozen"/>
      <selection activeCell="F12" sqref="F12"/>
      <selection pane="bottomLeft" activeCell="E16" sqref="E16"/>
    </sheetView>
  </sheetViews>
  <sheetFormatPr defaultRowHeight="13.2" x14ac:dyDescent="0.25"/>
  <cols>
    <col min="1" max="1" width="7.88671875" customWidth="1"/>
    <col min="2" max="2" width="13" style="2" customWidth="1"/>
    <col min="3" max="3" width="9.88671875" style="2" bestFit="1" customWidth="1"/>
    <col min="4" max="4" width="17" style="2" customWidth="1"/>
    <col min="5" max="5" width="9.5546875" style="2" customWidth="1"/>
    <col min="6" max="6" width="10.5546875" style="2" customWidth="1"/>
    <col min="7" max="7" width="9.33203125" style="2" customWidth="1"/>
    <col min="8" max="8" width="11.5546875" style="2" customWidth="1"/>
    <col min="9" max="9" width="11.6640625" style="2" bestFit="1" customWidth="1"/>
    <col min="10" max="10" width="12.109375" style="2" customWidth="1"/>
    <col min="11" max="11" width="10.88671875" style="2" bestFit="1" customWidth="1"/>
    <col min="12" max="12" width="11.33203125" style="2" bestFit="1" customWidth="1"/>
    <col min="13" max="13" width="9.109375" style="2" customWidth="1"/>
    <col min="14" max="14" width="25.44140625" style="2" bestFit="1" customWidth="1"/>
    <col min="15" max="19" width="11.33203125" style="2" bestFit="1" customWidth="1"/>
    <col min="20" max="41" width="12.33203125" style="2" bestFit="1" customWidth="1"/>
    <col min="42" max="109" width="12.33203125" bestFit="1" customWidth="1"/>
    <col min="110" max="110" width="13.44140625" bestFit="1" customWidth="1"/>
  </cols>
  <sheetData>
    <row r="1" spans="1:110 16384:16384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</row>
    <row r="2" spans="1:110 16384:16384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</row>
    <row r="3" spans="1:110 16384:16384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</row>
    <row r="4" spans="1:110 16384:16384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</row>
    <row r="5" spans="1:110 16384:16384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</row>
    <row r="6" spans="1:110 16384:16384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</row>
    <row r="7" spans="1:110 16384:16384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</row>
    <row r="8" spans="1:110 16384:16384" s="2" customFormat="1" ht="13.8" thickBot="1" x14ac:dyDescent="0.3">
      <c r="A8" s="6"/>
      <c r="B8" s="18"/>
      <c r="C8" s="18"/>
      <c r="D8" s="15"/>
      <c r="E8" s="18"/>
      <c r="F8" s="248"/>
      <c r="G8" s="248"/>
      <c r="H8" s="18"/>
      <c r="I8" s="18"/>
      <c r="J8" s="18"/>
      <c r="K8" s="18"/>
      <c r="L8" s="18"/>
      <c r="M8" s="8"/>
      <c r="N8" s="7"/>
      <c r="O8" s="8"/>
      <c r="P8" s="8"/>
      <c r="Q8" s="8"/>
      <c r="R8" s="8"/>
      <c r="S8" s="6"/>
      <c r="T8" s="6"/>
      <c r="U8" s="6"/>
      <c r="V8" s="6"/>
      <c r="W8" s="6"/>
      <c r="X8" s="6"/>
      <c r="Y8" s="6"/>
      <c r="Z8" s="6"/>
      <c r="AA8" s="6"/>
      <c r="AB8" s="6"/>
      <c r="AC8" s="6"/>
    </row>
    <row r="9" spans="1:110 16384:16384" s="2" customFormat="1" ht="14.4" customHeight="1" x14ac:dyDescent="0.25">
      <c r="A9" s="6"/>
      <c r="B9" s="249" t="s">
        <v>53</v>
      </c>
      <c r="C9" s="250"/>
      <c r="D9" s="250"/>
      <c r="E9" s="250"/>
      <c r="F9" s="251"/>
      <c r="G9" s="7"/>
      <c r="H9" s="243" t="s">
        <v>54</v>
      </c>
      <c r="I9" s="244"/>
      <c r="J9" s="7"/>
      <c r="K9" s="243" t="s">
        <v>55</v>
      </c>
      <c r="L9" s="244"/>
      <c r="M9" s="12"/>
      <c r="N9" s="243" t="s">
        <v>56</v>
      </c>
      <c r="O9" s="244"/>
      <c r="P9" s="68"/>
      <c r="Q9" s="12"/>
      <c r="R9" s="12"/>
      <c r="S9" s="13" t="str" cm="1">
        <f t="array" ref="S9:Y9">TRANSPOSE(H10:H16)</f>
        <v>AAA</v>
      </c>
      <c r="T9" s="13" t="str">
        <v>AA</v>
      </c>
      <c r="U9" s="13" t="str">
        <v>A</v>
      </c>
      <c r="V9" s="13" t="str">
        <v>BBB</v>
      </c>
      <c r="W9" s="13" t="str">
        <v>BB</v>
      </c>
      <c r="X9" s="13" t="str">
        <v>B</v>
      </c>
      <c r="Y9" s="13" t="str">
        <v>CCC</v>
      </c>
      <c r="Z9" s="13" t="str" cm="1">
        <f t="array" ref="Z9:AG9">TRANSPOSE(K10:K17)</f>
        <v>Asia</v>
      </c>
      <c r="AA9" s="13" t="str">
        <v>E.Eur</v>
      </c>
      <c r="AB9" s="13" t="str">
        <v>Europe</v>
      </c>
      <c r="AC9" s="13" t="str">
        <v>Japan</v>
      </c>
      <c r="AD9" s="5" t="str">
        <v>MiddleEast</v>
      </c>
      <c r="AE9" s="5" t="str">
        <v>Lat.Amer</v>
      </c>
      <c r="AF9" s="5" t="str">
        <v>N.Amer</v>
      </c>
      <c r="AG9" s="5" t="str">
        <v>Oceania</v>
      </c>
      <c r="AH9" s="5" t="str" cm="1">
        <f t="array" ref="AH9:AS9">TRANSPOSE(N10:N21)</f>
        <v>Basic Materials</v>
      </c>
      <c r="AI9" s="5" t="str">
        <v>Consumer Goods</v>
      </c>
      <c r="AJ9" s="5" t="str">
        <v>Consumer Services</v>
      </c>
      <c r="AK9" s="5" t="str">
        <v>Energy</v>
      </c>
      <c r="AL9" s="5" t="str">
        <v>Financials</v>
      </c>
      <c r="AM9" s="5" t="str">
        <v>Government</v>
      </c>
      <c r="AN9" s="5" t="str">
        <v>Healthcare</v>
      </c>
      <c r="AO9" s="5" t="str">
        <v>Industrials</v>
      </c>
      <c r="AP9" s="5" t="str">
        <v>Muni</v>
      </c>
      <c r="AQ9" s="5" t="str">
        <v>Technology</v>
      </c>
      <c r="AR9" s="5" t="str">
        <v>Telecommunications Services</v>
      </c>
      <c r="AS9" s="5" t="str">
        <v>Utilities</v>
      </c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</row>
    <row r="10" spans="1:110 16384:16384" s="2" customFormat="1" ht="14.4" customHeight="1" x14ac:dyDescent="0.25">
      <c r="A10" s="6"/>
      <c r="B10" s="48" t="s">
        <v>47</v>
      </c>
      <c r="C10" s="49" t="s">
        <v>48</v>
      </c>
      <c r="D10" s="50" t="s">
        <v>49</v>
      </c>
      <c r="E10" s="51" t="s">
        <v>50</v>
      </c>
      <c r="F10" s="52" t="s">
        <v>51</v>
      </c>
      <c r="G10" s="7"/>
      <c r="H10" s="64" t="s">
        <v>42</v>
      </c>
      <c r="I10" s="76">
        <f t="shared" ref="I10:I16" si="0">R11</f>
        <v>-3.7283039634267023</v>
      </c>
      <c r="J10" s="7"/>
      <c r="K10" s="64" t="s">
        <v>36</v>
      </c>
      <c r="L10" s="76">
        <f t="shared" ref="L10:L17" si="1">R18</f>
        <v>-0.17880401271028609</v>
      </c>
      <c r="M10" s="12"/>
      <c r="N10" s="64" t="s">
        <v>27</v>
      </c>
      <c r="O10" s="76">
        <f t="shared" ref="O10:O21" si="2">R26</f>
        <v>-0.32312959645937611</v>
      </c>
      <c r="Q10" s="12"/>
      <c r="R10" s="41">
        <f t="array" ref="R10:R46">TRANSPOSE(ReverseArray(LINEST(F11:F1082,S10:AS1081)))</f>
        <v>-1.869979091528772</v>
      </c>
      <c r="S10" s="40">
        <f t="shared" ref="S10:S73" si="3">IF($B11=S$9,1,0)</f>
        <v>0</v>
      </c>
      <c r="T10" s="40">
        <f t="shared" ref="T10:T73" si="4">IF($B11=T$9,1,0)</f>
        <v>0</v>
      </c>
      <c r="U10" s="40">
        <f t="shared" ref="U10:U73" si="5">IF($B11=U$9,1,0)</f>
        <v>1</v>
      </c>
      <c r="V10" s="40">
        <f t="shared" ref="V10:V73" si="6">IF($B11=V$9,1,0)</f>
        <v>0</v>
      </c>
      <c r="W10" s="40">
        <f t="shared" ref="W10:W73" si="7">IF($B11=W$9,1,0)</f>
        <v>0</v>
      </c>
      <c r="X10" s="40">
        <f t="shared" ref="X10:X73" si="8">IF($B11=X$9,1,0)</f>
        <v>0</v>
      </c>
      <c r="Y10" s="40">
        <f t="shared" ref="Y10:Y73" si="9">IF($B11=Y$9,1,0)</f>
        <v>0</v>
      </c>
      <c r="Z10" s="40">
        <f t="shared" ref="Z10:Z73" si="10">IF($C11=Z$9,1,0)</f>
        <v>0</v>
      </c>
      <c r="AA10" s="40">
        <f t="shared" ref="AA10:AA73" si="11">IF($C11=AA$9,1,0)</f>
        <v>0</v>
      </c>
      <c r="AB10" s="40">
        <f t="shared" ref="AB10:AB73" si="12">IF($C11=AB$9,1,0)</f>
        <v>0</v>
      </c>
      <c r="AC10" s="40">
        <f t="shared" ref="AC10:AC73" si="13">IF($C11=AC$9,1,0)</f>
        <v>0</v>
      </c>
      <c r="AD10" s="40">
        <f t="shared" ref="AD10:AD73" si="14">IF($C11=AD$9,1,0)</f>
        <v>1</v>
      </c>
      <c r="AE10" s="40">
        <f t="shared" ref="AE10:AE73" si="15">IF($C11=AE$9,1,0)</f>
        <v>0</v>
      </c>
      <c r="AF10" s="40">
        <f t="shared" ref="AF10:AF73" si="16">IF($C11=AF$9,1,0)</f>
        <v>0</v>
      </c>
      <c r="AG10" s="40">
        <f t="shared" ref="AG10:AG73" si="17">IF($C11=AG$9,1,0)</f>
        <v>0</v>
      </c>
      <c r="AH10" s="40">
        <f t="shared" ref="AH10:AH73" si="18">IF($D11=AH$9,1,0)</f>
        <v>0</v>
      </c>
      <c r="AI10" s="40">
        <f t="shared" ref="AI10:AI73" si="19">IF($D11=AI$9,1,0)</f>
        <v>0</v>
      </c>
      <c r="AJ10" s="40">
        <f t="shared" ref="AJ10:AJ73" si="20">IF($D11=AJ$9,1,0)</f>
        <v>0</v>
      </c>
      <c r="AK10" s="40">
        <f t="shared" ref="AK10:AK73" si="21">IF($D11=AK$9,1,0)</f>
        <v>0</v>
      </c>
      <c r="AL10" s="40">
        <f t="shared" ref="AL10:AL73" si="22">IF($D11=AL$9,1,0)</f>
        <v>0</v>
      </c>
      <c r="AM10" s="40">
        <f t="shared" ref="AM10:AM73" si="23">IF($D11=AM$9,1,0)</f>
        <v>0</v>
      </c>
      <c r="AN10" s="40">
        <f t="shared" ref="AN10:AN73" si="24">IF($D11=AN$9,1,0)</f>
        <v>0</v>
      </c>
      <c r="AO10" s="40">
        <f t="shared" ref="AO10:AO73" si="25">IF($D11=AO$9,1,0)</f>
        <v>0</v>
      </c>
      <c r="AP10" s="40">
        <f t="shared" ref="AP10:AP73" si="26">IF($D11=AP$9,1,0)</f>
        <v>0</v>
      </c>
      <c r="AQ10" s="40">
        <f t="shared" ref="AQ10:AQ73" si="27">IF($D11=AQ$9,1,0)</f>
        <v>0</v>
      </c>
      <c r="AR10" s="40">
        <f t="shared" ref="AR10:AR73" si="28">IF($D11=AR$9,1,0)</f>
        <v>0</v>
      </c>
      <c r="AS10" s="40">
        <f t="shared" ref="AS10:AS73" si="29">IF($D11=AS$9,1,0)</f>
        <v>1</v>
      </c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XFD10" s="40"/>
    </row>
    <row r="11" spans="1:110 16384:16384" s="2" customFormat="1" ht="14.4" customHeight="1" x14ac:dyDescent="0.25">
      <c r="A11" s="6"/>
      <c r="B11" s="53" t="s">
        <v>20</v>
      </c>
      <c r="C11" s="54" t="s">
        <v>21</v>
      </c>
      <c r="D11" s="55" t="s">
        <v>22</v>
      </c>
      <c r="E11" s="62">
        <v>7.2799999999999983E-3</v>
      </c>
      <c r="F11" s="65">
        <f>LN(E11)</f>
        <v>-4.9226244167735427</v>
      </c>
      <c r="G11" s="7"/>
      <c r="H11" s="64" t="s">
        <v>41</v>
      </c>
      <c r="I11" s="77">
        <f t="shared" si="0"/>
        <v>-3.2892182853087579</v>
      </c>
      <c r="J11" s="7"/>
      <c r="K11" s="64" t="s">
        <v>39</v>
      </c>
      <c r="L11" s="77">
        <f t="shared" si="1"/>
        <v>-6.8025273111387619E-2</v>
      </c>
      <c r="M11" s="12"/>
      <c r="N11" s="64" t="s">
        <v>28</v>
      </c>
      <c r="O11" s="77">
        <f t="shared" si="2"/>
        <v>-0.32777071400791691</v>
      </c>
      <c r="Q11" s="12"/>
      <c r="R11" s="41">
        <v>-3.7283039634267023</v>
      </c>
      <c r="S11" s="40">
        <f t="shared" si="3"/>
        <v>0</v>
      </c>
      <c r="T11" s="40">
        <f t="shared" si="4"/>
        <v>0</v>
      </c>
      <c r="U11" s="40">
        <f t="shared" si="5"/>
        <v>1</v>
      </c>
      <c r="V11" s="40">
        <f t="shared" si="6"/>
        <v>0</v>
      </c>
      <c r="W11" s="40">
        <f t="shared" si="7"/>
        <v>0</v>
      </c>
      <c r="X11" s="40">
        <f t="shared" si="8"/>
        <v>0</v>
      </c>
      <c r="Y11" s="40">
        <f t="shared" si="9"/>
        <v>0</v>
      </c>
      <c r="Z11" s="40">
        <f t="shared" si="10"/>
        <v>0</v>
      </c>
      <c r="AA11" s="40">
        <f t="shared" si="11"/>
        <v>0</v>
      </c>
      <c r="AB11" s="40">
        <f t="shared" si="12"/>
        <v>0</v>
      </c>
      <c r="AC11" s="40">
        <f t="shared" si="13"/>
        <v>1</v>
      </c>
      <c r="AD11" s="40">
        <f t="shared" si="14"/>
        <v>0</v>
      </c>
      <c r="AE11" s="40">
        <f t="shared" si="15"/>
        <v>0</v>
      </c>
      <c r="AF11" s="40">
        <f t="shared" si="16"/>
        <v>0</v>
      </c>
      <c r="AG11" s="40">
        <f t="shared" si="17"/>
        <v>0</v>
      </c>
      <c r="AH11" s="40">
        <f t="shared" si="18"/>
        <v>0</v>
      </c>
      <c r="AI11" s="40">
        <f t="shared" si="19"/>
        <v>0</v>
      </c>
      <c r="AJ11" s="40">
        <f t="shared" si="20"/>
        <v>0</v>
      </c>
      <c r="AK11" s="40">
        <f t="shared" si="21"/>
        <v>0</v>
      </c>
      <c r="AL11" s="40">
        <f t="shared" si="22"/>
        <v>1</v>
      </c>
      <c r="AM11" s="40">
        <f t="shared" si="23"/>
        <v>0</v>
      </c>
      <c r="AN11" s="40">
        <f t="shared" si="24"/>
        <v>0</v>
      </c>
      <c r="AO11" s="40">
        <f t="shared" si="25"/>
        <v>0</v>
      </c>
      <c r="AP11" s="40">
        <f t="shared" si="26"/>
        <v>0</v>
      </c>
      <c r="AQ11" s="40">
        <f t="shared" si="27"/>
        <v>0</v>
      </c>
      <c r="AR11" s="40">
        <f t="shared" si="28"/>
        <v>0</v>
      </c>
      <c r="AS11" s="40">
        <f t="shared" si="29"/>
        <v>0</v>
      </c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</row>
    <row r="12" spans="1:110 16384:16384" s="2" customFormat="1" ht="14.4" customHeight="1" x14ac:dyDescent="0.25">
      <c r="A12" s="6"/>
      <c r="B12" s="53" t="s">
        <v>20</v>
      </c>
      <c r="C12" s="54" t="s">
        <v>23</v>
      </c>
      <c r="D12" s="55" t="s">
        <v>24</v>
      </c>
      <c r="E12" s="62">
        <v>3.8300000000000014E-3</v>
      </c>
      <c r="F12" s="65">
        <f t="shared" ref="F12:F75" si="30">LN(E12)</f>
        <v>-5.5648904757895821</v>
      </c>
      <c r="G12" s="7"/>
      <c r="H12" s="64" t="s">
        <v>20</v>
      </c>
      <c r="I12" s="77">
        <f t="shared" si="0"/>
        <v>-2.9926464725771811</v>
      </c>
      <c r="J12" s="7"/>
      <c r="K12" s="64" t="s">
        <v>25</v>
      </c>
      <c r="L12" s="77">
        <f t="shared" si="1"/>
        <v>-0.43746229353706534</v>
      </c>
      <c r="M12" s="12"/>
      <c r="N12" s="64" t="s">
        <v>37</v>
      </c>
      <c r="O12" s="77">
        <f t="shared" si="2"/>
        <v>-0.33384671166853902</v>
      </c>
      <c r="Q12" s="12"/>
      <c r="R12" s="41">
        <v>-3.2892182853087579</v>
      </c>
      <c r="S12" s="40">
        <f t="shared" si="3"/>
        <v>0</v>
      </c>
      <c r="T12" s="40">
        <f t="shared" si="4"/>
        <v>0</v>
      </c>
      <c r="U12" s="40">
        <f t="shared" si="5"/>
        <v>1</v>
      </c>
      <c r="V12" s="40">
        <f t="shared" si="6"/>
        <v>0</v>
      </c>
      <c r="W12" s="40">
        <f t="shared" si="7"/>
        <v>0</v>
      </c>
      <c r="X12" s="40">
        <f t="shared" si="8"/>
        <v>0</v>
      </c>
      <c r="Y12" s="40">
        <f t="shared" si="9"/>
        <v>0</v>
      </c>
      <c r="Z12" s="40">
        <f t="shared" si="10"/>
        <v>0</v>
      </c>
      <c r="AA12" s="40">
        <f t="shared" si="11"/>
        <v>0</v>
      </c>
      <c r="AB12" s="40">
        <f t="shared" si="12"/>
        <v>1</v>
      </c>
      <c r="AC12" s="40">
        <f t="shared" si="13"/>
        <v>0</v>
      </c>
      <c r="AD12" s="40">
        <f t="shared" si="14"/>
        <v>0</v>
      </c>
      <c r="AE12" s="40">
        <f t="shared" si="15"/>
        <v>0</v>
      </c>
      <c r="AF12" s="40">
        <f t="shared" si="16"/>
        <v>0</v>
      </c>
      <c r="AG12" s="40">
        <f t="shared" si="17"/>
        <v>0</v>
      </c>
      <c r="AH12" s="40">
        <f t="shared" si="18"/>
        <v>0</v>
      </c>
      <c r="AI12" s="40">
        <f t="shared" si="19"/>
        <v>0</v>
      </c>
      <c r="AJ12" s="40">
        <f t="shared" si="20"/>
        <v>0</v>
      </c>
      <c r="AK12" s="40">
        <f t="shared" si="21"/>
        <v>0</v>
      </c>
      <c r="AL12" s="40">
        <f t="shared" si="22"/>
        <v>1</v>
      </c>
      <c r="AM12" s="40">
        <f t="shared" si="23"/>
        <v>0</v>
      </c>
      <c r="AN12" s="40">
        <f t="shared" si="24"/>
        <v>0</v>
      </c>
      <c r="AO12" s="40">
        <f t="shared" si="25"/>
        <v>0</v>
      </c>
      <c r="AP12" s="40">
        <f t="shared" si="26"/>
        <v>0</v>
      </c>
      <c r="AQ12" s="40">
        <f t="shared" si="27"/>
        <v>0</v>
      </c>
      <c r="AR12" s="40">
        <f t="shared" si="28"/>
        <v>0</v>
      </c>
      <c r="AS12" s="40">
        <f t="shared" si="29"/>
        <v>0</v>
      </c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</row>
    <row r="13" spans="1:110 16384:16384" s="2" customFormat="1" ht="14.4" customHeight="1" x14ac:dyDescent="0.25">
      <c r="A13" s="6"/>
      <c r="B13" s="53" t="s">
        <v>20</v>
      </c>
      <c r="C13" s="54" t="s">
        <v>25</v>
      </c>
      <c r="D13" s="55" t="s">
        <v>24</v>
      </c>
      <c r="E13" s="62">
        <v>6.499999999999998E-3</v>
      </c>
      <c r="F13" s="65">
        <f t="shared" si="30"/>
        <v>-5.0359531020805459</v>
      </c>
      <c r="G13" s="7"/>
      <c r="H13" s="64" t="s">
        <v>45</v>
      </c>
      <c r="I13" s="77">
        <f t="shared" si="0"/>
        <v>-2.5324741489482276</v>
      </c>
      <c r="J13" s="7"/>
      <c r="K13" s="64" t="s">
        <v>23</v>
      </c>
      <c r="L13" s="77">
        <f t="shared" si="1"/>
        <v>-0.63857384310902932</v>
      </c>
      <c r="M13" s="12"/>
      <c r="N13" s="64" t="s">
        <v>32</v>
      </c>
      <c r="O13" s="77">
        <f t="shared" si="2"/>
        <v>-0.1054577918802868</v>
      </c>
      <c r="Q13" s="12"/>
      <c r="R13" s="41">
        <v>-2.9926464725771811</v>
      </c>
      <c r="S13" s="40">
        <f t="shared" si="3"/>
        <v>0</v>
      </c>
      <c r="T13" s="40">
        <f t="shared" si="4"/>
        <v>0</v>
      </c>
      <c r="U13" s="40">
        <f t="shared" si="5"/>
        <v>1</v>
      </c>
      <c r="V13" s="40">
        <f t="shared" si="6"/>
        <v>0</v>
      </c>
      <c r="W13" s="40">
        <f t="shared" si="7"/>
        <v>0</v>
      </c>
      <c r="X13" s="40">
        <f t="shared" si="8"/>
        <v>0</v>
      </c>
      <c r="Y13" s="40">
        <f t="shared" si="9"/>
        <v>0</v>
      </c>
      <c r="Z13" s="40">
        <f t="shared" si="10"/>
        <v>0</v>
      </c>
      <c r="AA13" s="40">
        <f t="shared" si="11"/>
        <v>0</v>
      </c>
      <c r="AB13" s="40">
        <f t="shared" si="12"/>
        <v>0</v>
      </c>
      <c r="AC13" s="40">
        <f t="shared" si="13"/>
        <v>0</v>
      </c>
      <c r="AD13" s="40">
        <f t="shared" si="14"/>
        <v>0</v>
      </c>
      <c r="AE13" s="40">
        <f t="shared" si="15"/>
        <v>0</v>
      </c>
      <c r="AF13" s="40">
        <f t="shared" si="16"/>
        <v>1</v>
      </c>
      <c r="AG13" s="40">
        <f t="shared" si="17"/>
        <v>0</v>
      </c>
      <c r="AH13" s="40">
        <f t="shared" si="18"/>
        <v>1</v>
      </c>
      <c r="AI13" s="40">
        <f t="shared" si="19"/>
        <v>0</v>
      </c>
      <c r="AJ13" s="40">
        <f t="shared" si="20"/>
        <v>0</v>
      </c>
      <c r="AK13" s="40">
        <f t="shared" si="21"/>
        <v>0</v>
      </c>
      <c r="AL13" s="40">
        <f t="shared" si="22"/>
        <v>0</v>
      </c>
      <c r="AM13" s="40">
        <f t="shared" si="23"/>
        <v>0</v>
      </c>
      <c r="AN13" s="40">
        <f t="shared" si="24"/>
        <v>0</v>
      </c>
      <c r="AO13" s="40">
        <f t="shared" si="25"/>
        <v>0</v>
      </c>
      <c r="AP13" s="40">
        <f t="shared" si="26"/>
        <v>0</v>
      </c>
      <c r="AQ13" s="40">
        <f t="shared" si="27"/>
        <v>0</v>
      </c>
      <c r="AR13" s="40">
        <f t="shared" si="28"/>
        <v>0</v>
      </c>
      <c r="AS13" s="40">
        <f t="shared" si="29"/>
        <v>0</v>
      </c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</row>
    <row r="14" spans="1:110 16384:16384" s="2" customFormat="1" ht="14.4" customHeight="1" x14ac:dyDescent="0.25">
      <c r="A14" s="6"/>
      <c r="B14" s="53" t="s">
        <v>20</v>
      </c>
      <c r="C14" s="54" t="s">
        <v>26</v>
      </c>
      <c r="D14" s="55" t="s">
        <v>27</v>
      </c>
      <c r="E14" s="62">
        <v>3.6600000000000009E-3</v>
      </c>
      <c r="F14" s="65">
        <f t="shared" si="30"/>
        <v>-5.6102921315688619</v>
      </c>
      <c r="G14" s="7"/>
      <c r="H14" s="64" t="s">
        <v>44</v>
      </c>
      <c r="I14" s="77">
        <f t="shared" si="0"/>
        <v>-1.8480494032972727</v>
      </c>
      <c r="J14" s="7"/>
      <c r="K14" s="64" t="s">
        <v>21</v>
      </c>
      <c r="L14" s="77">
        <f t="shared" si="1"/>
        <v>0.15373648442713791</v>
      </c>
      <c r="M14" s="12"/>
      <c r="N14" s="64" t="s">
        <v>24</v>
      </c>
      <c r="O14" s="77">
        <f t="shared" si="2"/>
        <v>-0.14454037992380769</v>
      </c>
      <c r="Q14" s="12"/>
      <c r="R14" s="41">
        <v>-2.5324741489482276</v>
      </c>
      <c r="S14" s="40">
        <f t="shared" si="3"/>
        <v>0</v>
      </c>
      <c r="T14" s="40">
        <f t="shared" si="4"/>
        <v>0</v>
      </c>
      <c r="U14" s="40">
        <f t="shared" si="5"/>
        <v>1</v>
      </c>
      <c r="V14" s="40">
        <f t="shared" si="6"/>
        <v>0</v>
      </c>
      <c r="W14" s="40">
        <f t="shared" si="7"/>
        <v>0</v>
      </c>
      <c r="X14" s="40">
        <f t="shared" si="8"/>
        <v>0</v>
      </c>
      <c r="Y14" s="40">
        <f t="shared" si="9"/>
        <v>0</v>
      </c>
      <c r="Z14" s="40">
        <f t="shared" si="10"/>
        <v>0</v>
      </c>
      <c r="AA14" s="40">
        <f t="shared" si="11"/>
        <v>0</v>
      </c>
      <c r="AB14" s="40">
        <f t="shared" si="12"/>
        <v>0</v>
      </c>
      <c r="AC14" s="40">
        <f t="shared" si="13"/>
        <v>1</v>
      </c>
      <c r="AD14" s="40">
        <f t="shared" si="14"/>
        <v>0</v>
      </c>
      <c r="AE14" s="40">
        <f t="shared" si="15"/>
        <v>0</v>
      </c>
      <c r="AF14" s="40">
        <f t="shared" si="16"/>
        <v>0</v>
      </c>
      <c r="AG14" s="40">
        <f t="shared" si="17"/>
        <v>0</v>
      </c>
      <c r="AH14" s="40">
        <f t="shared" si="18"/>
        <v>0</v>
      </c>
      <c r="AI14" s="40">
        <f t="shared" si="19"/>
        <v>1</v>
      </c>
      <c r="AJ14" s="40">
        <f t="shared" si="20"/>
        <v>0</v>
      </c>
      <c r="AK14" s="40">
        <f t="shared" si="21"/>
        <v>0</v>
      </c>
      <c r="AL14" s="40">
        <f t="shared" si="22"/>
        <v>0</v>
      </c>
      <c r="AM14" s="40">
        <f t="shared" si="23"/>
        <v>0</v>
      </c>
      <c r="AN14" s="40">
        <f t="shared" si="24"/>
        <v>0</v>
      </c>
      <c r="AO14" s="40">
        <f t="shared" si="25"/>
        <v>0</v>
      </c>
      <c r="AP14" s="40">
        <f t="shared" si="26"/>
        <v>0</v>
      </c>
      <c r="AQ14" s="40">
        <f t="shared" si="27"/>
        <v>0</v>
      </c>
      <c r="AR14" s="40">
        <f t="shared" si="28"/>
        <v>0</v>
      </c>
      <c r="AS14" s="40">
        <f t="shared" si="29"/>
        <v>0</v>
      </c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</row>
    <row r="15" spans="1:110 16384:16384" s="2" customFormat="1" ht="14.4" customHeight="1" x14ac:dyDescent="0.25">
      <c r="A15" s="6"/>
      <c r="B15" s="53" t="s">
        <v>20</v>
      </c>
      <c r="C15" s="54" t="s">
        <v>23</v>
      </c>
      <c r="D15" s="55" t="s">
        <v>28</v>
      </c>
      <c r="E15" s="62">
        <v>1.6799999999999994E-3</v>
      </c>
      <c r="F15" s="65">
        <f t="shared" si="30"/>
        <v>-6.3889614855669699</v>
      </c>
      <c r="G15" s="7"/>
      <c r="H15" s="64" t="s">
        <v>43</v>
      </c>
      <c r="I15" s="77">
        <f t="shared" si="0"/>
        <v>-1.1751800118107341</v>
      </c>
      <c r="J15" s="7"/>
      <c r="K15" s="64" t="s">
        <v>34</v>
      </c>
      <c r="L15" s="77">
        <f t="shared" si="1"/>
        <v>0</v>
      </c>
      <c r="M15" s="7"/>
      <c r="N15" s="64" t="s">
        <v>35</v>
      </c>
      <c r="O15" s="77">
        <f t="shared" si="2"/>
        <v>-0.49763880329568572</v>
      </c>
      <c r="Q15" s="6"/>
      <c r="R15" s="42">
        <v>-1.8480494032972727</v>
      </c>
      <c r="S15" s="40">
        <f t="shared" si="3"/>
        <v>0</v>
      </c>
      <c r="T15" s="40">
        <f t="shared" si="4"/>
        <v>0</v>
      </c>
      <c r="U15" s="40">
        <f t="shared" si="5"/>
        <v>1</v>
      </c>
      <c r="V15" s="40">
        <f t="shared" si="6"/>
        <v>0</v>
      </c>
      <c r="W15" s="40">
        <f t="shared" si="7"/>
        <v>0</v>
      </c>
      <c r="X15" s="40">
        <f t="shared" si="8"/>
        <v>0</v>
      </c>
      <c r="Y15" s="40">
        <f t="shared" si="9"/>
        <v>0</v>
      </c>
      <c r="Z15" s="40">
        <f t="shared" si="10"/>
        <v>0</v>
      </c>
      <c r="AA15" s="40">
        <f t="shared" si="11"/>
        <v>0</v>
      </c>
      <c r="AB15" s="40">
        <f t="shared" si="12"/>
        <v>0</v>
      </c>
      <c r="AC15" s="40">
        <f t="shared" si="13"/>
        <v>0</v>
      </c>
      <c r="AD15" s="40">
        <f t="shared" si="14"/>
        <v>0</v>
      </c>
      <c r="AE15" s="40">
        <f t="shared" si="15"/>
        <v>0</v>
      </c>
      <c r="AF15" s="40">
        <f t="shared" si="16"/>
        <v>1</v>
      </c>
      <c r="AG15" s="40">
        <f t="shared" si="17"/>
        <v>0</v>
      </c>
      <c r="AH15" s="40">
        <f t="shared" si="18"/>
        <v>0</v>
      </c>
      <c r="AI15" s="40">
        <f t="shared" si="19"/>
        <v>0</v>
      </c>
      <c r="AJ15" s="40">
        <f t="shared" si="20"/>
        <v>0</v>
      </c>
      <c r="AK15" s="40">
        <f t="shared" si="21"/>
        <v>0</v>
      </c>
      <c r="AL15" s="40">
        <f t="shared" si="22"/>
        <v>1</v>
      </c>
      <c r="AM15" s="40">
        <f t="shared" si="23"/>
        <v>0</v>
      </c>
      <c r="AN15" s="40">
        <f t="shared" si="24"/>
        <v>0</v>
      </c>
      <c r="AO15" s="40">
        <f t="shared" si="25"/>
        <v>0</v>
      </c>
      <c r="AP15" s="40">
        <f t="shared" si="26"/>
        <v>0</v>
      </c>
      <c r="AQ15" s="40">
        <f t="shared" si="27"/>
        <v>0</v>
      </c>
      <c r="AR15" s="40">
        <f t="shared" si="28"/>
        <v>0</v>
      </c>
      <c r="AS15" s="40">
        <f t="shared" si="29"/>
        <v>0</v>
      </c>
    </row>
    <row r="16" spans="1:110 16384:16384" s="2" customFormat="1" ht="14.4" customHeight="1" thickBot="1" x14ac:dyDescent="0.3">
      <c r="A16" s="6"/>
      <c r="B16" s="53" t="s">
        <v>20</v>
      </c>
      <c r="C16" s="54" t="s">
        <v>26</v>
      </c>
      <c r="D16" s="55" t="s">
        <v>24</v>
      </c>
      <c r="E16" s="62">
        <v>3.7499999999999986E-3</v>
      </c>
      <c r="F16" s="65">
        <f t="shared" si="30"/>
        <v>-5.585999438999818</v>
      </c>
      <c r="G16" s="7"/>
      <c r="H16" s="66" t="s">
        <v>46</v>
      </c>
      <c r="I16" s="78">
        <f t="shared" si="0"/>
        <v>0</v>
      </c>
      <c r="J16" s="7"/>
      <c r="K16" s="64" t="s">
        <v>26</v>
      </c>
      <c r="L16" s="77">
        <f t="shared" si="1"/>
        <v>-0.26605971495950359</v>
      </c>
      <c r="M16" s="7"/>
      <c r="N16" s="64" t="s">
        <v>29</v>
      </c>
      <c r="O16" s="77">
        <f t="shared" si="2"/>
        <v>-0.56281245103312616</v>
      </c>
      <c r="Q16" s="6"/>
      <c r="R16" s="42">
        <v>-1.1751800118107341</v>
      </c>
      <c r="S16" s="40">
        <f t="shared" si="3"/>
        <v>0</v>
      </c>
      <c r="T16" s="40">
        <f t="shared" si="4"/>
        <v>0</v>
      </c>
      <c r="U16" s="40">
        <f t="shared" si="5"/>
        <v>1</v>
      </c>
      <c r="V16" s="40">
        <f t="shared" si="6"/>
        <v>0</v>
      </c>
      <c r="W16" s="40">
        <f t="shared" si="7"/>
        <v>0</v>
      </c>
      <c r="X16" s="40">
        <f t="shared" si="8"/>
        <v>0</v>
      </c>
      <c r="Y16" s="40">
        <f t="shared" si="9"/>
        <v>0</v>
      </c>
      <c r="Z16" s="40">
        <f t="shared" si="10"/>
        <v>0</v>
      </c>
      <c r="AA16" s="40">
        <f t="shared" si="11"/>
        <v>0</v>
      </c>
      <c r="AB16" s="40">
        <f t="shared" si="12"/>
        <v>0</v>
      </c>
      <c r="AC16" s="40">
        <f t="shared" si="13"/>
        <v>0</v>
      </c>
      <c r="AD16" s="40">
        <f t="shared" si="14"/>
        <v>0</v>
      </c>
      <c r="AE16" s="40">
        <f t="shared" si="15"/>
        <v>0</v>
      </c>
      <c r="AF16" s="40">
        <f t="shared" si="16"/>
        <v>1</v>
      </c>
      <c r="AG16" s="40">
        <f t="shared" si="17"/>
        <v>0</v>
      </c>
      <c r="AH16" s="40">
        <f t="shared" si="18"/>
        <v>0</v>
      </c>
      <c r="AI16" s="40">
        <f t="shared" si="19"/>
        <v>0</v>
      </c>
      <c r="AJ16" s="40">
        <f t="shared" si="20"/>
        <v>0</v>
      </c>
      <c r="AK16" s="40">
        <f t="shared" si="21"/>
        <v>0</v>
      </c>
      <c r="AL16" s="40">
        <f t="shared" si="22"/>
        <v>1</v>
      </c>
      <c r="AM16" s="40">
        <f t="shared" si="23"/>
        <v>0</v>
      </c>
      <c r="AN16" s="40">
        <f t="shared" si="24"/>
        <v>0</v>
      </c>
      <c r="AO16" s="40">
        <f t="shared" si="25"/>
        <v>0</v>
      </c>
      <c r="AP16" s="40">
        <f t="shared" si="26"/>
        <v>0</v>
      </c>
      <c r="AQ16" s="40">
        <f t="shared" si="27"/>
        <v>0</v>
      </c>
      <c r="AR16" s="40">
        <f t="shared" si="28"/>
        <v>0</v>
      </c>
      <c r="AS16" s="40">
        <f t="shared" si="29"/>
        <v>0</v>
      </c>
    </row>
    <row r="17" spans="1:110" s="2" customFormat="1" ht="14.4" customHeight="1" thickBot="1" x14ac:dyDescent="0.3">
      <c r="A17" s="6"/>
      <c r="B17" s="53" t="s">
        <v>20</v>
      </c>
      <c r="C17" s="54" t="s">
        <v>26</v>
      </c>
      <c r="D17" s="55" t="s">
        <v>24</v>
      </c>
      <c r="E17" s="62">
        <v>3.7499999999999986E-3</v>
      </c>
      <c r="F17" s="65">
        <f t="shared" si="30"/>
        <v>-5.585999438999818</v>
      </c>
      <c r="G17" s="7"/>
      <c r="H17" s="7"/>
      <c r="I17" s="7"/>
      <c r="J17" s="7"/>
      <c r="K17" s="66" t="s">
        <v>38</v>
      </c>
      <c r="L17" s="78">
        <f t="shared" si="1"/>
        <v>-0.19844643062412526</v>
      </c>
      <c r="M17" s="12"/>
      <c r="N17" s="64" t="s">
        <v>31</v>
      </c>
      <c r="O17" s="77">
        <f t="shared" si="2"/>
        <v>-0.38657568406625853</v>
      </c>
      <c r="Q17" s="13"/>
      <c r="R17" s="43">
        <v>0</v>
      </c>
      <c r="S17" s="40">
        <f t="shared" si="3"/>
        <v>0</v>
      </c>
      <c r="T17" s="40">
        <f t="shared" si="4"/>
        <v>0</v>
      </c>
      <c r="U17" s="40">
        <f t="shared" si="5"/>
        <v>1</v>
      </c>
      <c r="V17" s="40">
        <f t="shared" si="6"/>
        <v>0</v>
      </c>
      <c r="W17" s="40">
        <f t="shared" si="7"/>
        <v>0</v>
      </c>
      <c r="X17" s="40">
        <f t="shared" si="8"/>
        <v>0</v>
      </c>
      <c r="Y17" s="40">
        <f t="shared" si="9"/>
        <v>0</v>
      </c>
      <c r="Z17" s="40">
        <f t="shared" si="10"/>
        <v>0</v>
      </c>
      <c r="AA17" s="40">
        <f t="shared" si="11"/>
        <v>0</v>
      </c>
      <c r="AB17" s="40">
        <f t="shared" si="12"/>
        <v>0</v>
      </c>
      <c r="AC17" s="40">
        <f t="shared" si="13"/>
        <v>0</v>
      </c>
      <c r="AD17" s="40">
        <f t="shared" si="14"/>
        <v>0</v>
      </c>
      <c r="AE17" s="40">
        <f t="shared" si="15"/>
        <v>0</v>
      </c>
      <c r="AF17" s="40">
        <f t="shared" si="16"/>
        <v>1</v>
      </c>
      <c r="AG17" s="40">
        <f t="shared" si="17"/>
        <v>0</v>
      </c>
      <c r="AH17" s="40">
        <f t="shared" si="18"/>
        <v>0</v>
      </c>
      <c r="AI17" s="40">
        <f t="shared" si="19"/>
        <v>0</v>
      </c>
      <c r="AJ17" s="40">
        <f t="shared" si="20"/>
        <v>0</v>
      </c>
      <c r="AK17" s="40">
        <f t="shared" si="21"/>
        <v>0</v>
      </c>
      <c r="AL17" s="40">
        <f t="shared" si="22"/>
        <v>0</v>
      </c>
      <c r="AM17" s="40">
        <f t="shared" si="23"/>
        <v>0</v>
      </c>
      <c r="AN17" s="40">
        <f t="shared" si="24"/>
        <v>1</v>
      </c>
      <c r="AO17" s="40">
        <f t="shared" si="25"/>
        <v>0</v>
      </c>
      <c r="AP17" s="40">
        <f t="shared" si="26"/>
        <v>0</v>
      </c>
      <c r="AQ17" s="40">
        <f t="shared" si="27"/>
        <v>0</v>
      </c>
      <c r="AR17" s="40">
        <f t="shared" si="28"/>
        <v>0</v>
      </c>
      <c r="AS17" s="40">
        <f t="shared" si="29"/>
        <v>0</v>
      </c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</row>
    <row r="18" spans="1:110" s="2" customFormat="1" ht="14.4" customHeight="1" thickBot="1" x14ac:dyDescent="0.3">
      <c r="A18" s="6"/>
      <c r="B18" s="53" t="s">
        <v>20</v>
      </c>
      <c r="C18" s="54" t="s">
        <v>26</v>
      </c>
      <c r="D18" s="55" t="s">
        <v>29</v>
      </c>
      <c r="E18" s="62">
        <v>3.9700000000000004E-3</v>
      </c>
      <c r="F18" s="65">
        <f t="shared" si="30"/>
        <v>-5.5289891842830379</v>
      </c>
      <c r="G18" s="7"/>
      <c r="H18" s="69" t="s">
        <v>52</v>
      </c>
      <c r="I18" s="79">
        <f>R10</f>
        <v>-1.869979091528772</v>
      </c>
      <c r="J18" s="7"/>
      <c r="K18" s="9"/>
      <c r="L18" s="12"/>
      <c r="M18" s="12"/>
      <c r="N18" s="64" t="s">
        <v>40</v>
      </c>
      <c r="O18" s="77">
        <f t="shared" si="2"/>
        <v>0</v>
      </c>
      <c r="Q18" s="13"/>
      <c r="R18" s="43">
        <v>-0.17880401271028609</v>
      </c>
      <c r="S18" s="40">
        <f t="shared" si="3"/>
        <v>0</v>
      </c>
      <c r="T18" s="40">
        <f t="shared" si="4"/>
        <v>0</v>
      </c>
      <c r="U18" s="40">
        <f t="shared" si="5"/>
        <v>1</v>
      </c>
      <c r="V18" s="40">
        <f t="shared" si="6"/>
        <v>0</v>
      </c>
      <c r="W18" s="40">
        <f t="shared" si="7"/>
        <v>0</v>
      </c>
      <c r="X18" s="40">
        <f t="shared" si="8"/>
        <v>0</v>
      </c>
      <c r="Y18" s="40">
        <f t="shared" si="9"/>
        <v>0</v>
      </c>
      <c r="Z18" s="40">
        <f t="shared" si="10"/>
        <v>0</v>
      </c>
      <c r="AA18" s="40">
        <f t="shared" si="11"/>
        <v>0</v>
      </c>
      <c r="AB18" s="40">
        <f t="shared" si="12"/>
        <v>0</v>
      </c>
      <c r="AC18" s="40">
        <f t="shared" si="13"/>
        <v>0</v>
      </c>
      <c r="AD18" s="40">
        <f t="shared" si="14"/>
        <v>0</v>
      </c>
      <c r="AE18" s="40">
        <f t="shared" si="15"/>
        <v>0</v>
      </c>
      <c r="AF18" s="40">
        <f t="shared" si="16"/>
        <v>1</v>
      </c>
      <c r="AG18" s="40">
        <f t="shared" si="17"/>
        <v>0</v>
      </c>
      <c r="AH18" s="40">
        <f t="shared" si="18"/>
        <v>0</v>
      </c>
      <c r="AI18" s="40">
        <f t="shared" si="19"/>
        <v>0</v>
      </c>
      <c r="AJ18" s="40">
        <f t="shared" si="20"/>
        <v>0</v>
      </c>
      <c r="AK18" s="40">
        <f t="shared" si="21"/>
        <v>0</v>
      </c>
      <c r="AL18" s="40">
        <f t="shared" si="22"/>
        <v>0</v>
      </c>
      <c r="AM18" s="40">
        <f t="shared" si="23"/>
        <v>0</v>
      </c>
      <c r="AN18" s="40">
        <f t="shared" si="24"/>
        <v>0</v>
      </c>
      <c r="AO18" s="40">
        <f t="shared" si="25"/>
        <v>0</v>
      </c>
      <c r="AP18" s="40">
        <f t="shared" si="26"/>
        <v>0</v>
      </c>
      <c r="AQ18" s="40">
        <f t="shared" si="27"/>
        <v>1</v>
      </c>
      <c r="AR18" s="40">
        <f t="shared" si="28"/>
        <v>0</v>
      </c>
      <c r="AS18" s="40">
        <f t="shared" si="29"/>
        <v>0</v>
      </c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</row>
    <row r="19" spans="1:110" s="2" customFormat="1" ht="14.4" customHeight="1" x14ac:dyDescent="0.25">
      <c r="A19" s="6"/>
      <c r="B19" s="53" t="s">
        <v>20</v>
      </c>
      <c r="C19" s="54" t="s">
        <v>26</v>
      </c>
      <c r="D19" s="55" t="s">
        <v>30</v>
      </c>
      <c r="E19" s="62">
        <v>5.2099999999999985E-3</v>
      </c>
      <c r="F19" s="65">
        <f t="shared" si="30"/>
        <v>-5.2571754232168617</v>
      </c>
      <c r="G19" s="7"/>
      <c r="H19" s="7"/>
      <c r="I19" s="7"/>
      <c r="J19" s="7"/>
      <c r="K19" s="9"/>
      <c r="L19" s="12"/>
      <c r="M19" s="12"/>
      <c r="N19" s="64" t="s">
        <v>30</v>
      </c>
      <c r="O19" s="77">
        <f t="shared" si="2"/>
        <v>-0.30970467977983773</v>
      </c>
      <c r="Q19" s="13"/>
      <c r="R19" s="43">
        <v>-6.8025273111387619E-2</v>
      </c>
      <c r="S19" s="40">
        <f t="shared" si="3"/>
        <v>0</v>
      </c>
      <c r="T19" s="40">
        <f t="shared" si="4"/>
        <v>0</v>
      </c>
      <c r="U19" s="40">
        <f t="shared" si="5"/>
        <v>1</v>
      </c>
      <c r="V19" s="40">
        <f t="shared" si="6"/>
        <v>0</v>
      </c>
      <c r="W19" s="40">
        <f t="shared" si="7"/>
        <v>0</v>
      </c>
      <c r="X19" s="40">
        <f t="shared" si="8"/>
        <v>0</v>
      </c>
      <c r="Y19" s="40">
        <f t="shared" si="9"/>
        <v>0</v>
      </c>
      <c r="Z19" s="40">
        <f t="shared" si="10"/>
        <v>0</v>
      </c>
      <c r="AA19" s="40">
        <f t="shared" si="11"/>
        <v>0</v>
      </c>
      <c r="AB19" s="40">
        <f t="shared" si="12"/>
        <v>0</v>
      </c>
      <c r="AC19" s="40">
        <f t="shared" si="13"/>
        <v>0</v>
      </c>
      <c r="AD19" s="40">
        <f t="shared" si="14"/>
        <v>0</v>
      </c>
      <c r="AE19" s="40">
        <f t="shared" si="15"/>
        <v>0</v>
      </c>
      <c r="AF19" s="40">
        <f t="shared" si="16"/>
        <v>1</v>
      </c>
      <c r="AG19" s="40">
        <f t="shared" si="17"/>
        <v>0</v>
      </c>
      <c r="AH19" s="40">
        <f t="shared" si="18"/>
        <v>0</v>
      </c>
      <c r="AI19" s="40">
        <f t="shared" si="19"/>
        <v>1</v>
      </c>
      <c r="AJ19" s="40">
        <f t="shared" si="20"/>
        <v>0</v>
      </c>
      <c r="AK19" s="40">
        <f t="shared" si="21"/>
        <v>0</v>
      </c>
      <c r="AL19" s="40">
        <f t="shared" si="22"/>
        <v>0</v>
      </c>
      <c r="AM19" s="40">
        <f t="shared" si="23"/>
        <v>0</v>
      </c>
      <c r="AN19" s="40">
        <f t="shared" si="24"/>
        <v>0</v>
      </c>
      <c r="AO19" s="40">
        <f t="shared" si="25"/>
        <v>0</v>
      </c>
      <c r="AP19" s="40">
        <f t="shared" si="26"/>
        <v>0</v>
      </c>
      <c r="AQ19" s="40">
        <f t="shared" si="27"/>
        <v>0</v>
      </c>
      <c r="AR19" s="40">
        <f t="shared" si="28"/>
        <v>0</v>
      </c>
      <c r="AS19" s="40">
        <f t="shared" si="29"/>
        <v>0</v>
      </c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</row>
    <row r="20" spans="1:110" s="2" customFormat="1" ht="14.4" customHeight="1" x14ac:dyDescent="0.25">
      <c r="A20" s="6"/>
      <c r="B20" s="53" t="s">
        <v>20</v>
      </c>
      <c r="C20" s="54" t="s">
        <v>26</v>
      </c>
      <c r="D20" s="55" t="s">
        <v>28</v>
      </c>
      <c r="E20" s="62">
        <v>7.1199999999999987E-3</v>
      </c>
      <c r="F20" s="65">
        <f t="shared" si="30"/>
        <v>-4.9448475535582528</v>
      </c>
      <c r="G20" s="7"/>
      <c r="H20" s="7"/>
      <c r="I20" s="7"/>
      <c r="J20" s="7"/>
      <c r="K20" s="9"/>
      <c r="L20" s="12"/>
      <c r="M20" s="12"/>
      <c r="N20" s="64" t="s">
        <v>33</v>
      </c>
      <c r="O20" s="77">
        <f t="shared" si="2"/>
        <v>-0.40441461517819732</v>
      </c>
      <c r="Q20" s="13"/>
      <c r="R20" s="43">
        <v>-0.43746229353706534</v>
      </c>
      <c r="S20" s="40">
        <f t="shared" si="3"/>
        <v>0</v>
      </c>
      <c r="T20" s="40">
        <f t="shared" si="4"/>
        <v>0</v>
      </c>
      <c r="U20" s="40">
        <f t="shared" si="5"/>
        <v>1</v>
      </c>
      <c r="V20" s="40">
        <f t="shared" si="6"/>
        <v>0</v>
      </c>
      <c r="W20" s="40">
        <f t="shared" si="7"/>
        <v>0</v>
      </c>
      <c r="X20" s="40">
        <f t="shared" si="8"/>
        <v>0</v>
      </c>
      <c r="Y20" s="40">
        <f t="shared" si="9"/>
        <v>0</v>
      </c>
      <c r="Z20" s="40">
        <f t="shared" si="10"/>
        <v>0</v>
      </c>
      <c r="AA20" s="40">
        <f t="shared" si="11"/>
        <v>0</v>
      </c>
      <c r="AB20" s="40">
        <f t="shared" si="12"/>
        <v>0</v>
      </c>
      <c r="AC20" s="40">
        <f t="shared" si="13"/>
        <v>0</v>
      </c>
      <c r="AD20" s="40">
        <f t="shared" si="14"/>
        <v>0</v>
      </c>
      <c r="AE20" s="40">
        <f t="shared" si="15"/>
        <v>0</v>
      </c>
      <c r="AF20" s="40">
        <f t="shared" si="16"/>
        <v>1</v>
      </c>
      <c r="AG20" s="40">
        <f t="shared" si="17"/>
        <v>0</v>
      </c>
      <c r="AH20" s="40">
        <f t="shared" si="18"/>
        <v>0</v>
      </c>
      <c r="AI20" s="40">
        <f t="shared" si="19"/>
        <v>0</v>
      </c>
      <c r="AJ20" s="40">
        <f t="shared" si="20"/>
        <v>0</v>
      </c>
      <c r="AK20" s="40">
        <f t="shared" si="21"/>
        <v>0</v>
      </c>
      <c r="AL20" s="40">
        <f t="shared" si="22"/>
        <v>1</v>
      </c>
      <c r="AM20" s="40">
        <f t="shared" si="23"/>
        <v>0</v>
      </c>
      <c r="AN20" s="40">
        <f t="shared" si="24"/>
        <v>0</v>
      </c>
      <c r="AO20" s="40">
        <f t="shared" si="25"/>
        <v>0</v>
      </c>
      <c r="AP20" s="40">
        <f t="shared" si="26"/>
        <v>0</v>
      </c>
      <c r="AQ20" s="40">
        <f t="shared" si="27"/>
        <v>0</v>
      </c>
      <c r="AR20" s="40">
        <f t="shared" si="28"/>
        <v>0</v>
      </c>
      <c r="AS20" s="40">
        <f t="shared" si="29"/>
        <v>0</v>
      </c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</row>
    <row r="21" spans="1:110" s="2" customFormat="1" ht="14.4" customHeight="1" thickBot="1" x14ac:dyDescent="0.3">
      <c r="A21" s="6"/>
      <c r="B21" s="53" t="s">
        <v>20</v>
      </c>
      <c r="C21" s="54" t="s">
        <v>26</v>
      </c>
      <c r="D21" s="55" t="s">
        <v>24</v>
      </c>
      <c r="E21" s="62">
        <v>6.989999999999998E-3</v>
      </c>
      <c r="F21" s="65">
        <f t="shared" si="30"/>
        <v>-4.9632747227364185</v>
      </c>
      <c r="G21" s="7"/>
      <c r="H21" s="7"/>
      <c r="I21" s="7"/>
      <c r="J21" s="7"/>
      <c r="K21" s="9"/>
      <c r="L21" s="12"/>
      <c r="M21" s="12"/>
      <c r="N21" s="66" t="s">
        <v>22</v>
      </c>
      <c r="O21" s="78">
        <f t="shared" si="2"/>
        <v>-0.41244579551651406</v>
      </c>
      <c r="Q21" s="13"/>
      <c r="R21" s="43">
        <v>-0.63857384310902932</v>
      </c>
      <c r="S21" s="40">
        <f t="shared" si="3"/>
        <v>0</v>
      </c>
      <c r="T21" s="40">
        <f t="shared" si="4"/>
        <v>0</v>
      </c>
      <c r="U21" s="40">
        <f t="shared" si="5"/>
        <v>1</v>
      </c>
      <c r="V21" s="40">
        <f t="shared" si="6"/>
        <v>0</v>
      </c>
      <c r="W21" s="40">
        <f t="shared" si="7"/>
        <v>0</v>
      </c>
      <c r="X21" s="40">
        <f t="shared" si="8"/>
        <v>0</v>
      </c>
      <c r="Y21" s="40">
        <f t="shared" si="9"/>
        <v>0</v>
      </c>
      <c r="Z21" s="40">
        <f t="shared" si="10"/>
        <v>0</v>
      </c>
      <c r="AA21" s="40">
        <f t="shared" si="11"/>
        <v>0</v>
      </c>
      <c r="AB21" s="40">
        <f t="shared" si="12"/>
        <v>0</v>
      </c>
      <c r="AC21" s="40">
        <f t="shared" si="13"/>
        <v>0</v>
      </c>
      <c r="AD21" s="40">
        <f t="shared" si="14"/>
        <v>0</v>
      </c>
      <c r="AE21" s="40">
        <f t="shared" si="15"/>
        <v>0</v>
      </c>
      <c r="AF21" s="40">
        <f t="shared" si="16"/>
        <v>1</v>
      </c>
      <c r="AG21" s="40">
        <f t="shared" si="17"/>
        <v>0</v>
      </c>
      <c r="AH21" s="40">
        <f t="shared" si="18"/>
        <v>0</v>
      </c>
      <c r="AI21" s="40">
        <f t="shared" si="19"/>
        <v>0</v>
      </c>
      <c r="AJ21" s="40">
        <f t="shared" si="20"/>
        <v>0</v>
      </c>
      <c r="AK21" s="40">
        <f t="shared" si="21"/>
        <v>0</v>
      </c>
      <c r="AL21" s="40">
        <f t="shared" si="22"/>
        <v>1</v>
      </c>
      <c r="AM21" s="40">
        <f t="shared" si="23"/>
        <v>0</v>
      </c>
      <c r="AN21" s="40">
        <f t="shared" si="24"/>
        <v>0</v>
      </c>
      <c r="AO21" s="40">
        <f t="shared" si="25"/>
        <v>0</v>
      </c>
      <c r="AP21" s="40">
        <f t="shared" si="26"/>
        <v>0</v>
      </c>
      <c r="AQ21" s="40">
        <f t="shared" si="27"/>
        <v>0</v>
      </c>
      <c r="AR21" s="40">
        <f t="shared" si="28"/>
        <v>0</v>
      </c>
      <c r="AS21" s="40">
        <f t="shared" si="29"/>
        <v>0</v>
      </c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</row>
    <row r="22" spans="1:110" s="2" customFormat="1" ht="14.4" customHeight="1" thickBot="1" x14ac:dyDescent="0.3">
      <c r="A22" s="6"/>
      <c r="B22" s="53" t="s">
        <v>20</v>
      </c>
      <c r="C22" s="54" t="s">
        <v>26</v>
      </c>
      <c r="D22" s="55" t="s">
        <v>24</v>
      </c>
      <c r="E22" s="62">
        <v>6.3200000000000001E-3</v>
      </c>
      <c r="F22" s="65">
        <f t="shared" si="30"/>
        <v>-5.0640360708233709</v>
      </c>
      <c r="G22" s="7"/>
      <c r="H22" s="7"/>
      <c r="I22" s="7"/>
      <c r="J22" s="7"/>
      <c r="K22" s="9"/>
      <c r="L22" s="12"/>
      <c r="M22" s="12"/>
      <c r="N22" s="12"/>
      <c r="O22" s="12"/>
      <c r="P22" s="13"/>
      <c r="Q22" s="13"/>
      <c r="R22" s="43">
        <v>0.15373648442713791</v>
      </c>
      <c r="S22" s="40">
        <f t="shared" si="3"/>
        <v>0</v>
      </c>
      <c r="T22" s="40">
        <f t="shared" si="4"/>
        <v>0</v>
      </c>
      <c r="U22" s="40">
        <f t="shared" si="5"/>
        <v>1</v>
      </c>
      <c r="V22" s="40">
        <f t="shared" si="6"/>
        <v>0</v>
      </c>
      <c r="W22" s="40">
        <f t="shared" si="7"/>
        <v>0</v>
      </c>
      <c r="X22" s="40">
        <f t="shared" si="8"/>
        <v>0</v>
      </c>
      <c r="Y22" s="40">
        <f t="shared" si="9"/>
        <v>0</v>
      </c>
      <c r="Z22" s="40">
        <f t="shared" si="10"/>
        <v>0</v>
      </c>
      <c r="AA22" s="40">
        <f t="shared" si="11"/>
        <v>0</v>
      </c>
      <c r="AB22" s="40">
        <f t="shared" si="12"/>
        <v>1</v>
      </c>
      <c r="AC22" s="40">
        <f t="shared" si="13"/>
        <v>0</v>
      </c>
      <c r="AD22" s="40">
        <f t="shared" si="14"/>
        <v>0</v>
      </c>
      <c r="AE22" s="40">
        <f t="shared" si="15"/>
        <v>0</v>
      </c>
      <c r="AF22" s="40">
        <f t="shared" si="16"/>
        <v>0</v>
      </c>
      <c r="AG22" s="40">
        <f t="shared" si="17"/>
        <v>0</v>
      </c>
      <c r="AH22" s="40">
        <f t="shared" si="18"/>
        <v>0</v>
      </c>
      <c r="AI22" s="40">
        <f t="shared" si="19"/>
        <v>0</v>
      </c>
      <c r="AJ22" s="40">
        <f t="shared" si="20"/>
        <v>0</v>
      </c>
      <c r="AK22" s="40">
        <f t="shared" si="21"/>
        <v>0</v>
      </c>
      <c r="AL22" s="40">
        <f t="shared" si="22"/>
        <v>0</v>
      </c>
      <c r="AM22" s="40">
        <f t="shared" si="23"/>
        <v>0</v>
      </c>
      <c r="AN22" s="40">
        <f t="shared" si="24"/>
        <v>1</v>
      </c>
      <c r="AO22" s="40">
        <f t="shared" si="25"/>
        <v>0</v>
      </c>
      <c r="AP22" s="40">
        <f t="shared" si="26"/>
        <v>0</v>
      </c>
      <c r="AQ22" s="40">
        <f t="shared" si="27"/>
        <v>0</v>
      </c>
      <c r="AR22" s="40">
        <f t="shared" si="28"/>
        <v>0</v>
      </c>
      <c r="AS22" s="40">
        <f t="shared" si="29"/>
        <v>0</v>
      </c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</row>
    <row r="23" spans="1:110" s="2" customFormat="1" ht="14.4" customHeight="1" thickBot="1" x14ac:dyDescent="0.3">
      <c r="A23" s="6"/>
      <c r="B23" s="53" t="s">
        <v>20</v>
      </c>
      <c r="C23" s="54" t="s">
        <v>25</v>
      </c>
      <c r="D23" s="55" t="s">
        <v>29</v>
      </c>
      <c r="E23" s="62">
        <v>2.5399999999999997E-3</v>
      </c>
      <c r="F23" s="65">
        <f t="shared" si="30"/>
        <v>-5.975591197951692</v>
      </c>
      <c r="G23" s="7"/>
      <c r="H23" s="245" t="s">
        <v>57</v>
      </c>
      <c r="I23" s="246"/>
      <c r="J23" s="246"/>
      <c r="K23" s="246"/>
      <c r="L23" s="247"/>
      <c r="M23" s="12"/>
      <c r="N23" s="12"/>
      <c r="O23" s="12"/>
      <c r="P23" s="13"/>
      <c r="Q23" s="13"/>
      <c r="R23" s="43">
        <v>0</v>
      </c>
      <c r="S23" s="40">
        <f t="shared" si="3"/>
        <v>0</v>
      </c>
      <c r="T23" s="40">
        <f t="shared" si="4"/>
        <v>0</v>
      </c>
      <c r="U23" s="40">
        <f t="shared" si="5"/>
        <v>1</v>
      </c>
      <c r="V23" s="40">
        <f t="shared" si="6"/>
        <v>0</v>
      </c>
      <c r="W23" s="40">
        <f t="shared" si="7"/>
        <v>0</v>
      </c>
      <c r="X23" s="40">
        <f t="shared" si="8"/>
        <v>0</v>
      </c>
      <c r="Y23" s="40">
        <f t="shared" si="9"/>
        <v>0</v>
      </c>
      <c r="Z23" s="40">
        <f t="shared" si="10"/>
        <v>0</v>
      </c>
      <c r="AA23" s="40">
        <f t="shared" si="11"/>
        <v>0</v>
      </c>
      <c r="AB23" s="40">
        <f t="shared" si="12"/>
        <v>1</v>
      </c>
      <c r="AC23" s="40">
        <f t="shared" si="13"/>
        <v>0</v>
      </c>
      <c r="AD23" s="40">
        <f t="shared" si="14"/>
        <v>0</v>
      </c>
      <c r="AE23" s="40">
        <f t="shared" si="15"/>
        <v>0</v>
      </c>
      <c r="AF23" s="40">
        <f t="shared" si="16"/>
        <v>0</v>
      </c>
      <c r="AG23" s="40">
        <f t="shared" si="17"/>
        <v>0</v>
      </c>
      <c r="AH23" s="40">
        <f t="shared" si="18"/>
        <v>0</v>
      </c>
      <c r="AI23" s="40">
        <f t="shared" si="19"/>
        <v>0</v>
      </c>
      <c r="AJ23" s="40">
        <f t="shared" si="20"/>
        <v>0</v>
      </c>
      <c r="AK23" s="40">
        <f t="shared" si="21"/>
        <v>0</v>
      </c>
      <c r="AL23" s="40">
        <f t="shared" si="22"/>
        <v>0</v>
      </c>
      <c r="AM23" s="40">
        <f t="shared" si="23"/>
        <v>0</v>
      </c>
      <c r="AN23" s="40">
        <f t="shared" si="24"/>
        <v>0</v>
      </c>
      <c r="AO23" s="40">
        <f t="shared" si="25"/>
        <v>1</v>
      </c>
      <c r="AP23" s="40">
        <f t="shared" si="26"/>
        <v>0</v>
      </c>
      <c r="AQ23" s="40">
        <f t="shared" si="27"/>
        <v>0</v>
      </c>
      <c r="AR23" s="40">
        <f t="shared" si="28"/>
        <v>0</v>
      </c>
      <c r="AS23" s="40">
        <f t="shared" si="29"/>
        <v>0</v>
      </c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</row>
    <row r="24" spans="1:110" s="2" customFormat="1" ht="14.4" customHeight="1" x14ac:dyDescent="0.25">
      <c r="A24" s="6"/>
      <c r="B24" s="53" t="s">
        <v>20</v>
      </c>
      <c r="C24" s="54" t="s">
        <v>25</v>
      </c>
      <c r="D24" s="55" t="s">
        <v>31</v>
      </c>
      <c r="E24" s="62">
        <v>5.6200000000000026E-3</v>
      </c>
      <c r="F24" s="65">
        <f t="shared" si="30"/>
        <v>-5.1814236150765369</v>
      </c>
      <c r="G24" s="7"/>
      <c r="H24" s="70" t="s">
        <v>42</v>
      </c>
      <c r="I24" s="74" t="s">
        <v>25</v>
      </c>
      <c r="J24" s="71" t="s">
        <v>24</v>
      </c>
      <c r="K24" s="80">
        <f ca="1">Intercept+OFFSET($I$9,MATCH(H24,$H$10:$H$16,0),0,1,1)+OFFSET($L$9,MATCH(I24,$K$10:$K$17,0),0,1,1)+OFFSET($O$9,MATCH(J24,$N$10:$N$21,0),0,1,1)</f>
        <v>-6.1802857284163482</v>
      </c>
      <c r="L24" s="81">
        <f ca="1">EXP(K24)</f>
        <v>2.0698363590757603E-3</v>
      </c>
      <c r="M24" s="44"/>
      <c r="N24" s="12"/>
      <c r="O24" s="12"/>
      <c r="P24" s="13"/>
      <c r="Q24" s="13"/>
      <c r="R24" s="43">
        <v>-0.26605971495950359</v>
      </c>
      <c r="S24" s="40">
        <f t="shared" si="3"/>
        <v>0</v>
      </c>
      <c r="T24" s="40">
        <f t="shared" si="4"/>
        <v>0</v>
      </c>
      <c r="U24" s="40">
        <f t="shared" si="5"/>
        <v>1</v>
      </c>
      <c r="V24" s="40">
        <f t="shared" si="6"/>
        <v>0</v>
      </c>
      <c r="W24" s="40">
        <f t="shared" si="7"/>
        <v>0</v>
      </c>
      <c r="X24" s="40">
        <f t="shared" si="8"/>
        <v>0</v>
      </c>
      <c r="Y24" s="40">
        <f t="shared" si="9"/>
        <v>0</v>
      </c>
      <c r="Z24" s="40">
        <f t="shared" si="10"/>
        <v>0</v>
      </c>
      <c r="AA24" s="40">
        <f t="shared" si="11"/>
        <v>0</v>
      </c>
      <c r="AB24" s="40">
        <f t="shared" si="12"/>
        <v>1</v>
      </c>
      <c r="AC24" s="40">
        <f t="shared" si="13"/>
        <v>0</v>
      </c>
      <c r="AD24" s="40">
        <f t="shared" si="14"/>
        <v>0</v>
      </c>
      <c r="AE24" s="40">
        <f t="shared" si="15"/>
        <v>0</v>
      </c>
      <c r="AF24" s="40">
        <f t="shared" si="16"/>
        <v>0</v>
      </c>
      <c r="AG24" s="40">
        <f t="shared" si="17"/>
        <v>0</v>
      </c>
      <c r="AH24" s="40">
        <f t="shared" si="18"/>
        <v>0</v>
      </c>
      <c r="AI24" s="40">
        <f t="shared" si="19"/>
        <v>0</v>
      </c>
      <c r="AJ24" s="40">
        <f t="shared" si="20"/>
        <v>0</v>
      </c>
      <c r="AK24" s="40">
        <f t="shared" si="21"/>
        <v>1</v>
      </c>
      <c r="AL24" s="40">
        <f t="shared" si="22"/>
        <v>0</v>
      </c>
      <c r="AM24" s="40">
        <f t="shared" si="23"/>
        <v>0</v>
      </c>
      <c r="AN24" s="40">
        <f t="shared" si="24"/>
        <v>0</v>
      </c>
      <c r="AO24" s="40">
        <f t="shared" si="25"/>
        <v>0</v>
      </c>
      <c r="AP24" s="40">
        <f t="shared" si="26"/>
        <v>0</v>
      </c>
      <c r="AQ24" s="40">
        <f t="shared" si="27"/>
        <v>0</v>
      </c>
      <c r="AR24" s="40">
        <f t="shared" si="28"/>
        <v>0</v>
      </c>
      <c r="AS24" s="40">
        <f t="shared" si="29"/>
        <v>0</v>
      </c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</row>
    <row r="25" spans="1:110" s="2" customFormat="1" ht="14.4" customHeight="1" x14ac:dyDescent="0.25">
      <c r="A25" s="6"/>
      <c r="B25" s="53" t="s">
        <v>20</v>
      </c>
      <c r="C25" s="54" t="s">
        <v>25</v>
      </c>
      <c r="D25" s="55" t="s">
        <v>32</v>
      </c>
      <c r="E25" s="62">
        <v>4.1300000000000009E-3</v>
      </c>
      <c r="F25" s="65">
        <f t="shared" si="30"/>
        <v>-5.4894778720091955</v>
      </c>
      <c r="G25" s="7"/>
      <c r="H25" s="46" t="s">
        <v>42</v>
      </c>
      <c r="I25" s="47" t="s">
        <v>26</v>
      </c>
      <c r="J25" s="45" t="s">
        <v>24</v>
      </c>
      <c r="K25" s="82">
        <f ca="1">Intercept+OFFSET($I$9,MATCH(H25,$H$10:$H$16,0),0,1,1)+OFFSET($L$9,MATCH(I25,$K$10:$K$17,0),0,1,1)+OFFSET($O$9,MATCH(J25,$N$10:$N$21,0),0,1,1)</f>
        <v>-6.0088831498387858</v>
      </c>
      <c r="L25" s="83">
        <f ca="1">EXP(K25)</f>
        <v>2.4568305603225073E-3</v>
      </c>
      <c r="M25" s="12"/>
      <c r="N25" s="12"/>
      <c r="O25" s="12"/>
      <c r="P25" s="13"/>
      <c r="Q25" s="13"/>
      <c r="R25" s="43">
        <v>-0.19844643062412526</v>
      </c>
      <c r="S25" s="40">
        <f t="shared" si="3"/>
        <v>0</v>
      </c>
      <c r="T25" s="40">
        <f t="shared" si="4"/>
        <v>0</v>
      </c>
      <c r="U25" s="40">
        <f t="shared" si="5"/>
        <v>1</v>
      </c>
      <c r="V25" s="40">
        <f t="shared" si="6"/>
        <v>0</v>
      </c>
      <c r="W25" s="40">
        <f t="shared" si="7"/>
        <v>0</v>
      </c>
      <c r="X25" s="40">
        <f t="shared" si="8"/>
        <v>0</v>
      </c>
      <c r="Y25" s="40">
        <f t="shared" si="9"/>
        <v>0</v>
      </c>
      <c r="Z25" s="40">
        <f t="shared" si="10"/>
        <v>0</v>
      </c>
      <c r="AA25" s="40">
        <f t="shared" si="11"/>
        <v>0</v>
      </c>
      <c r="AB25" s="40">
        <f t="shared" si="12"/>
        <v>1</v>
      </c>
      <c r="AC25" s="40">
        <f t="shared" si="13"/>
        <v>0</v>
      </c>
      <c r="AD25" s="40">
        <f t="shared" si="14"/>
        <v>0</v>
      </c>
      <c r="AE25" s="40">
        <f t="shared" si="15"/>
        <v>0</v>
      </c>
      <c r="AF25" s="40">
        <f t="shared" si="16"/>
        <v>0</v>
      </c>
      <c r="AG25" s="40">
        <f t="shared" si="17"/>
        <v>0</v>
      </c>
      <c r="AH25" s="40">
        <f t="shared" si="18"/>
        <v>0</v>
      </c>
      <c r="AI25" s="40">
        <f t="shared" si="19"/>
        <v>0</v>
      </c>
      <c r="AJ25" s="40">
        <f t="shared" si="20"/>
        <v>0</v>
      </c>
      <c r="AK25" s="40">
        <f t="shared" si="21"/>
        <v>0</v>
      </c>
      <c r="AL25" s="40">
        <f t="shared" si="22"/>
        <v>1</v>
      </c>
      <c r="AM25" s="40">
        <f t="shared" si="23"/>
        <v>0</v>
      </c>
      <c r="AN25" s="40">
        <f t="shared" si="24"/>
        <v>0</v>
      </c>
      <c r="AO25" s="40">
        <f t="shared" si="25"/>
        <v>0</v>
      </c>
      <c r="AP25" s="40">
        <f t="shared" si="26"/>
        <v>0</v>
      </c>
      <c r="AQ25" s="40">
        <f t="shared" si="27"/>
        <v>0</v>
      </c>
      <c r="AR25" s="40">
        <f t="shared" si="28"/>
        <v>0</v>
      </c>
      <c r="AS25" s="40">
        <f t="shared" si="29"/>
        <v>0</v>
      </c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</row>
    <row r="26" spans="1:110" s="2" customFormat="1" ht="14.4" customHeight="1" x14ac:dyDescent="0.25">
      <c r="A26" s="6"/>
      <c r="B26" s="53" t="s">
        <v>20</v>
      </c>
      <c r="C26" s="54" t="s">
        <v>25</v>
      </c>
      <c r="D26" s="55" t="s">
        <v>24</v>
      </c>
      <c r="E26" s="62">
        <v>3.1700000000000014E-3</v>
      </c>
      <c r="F26" s="65">
        <f t="shared" si="30"/>
        <v>-5.7540236910929474</v>
      </c>
      <c r="G26" s="7"/>
      <c r="H26" s="46" t="s">
        <v>42</v>
      </c>
      <c r="I26" s="47" t="s">
        <v>36</v>
      </c>
      <c r="J26" s="45" t="s">
        <v>24</v>
      </c>
      <c r="K26" s="82">
        <f ca="1">Intercept+OFFSET($I$9,MATCH(H26,$H$10:$H$16,0),0,1,1)+OFFSET($L$9,MATCH(I26,$K$10:$K$17,0),0,1,1)+OFFSET($O$9,MATCH(J26,$N$10:$N$21,0),0,1,1)</f>
        <v>-5.921627447589568</v>
      </c>
      <c r="L26" s="83">
        <f ca="1">EXP(K26)</f>
        <v>2.6808337084613877E-3</v>
      </c>
      <c r="M26" s="12"/>
      <c r="N26" s="12"/>
      <c r="O26" s="12"/>
      <c r="P26" s="13"/>
      <c r="Q26" s="13"/>
      <c r="R26" s="43">
        <v>-0.32312959645937611</v>
      </c>
      <c r="S26" s="40">
        <f t="shared" si="3"/>
        <v>0</v>
      </c>
      <c r="T26" s="40">
        <f t="shared" si="4"/>
        <v>0</v>
      </c>
      <c r="U26" s="40">
        <f t="shared" si="5"/>
        <v>1</v>
      </c>
      <c r="V26" s="40">
        <f t="shared" si="6"/>
        <v>0</v>
      </c>
      <c r="W26" s="40">
        <f t="shared" si="7"/>
        <v>0</v>
      </c>
      <c r="X26" s="40">
        <f t="shared" si="8"/>
        <v>0</v>
      </c>
      <c r="Y26" s="40">
        <f t="shared" si="9"/>
        <v>0</v>
      </c>
      <c r="Z26" s="40">
        <f t="shared" si="10"/>
        <v>0</v>
      </c>
      <c r="AA26" s="40">
        <f t="shared" si="11"/>
        <v>0</v>
      </c>
      <c r="AB26" s="40">
        <f t="shared" si="12"/>
        <v>0</v>
      </c>
      <c r="AC26" s="40">
        <f t="shared" si="13"/>
        <v>0</v>
      </c>
      <c r="AD26" s="40">
        <f t="shared" si="14"/>
        <v>0</v>
      </c>
      <c r="AE26" s="40">
        <f t="shared" si="15"/>
        <v>0</v>
      </c>
      <c r="AF26" s="40">
        <f t="shared" si="16"/>
        <v>1</v>
      </c>
      <c r="AG26" s="40">
        <f t="shared" si="17"/>
        <v>0</v>
      </c>
      <c r="AH26" s="40">
        <f t="shared" si="18"/>
        <v>0</v>
      </c>
      <c r="AI26" s="40">
        <f t="shared" si="19"/>
        <v>0</v>
      </c>
      <c r="AJ26" s="40">
        <f t="shared" si="20"/>
        <v>0</v>
      </c>
      <c r="AK26" s="40">
        <f t="shared" si="21"/>
        <v>1</v>
      </c>
      <c r="AL26" s="40">
        <f t="shared" si="22"/>
        <v>0</v>
      </c>
      <c r="AM26" s="40">
        <f t="shared" si="23"/>
        <v>0</v>
      </c>
      <c r="AN26" s="40">
        <f t="shared" si="24"/>
        <v>0</v>
      </c>
      <c r="AO26" s="40">
        <f t="shared" si="25"/>
        <v>0</v>
      </c>
      <c r="AP26" s="40">
        <f t="shared" si="26"/>
        <v>0</v>
      </c>
      <c r="AQ26" s="40">
        <f t="shared" si="27"/>
        <v>0</v>
      </c>
      <c r="AR26" s="40">
        <f t="shared" si="28"/>
        <v>0</v>
      </c>
      <c r="AS26" s="40">
        <f t="shared" si="29"/>
        <v>0</v>
      </c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</row>
    <row r="27" spans="1:110" s="2" customFormat="1" ht="14.4" customHeight="1" thickBot="1" x14ac:dyDescent="0.3">
      <c r="A27" s="6"/>
      <c r="B27" s="53" t="s">
        <v>20</v>
      </c>
      <c r="C27" s="54" t="s">
        <v>26</v>
      </c>
      <c r="D27" s="55" t="s">
        <v>32</v>
      </c>
      <c r="E27" s="62">
        <v>3.9399999999999999E-3</v>
      </c>
      <c r="F27" s="65">
        <f t="shared" si="30"/>
        <v>-5.5365745556722947</v>
      </c>
      <c r="G27" s="7"/>
      <c r="H27" s="72" t="s">
        <v>46</v>
      </c>
      <c r="I27" s="75" t="s">
        <v>39</v>
      </c>
      <c r="J27" s="73" t="s">
        <v>24</v>
      </c>
      <c r="K27" s="84">
        <f ca="1">Intercept+OFFSET($I$9,MATCH(H27,$H$10:$H$16,0),0,1,1)+OFFSET($L$9,MATCH(I27,$K$10:$K$17,0),0,1,1)+OFFSET($O$9,MATCH(J27,$N$10:$N$21,0),0,1,1)</f>
        <v>-2.0825447445639673</v>
      </c>
      <c r="L27" s="85">
        <f ca="1">EXP(K27)</f>
        <v>0.12461270088415347</v>
      </c>
      <c r="M27" s="12"/>
      <c r="N27" s="12"/>
      <c r="O27" s="12"/>
      <c r="P27" s="13"/>
      <c r="Q27" s="13"/>
      <c r="R27" s="43">
        <v>-0.32777071400791691</v>
      </c>
      <c r="S27" s="40">
        <f t="shared" si="3"/>
        <v>0</v>
      </c>
      <c r="T27" s="40">
        <f t="shared" si="4"/>
        <v>0</v>
      </c>
      <c r="U27" s="40">
        <f t="shared" si="5"/>
        <v>1</v>
      </c>
      <c r="V27" s="40">
        <f t="shared" si="6"/>
        <v>0</v>
      </c>
      <c r="W27" s="40">
        <f t="shared" si="7"/>
        <v>0</v>
      </c>
      <c r="X27" s="40">
        <f t="shared" si="8"/>
        <v>0</v>
      </c>
      <c r="Y27" s="40">
        <f t="shared" si="9"/>
        <v>0</v>
      </c>
      <c r="Z27" s="40">
        <f t="shared" si="10"/>
        <v>0</v>
      </c>
      <c r="AA27" s="40">
        <f t="shared" si="11"/>
        <v>0</v>
      </c>
      <c r="AB27" s="40">
        <f t="shared" si="12"/>
        <v>1</v>
      </c>
      <c r="AC27" s="40">
        <f t="shared" si="13"/>
        <v>0</v>
      </c>
      <c r="AD27" s="40">
        <f t="shared" si="14"/>
        <v>0</v>
      </c>
      <c r="AE27" s="40">
        <f t="shared" si="15"/>
        <v>0</v>
      </c>
      <c r="AF27" s="40">
        <f t="shared" si="16"/>
        <v>0</v>
      </c>
      <c r="AG27" s="40">
        <f t="shared" si="17"/>
        <v>0</v>
      </c>
      <c r="AH27" s="40">
        <f t="shared" si="18"/>
        <v>0</v>
      </c>
      <c r="AI27" s="40">
        <f t="shared" si="19"/>
        <v>0</v>
      </c>
      <c r="AJ27" s="40">
        <f t="shared" si="20"/>
        <v>0</v>
      </c>
      <c r="AK27" s="40">
        <f t="shared" si="21"/>
        <v>0</v>
      </c>
      <c r="AL27" s="40">
        <f t="shared" si="22"/>
        <v>1</v>
      </c>
      <c r="AM27" s="40">
        <f t="shared" si="23"/>
        <v>0</v>
      </c>
      <c r="AN27" s="40">
        <f t="shared" si="24"/>
        <v>0</v>
      </c>
      <c r="AO27" s="40">
        <f t="shared" si="25"/>
        <v>0</v>
      </c>
      <c r="AP27" s="40">
        <f t="shared" si="26"/>
        <v>0</v>
      </c>
      <c r="AQ27" s="40">
        <f t="shared" si="27"/>
        <v>0</v>
      </c>
      <c r="AR27" s="40">
        <f t="shared" si="28"/>
        <v>0</v>
      </c>
      <c r="AS27" s="40">
        <f t="shared" si="29"/>
        <v>0</v>
      </c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</row>
    <row r="28" spans="1:110" s="2" customFormat="1" ht="14.4" customHeight="1" x14ac:dyDescent="0.25">
      <c r="A28" s="6"/>
      <c r="B28" s="53" t="s">
        <v>20</v>
      </c>
      <c r="C28" s="54" t="s">
        <v>25</v>
      </c>
      <c r="D28" s="55" t="s">
        <v>24</v>
      </c>
      <c r="E28" s="62">
        <v>6.9000000000000025E-3</v>
      </c>
      <c r="F28" s="65">
        <f t="shared" si="30"/>
        <v>-4.976233867378923</v>
      </c>
      <c r="G28" s="7"/>
      <c r="H28" s="7"/>
      <c r="I28" s="7"/>
      <c r="J28" s="7"/>
      <c r="K28" s="9"/>
      <c r="L28" s="12"/>
      <c r="M28" s="12"/>
      <c r="N28" s="12"/>
      <c r="O28" s="12"/>
      <c r="P28" s="13"/>
      <c r="Q28" s="13"/>
      <c r="R28" s="43">
        <v>-0.33384671166853902</v>
      </c>
      <c r="S28" s="40">
        <f t="shared" si="3"/>
        <v>0</v>
      </c>
      <c r="T28" s="40">
        <f t="shared" si="4"/>
        <v>0</v>
      </c>
      <c r="U28" s="40">
        <f t="shared" si="5"/>
        <v>1</v>
      </c>
      <c r="V28" s="40">
        <f t="shared" si="6"/>
        <v>0</v>
      </c>
      <c r="W28" s="40">
        <f t="shared" si="7"/>
        <v>0</v>
      </c>
      <c r="X28" s="40">
        <f t="shared" si="8"/>
        <v>0</v>
      </c>
      <c r="Y28" s="40">
        <f t="shared" si="9"/>
        <v>0</v>
      </c>
      <c r="Z28" s="40">
        <f t="shared" si="10"/>
        <v>0</v>
      </c>
      <c r="AA28" s="40">
        <f t="shared" si="11"/>
        <v>0</v>
      </c>
      <c r="AB28" s="40">
        <f t="shared" si="12"/>
        <v>0</v>
      </c>
      <c r="AC28" s="40">
        <f t="shared" si="13"/>
        <v>0</v>
      </c>
      <c r="AD28" s="40">
        <f t="shared" si="14"/>
        <v>0</v>
      </c>
      <c r="AE28" s="40">
        <f t="shared" si="15"/>
        <v>0</v>
      </c>
      <c r="AF28" s="40">
        <f t="shared" si="16"/>
        <v>1</v>
      </c>
      <c r="AG28" s="40">
        <f t="shared" si="17"/>
        <v>0</v>
      </c>
      <c r="AH28" s="40">
        <f t="shared" si="18"/>
        <v>0</v>
      </c>
      <c r="AI28" s="40">
        <f t="shared" si="19"/>
        <v>0</v>
      </c>
      <c r="AJ28" s="40">
        <f t="shared" si="20"/>
        <v>0</v>
      </c>
      <c r="AK28" s="40">
        <f t="shared" si="21"/>
        <v>0</v>
      </c>
      <c r="AL28" s="40">
        <f t="shared" si="22"/>
        <v>1</v>
      </c>
      <c r="AM28" s="40">
        <f t="shared" si="23"/>
        <v>0</v>
      </c>
      <c r="AN28" s="40">
        <f t="shared" si="24"/>
        <v>0</v>
      </c>
      <c r="AO28" s="40">
        <f t="shared" si="25"/>
        <v>0</v>
      </c>
      <c r="AP28" s="40">
        <f t="shared" si="26"/>
        <v>0</v>
      </c>
      <c r="AQ28" s="40">
        <f t="shared" si="27"/>
        <v>0</v>
      </c>
      <c r="AR28" s="40">
        <f t="shared" si="28"/>
        <v>0</v>
      </c>
      <c r="AS28" s="40">
        <f t="shared" si="29"/>
        <v>0</v>
      </c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</row>
    <row r="29" spans="1:110" s="2" customFormat="1" ht="14.4" customHeight="1" x14ac:dyDescent="0.25">
      <c r="A29" s="6"/>
      <c r="B29" s="53" t="s">
        <v>20</v>
      </c>
      <c r="C29" s="54" t="s">
        <v>26</v>
      </c>
      <c r="D29" s="55" t="s">
        <v>24</v>
      </c>
      <c r="E29" s="62">
        <v>1.6400000000000002E-3</v>
      </c>
      <c r="F29" s="65">
        <f t="shared" si="30"/>
        <v>-6.4130590371460299</v>
      </c>
      <c r="G29" s="7"/>
      <c r="H29" s="7"/>
      <c r="I29" s="7"/>
      <c r="J29" s="7"/>
      <c r="K29" s="9"/>
      <c r="L29" s="12"/>
      <c r="M29" s="12"/>
      <c r="N29" s="12"/>
      <c r="O29" s="12"/>
      <c r="P29" s="13"/>
      <c r="Q29" s="13"/>
      <c r="R29" s="43">
        <v>-0.1054577918802868</v>
      </c>
      <c r="S29" s="40">
        <f t="shared" si="3"/>
        <v>0</v>
      </c>
      <c r="T29" s="40">
        <f t="shared" si="4"/>
        <v>0</v>
      </c>
      <c r="U29" s="40">
        <f t="shared" si="5"/>
        <v>1</v>
      </c>
      <c r="V29" s="40">
        <f t="shared" si="6"/>
        <v>0</v>
      </c>
      <c r="W29" s="40">
        <f t="shared" si="7"/>
        <v>0</v>
      </c>
      <c r="X29" s="40">
        <f t="shared" si="8"/>
        <v>0</v>
      </c>
      <c r="Y29" s="40">
        <f t="shared" si="9"/>
        <v>0</v>
      </c>
      <c r="Z29" s="40">
        <f t="shared" si="10"/>
        <v>0</v>
      </c>
      <c r="AA29" s="40">
        <f t="shared" si="11"/>
        <v>0</v>
      </c>
      <c r="AB29" s="40">
        <f t="shared" si="12"/>
        <v>0</v>
      </c>
      <c r="AC29" s="40">
        <f t="shared" si="13"/>
        <v>0</v>
      </c>
      <c r="AD29" s="40">
        <f t="shared" si="14"/>
        <v>0</v>
      </c>
      <c r="AE29" s="40">
        <f t="shared" si="15"/>
        <v>0</v>
      </c>
      <c r="AF29" s="40">
        <f t="shared" si="16"/>
        <v>1</v>
      </c>
      <c r="AG29" s="40">
        <f t="shared" si="17"/>
        <v>0</v>
      </c>
      <c r="AH29" s="40">
        <f t="shared" si="18"/>
        <v>0</v>
      </c>
      <c r="AI29" s="40">
        <f t="shared" si="19"/>
        <v>0</v>
      </c>
      <c r="AJ29" s="40">
        <f t="shared" si="20"/>
        <v>0</v>
      </c>
      <c r="AK29" s="40">
        <f t="shared" si="21"/>
        <v>0</v>
      </c>
      <c r="AL29" s="40">
        <f t="shared" si="22"/>
        <v>0</v>
      </c>
      <c r="AM29" s="40">
        <f t="shared" si="23"/>
        <v>0</v>
      </c>
      <c r="AN29" s="40">
        <f t="shared" si="24"/>
        <v>0</v>
      </c>
      <c r="AO29" s="40">
        <f t="shared" si="25"/>
        <v>1</v>
      </c>
      <c r="AP29" s="40">
        <f t="shared" si="26"/>
        <v>0</v>
      </c>
      <c r="AQ29" s="40">
        <f t="shared" si="27"/>
        <v>0</v>
      </c>
      <c r="AR29" s="40">
        <f t="shared" si="28"/>
        <v>0</v>
      </c>
      <c r="AS29" s="40">
        <f t="shared" si="29"/>
        <v>0</v>
      </c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</row>
    <row r="30" spans="1:110" s="2" customFormat="1" ht="14.4" customHeight="1" x14ac:dyDescent="0.25">
      <c r="A30" s="6"/>
      <c r="B30" s="53" t="s">
        <v>20</v>
      </c>
      <c r="C30" s="54" t="s">
        <v>26</v>
      </c>
      <c r="D30" s="55" t="s">
        <v>31</v>
      </c>
      <c r="E30" s="62">
        <v>4.910000000000002E-3</v>
      </c>
      <c r="F30" s="65">
        <f t="shared" si="30"/>
        <v>-5.3164813371757074</v>
      </c>
      <c r="G30" s="7"/>
      <c r="H30" s="7"/>
      <c r="I30" s="7"/>
      <c r="J30" s="7"/>
      <c r="K30" s="9"/>
      <c r="L30" s="12"/>
      <c r="M30" s="12"/>
      <c r="N30" s="12"/>
      <c r="O30" s="12"/>
      <c r="P30" s="13"/>
      <c r="Q30" s="13"/>
      <c r="R30" s="43">
        <v>-0.14454037992380769</v>
      </c>
      <c r="S30" s="40">
        <f t="shared" si="3"/>
        <v>0</v>
      </c>
      <c r="T30" s="40">
        <f t="shared" si="4"/>
        <v>0</v>
      </c>
      <c r="U30" s="40">
        <f t="shared" si="5"/>
        <v>1</v>
      </c>
      <c r="V30" s="40">
        <f t="shared" si="6"/>
        <v>0</v>
      </c>
      <c r="W30" s="40">
        <f t="shared" si="7"/>
        <v>0</v>
      </c>
      <c r="X30" s="40">
        <f t="shared" si="8"/>
        <v>0</v>
      </c>
      <c r="Y30" s="40">
        <f t="shared" si="9"/>
        <v>0</v>
      </c>
      <c r="Z30" s="40">
        <f t="shared" si="10"/>
        <v>0</v>
      </c>
      <c r="AA30" s="40">
        <f t="shared" si="11"/>
        <v>0</v>
      </c>
      <c r="AB30" s="40">
        <f t="shared" si="12"/>
        <v>0</v>
      </c>
      <c r="AC30" s="40">
        <f t="shared" si="13"/>
        <v>1</v>
      </c>
      <c r="AD30" s="40">
        <f t="shared" si="14"/>
        <v>0</v>
      </c>
      <c r="AE30" s="40">
        <f t="shared" si="15"/>
        <v>0</v>
      </c>
      <c r="AF30" s="40">
        <f t="shared" si="16"/>
        <v>0</v>
      </c>
      <c r="AG30" s="40">
        <f t="shared" si="17"/>
        <v>0</v>
      </c>
      <c r="AH30" s="40">
        <f t="shared" si="18"/>
        <v>0</v>
      </c>
      <c r="AI30" s="40">
        <f t="shared" si="19"/>
        <v>1</v>
      </c>
      <c r="AJ30" s="40">
        <f t="shared" si="20"/>
        <v>0</v>
      </c>
      <c r="AK30" s="40">
        <f t="shared" si="21"/>
        <v>0</v>
      </c>
      <c r="AL30" s="40">
        <f t="shared" si="22"/>
        <v>0</v>
      </c>
      <c r="AM30" s="40">
        <f t="shared" si="23"/>
        <v>0</v>
      </c>
      <c r="AN30" s="40">
        <f t="shared" si="24"/>
        <v>0</v>
      </c>
      <c r="AO30" s="40">
        <f t="shared" si="25"/>
        <v>0</v>
      </c>
      <c r="AP30" s="40">
        <f t="shared" si="26"/>
        <v>0</v>
      </c>
      <c r="AQ30" s="40">
        <f t="shared" si="27"/>
        <v>0</v>
      </c>
      <c r="AR30" s="40">
        <f t="shared" si="28"/>
        <v>0</v>
      </c>
      <c r="AS30" s="40">
        <f t="shared" si="29"/>
        <v>0</v>
      </c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</row>
    <row r="31" spans="1:110" s="2" customFormat="1" ht="14.4" customHeight="1" x14ac:dyDescent="0.25">
      <c r="A31" s="6"/>
      <c r="B31" s="53" t="s">
        <v>20</v>
      </c>
      <c r="C31" s="54" t="s">
        <v>23</v>
      </c>
      <c r="D31" s="55" t="s">
        <v>28</v>
      </c>
      <c r="E31" s="62">
        <v>2.8799999999999997E-3</v>
      </c>
      <c r="F31" s="65">
        <f t="shared" si="30"/>
        <v>-5.8499649848342825</v>
      </c>
      <c r="G31" s="7"/>
      <c r="H31" s="7"/>
      <c r="I31" s="7"/>
      <c r="J31" s="7"/>
      <c r="K31" s="9"/>
      <c r="L31" s="12"/>
      <c r="M31" s="12"/>
      <c r="N31" s="12"/>
      <c r="O31" s="12"/>
      <c r="P31" s="13"/>
      <c r="Q31" s="13"/>
      <c r="R31" s="43">
        <v>-0.49763880329568572</v>
      </c>
      <c r="S31" s="40">
        <f t="shared" si="3"/>
        <v>0</v>
      </c>
      <c r="T31" s="40">
        <f t="shared" si="4"/>
        <v>0</v>
      </c>
      <c r="U31" s="40">
        <f t="shared" si="5"/>
        <v>1</v>
      </c>
      <c r="V31" s="40">
        <f t="shared" si="6"/>
        <v>0</v>
      </c>
      <c r="W31" s="40">
        <f t="shared" si="7"/>
        <v>0</v>
      </c>
      <c r="X31" s="40">
        <f t="shared" si="8"/>
        <v>0</v>
      </c>
      <c r="Y31" s="40">
        <f t="shared" si="9"/>
        <v>0</v>
      </c>
      <c r="Z31" s="40">
        <f t="shared" si="10"/>
        <v>0</v>
      </c>
      <c r="AA31" s="40">
        <f t="shared" si="11"/>
        <v>0</v>
      </c>
      <c r="AB31" s="40">
        <f t="shared" si="12"/>
        <v>0</v>
      </c>
      <c r="AC31" s="40">
        <f t="shared" si="13"/>
        <v>0</v>
      </c>
      <c r="AD31" s="40">
        <f t="shared" si="14"/>
        <v>0</v>
      </c>
      <c r="AE31" s="40">
        <f t="shared" si="15"/>
        <v>0</v>
      </c>
      <c r="AF31" s="40">
        <f t="shared" si="16"/>
        <v>1</v>
      </c>
      <c r="AG31" s="40">
        <f t="shared" si="17"/>
        <v>0</v>
      </c>
      <c r="AH31" s="40">
        <f t="shared" si="18"/>
        <v>0</v>
      </c>
      <c r="AI31" s="40">
        <f t="shared" si="19"/>
        <v>0</v>
      </c>
      <c r="AJ31" s="40">
        <f t="shared" si="20"/>
        <v>0</v>
      </c>
      <c r="AK31" s="40">
        <f t="shared" si="21"/>
        <v>0</v>
      </c>
      <c r="AL31" s="40">
        <f t="shared" si="22"/>
        <v>0</v>
      </c>
      <c r="AM31" s="40">
        <f t="shared" si="23"/>
        <v>0</v>
      </c>
      <c r="AN31" s="40">
        <f t="shared" si="24"/>
        <v>0</v>
      </c>
      <c r="AO31" s="40">
        <f t="shared" si="25"/>
        <v>0</v>
      </c>
      <c r="AP31" s="40">
        <f t="shared" si="26"/>
        <v>0</v>
      </c>
      <c r="AQ31" s="40">
        <f t="shared" si="27"/>
        <v>0</v>
      </c>
      <c r="AR31" s="40">
        <f t="shared" si="28"/>
        <v>1</v>
      </c>
      <c r="AS31" s="40">
        <f t="shared" si="29"/>
        <v>0</v>
      </c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</row>
    <row r="32" spans="1:110" s="2" customFormat="1" ht="14.4" customHeight="1" x14ac:dyDescent="0.25">
      <c r="A32" s="6"/>
      <c r="B32" s="53" t="s">
        <v>20</v>
      </c>
      <c r="C32" s="54" t="s">
        <v>26</v>
      </c>
      <c r="D32" s="55" t="s">
        <v>33</v>
      </c>
      <c r="E32" s="62">
        <v>2.9600000000000013E-3</v>
      </c>
      <c r="F32" s="65">
        <f t="shared" si="30"/>
        <v>-5.8225660106461676</v>
      </c>
      <c r="G32" s="7"/>
      <c r="H32" s="7"/>
      <c r="I32" s="7"/>
      <c r="J32" s="7"/>
      <c r="K32" s="9"/>
      <c r="L32" s="12"/>
      <c r="M32" s="12"/>
      <c r="N32" s="12"/>
      <c r="O32" s="12"/>
      <c r="P32" s="13"/>
      <c r="Q32" s="13"/>
      <c r="R32" s="43">
        <v>-0.56281245103312616</v>
      </c>
      <c r="S32" s="40">
        <f t="shared" si="3"/>
        <v>0</v>
      </c>
      <c r="T32" s="40">
        <f t="shared" si="4"/>
        <v>0</v>
      </c>
      <c r="U32" s="40">
        <f t="shared" si="5"/>
        <v>1</v>
      </c>
      <c r="V32" s="40">
        <f t="shared" si="6"/>
        <v>0</v>
      </c>
      <c r="W32" s="40">
        <f t="shared" si="7"/>
        <v>0</v>
      </c>
      <c r="X32" s="40">
        <f t="shared" si="8"/>
        <v>0</v>
      </c>
      <c r="Y32" s="40">
        <f t="shared" si="9"/>
        <v>0</v>
      </c>
      <c r="Z32" s="40">
        <f t="shared" si="10"/>
        <v>0</v>
      </c>
      <c r="AA32" s="40">
        <f t="shared" si="11"/>
        <v>0</v>
      </c>
      <c r="AB32" s="40">
        <f t="shared" si="12"/>
        <v>1</v>
      </c>
      <c r="AC32" s="40">
        <f t="shared" si="13"/>
        <v>0</v>
      </c>
      <c r="AD32" s="40">
        <f t="shared" si="14"/>
        <v>0</v>
      </c>
      <c r="AE32" s="40">
        <f t="shared" si="15"/>
        <v>0</v>
      </c>
      <c r="AF32" s="40">
        <f t="shared" si="16"/>
        <v>0</v>
      </c>
      <c r="AG32" s="40">
        <f t="shared" si="17"/>
        <v>0</v>
      </c>
      <c r="AH32" s="40">
        <f t="shared" si="18"/>
        <v>0</v>
      </c>
      <c r="AI32" s="40">
        <f t="shared" si="19"/>
        <v>1</v>
      </c>
      <c r="AJ32" s="40">
        <f t="shared" si="20"/>
        <v>0</v>
      </c>
      <c r="AK32" s="40">
        <f t="shared" si="21"/>
        <v>0</v>
      </c>
      <c r="AL32" s="40">
        <f t="shared" si="22"/>
        <v>0</v>
      </c>
      <c r="AM32" s="40">
        <f t="shared" si="23"/>
        <v>0</v>
      </c>
      <c r="AN32" s="40">
        <f t="shared" si="24"/>
        <v>0</v>
      </c>
      <c r="AO32" s="40">
        <f t="shared" si="25"/>
        <v>0</v>
      </c>
      <c r="AP32" s="40">
        <f t="shared" si="26"/>
        <v>0</v>
      </c>
      <c r="AQ32" s="40">
        <f t="shared" si="27"/>
        <v>0</v>
      </c>
      <c r="AR32" s="40">
        <f t="shared" si="28"/>
        <v>0</v>
      </c>
      <c r="AS32" s="40">
        <f t="shared" si="29"/>
        <v>0</v>
      </c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</row>
    <row r="33" spans="1:110" s="2" customFormat="1" ht="14.4" customHeight="1" x14ac:dyDescent="0.25">
      <c r="A33" s="6"/>
      <c r="B33" s="53" t="s">
        <v>20</v>
      </c>
      <c r="C33" s="54" t="s">
        <v>25</v>
      </c>
      <c r="D33" s="55" t="s">
        <v>28</v>
      </c>
      <c r="E33" s="62">
        <v>2.5299999999999997E-3</v>
      </c>
      <c r="F33" s="65">
        <f t="shared" si="30"/>
        <v>-5.9795359762427083</v>
      </c>
      <c r="G33" s="7"/>
      <c r="H33" s="7"/>
      <c r="I33" s="7"/>
      <c r="J33" s="7"/>
      <c r="K33" s="9"/>
      <c r="L33" s="12"/>
      <c r="M33" s="12"/>
      <c r="N33" s="12"/>
      <c r="O33" s="12"/>
      <c r="P33" s="13"/>
      <c r="Q33" s="13"/>
      <c r="R33" s="43">
        <v>-0.38657568406625853</v>
      </c>
      <c r="S33" s="40">
        <f t="shared" si="3"/>
        <v>0</v>
      </c>
      <c r="T33" s="40">
        <f t="shared" si="4"/>
        <v>0</v>
      </c>
      <c r="U33" s="40">
        <f t="shared" si="5"/>
        <v>1</v>
      </c>
      <c r="V33" s="40">
        <f t="shared" si="6"/>
        <v>0</v>
      </c>
      <c r="W33" s="40">
        <f t="shared" si="7"/>
        <v>0</v>
      </c>
      <c r="X33" s="40">
        <f t="shared" si="8"/>
        <v>0</v>
      </c>
      <c r="Y33" s="40">
        <f t="shared" si="9"/>
        <v>0</v>
      </c>
      <c r="Z33" s="40">
        <f t="shared" si="10"/>
        <v>0</v>
      </c>
      <c r="AA33" s="40">
        <f t="shared" si="11"/>
        <v>0</v>
      </c>
      <c r="AB33" s="40">
        <f t="shared" si="12"/>
        <v>0</v>
      </c>
      <c r="AC33" s="40">
        <f t="shared" si="13"/>
        <v>0</v>
      </c>
      <c r="AD33" s="40">
        <f t="shared" si="14"/>
        <v>0</v>
      </c>
      <c r="AE33" s="40">
        <f t="shared" si="15"/>
        <v>0</v>
      </c>
      <c r="AF33" s="40">
        <f t="shared" si="16"/>
        <v>1</v>
      </c>
      <c r="AG33" s="40">
        <f t="shared" si="17"/>
        <v>0</v>
      </c>
      <c r="AH33" s="40">
        <f t="shared" si="18"/>
        <v>0</v>
      </c>
      <c r="AI33" s="40">
        <f t="shared" si="19"/>
        <v>0</v>
      </c>
      <c r="AJ33" s="40">
        <f t="shared" si="20"/>
        <v>0</v>
      </c>
      <c r="AK33" s="40">
        <f t="shared" si="21"/>
        <v>0</v>
      </c>
      <c r="AL33" s="40">
        <f t="shared" si="22"/>
        <v>1</v>
      </c>
      <c r="AM33" s="40">
        <f t="shared" si="23"/>
        <v>0</v>
      </c>
      <c r="AN33" s="40">
        <f t="shared" si="24"/>
        <v>0</v>
      </c>
      <c r="AO33" s="40">
        <f t="shared" si="25"/>
        <v>0</v>
      </c>
      <c r="AP33" s="40">
        <f t="shared" si="26"/>
        <v>0</v>
      </c>
      <c r="AQ33" s="40">
        <f t="shared" si="27"/>
        <v>0</v>
      </c>
      <c r="AR33" s="40">
        <f t="shared" si="28"/>
        <v>0</v>
      </c>
      <c r="AS33" s="40">
        <f t="shared" si="29"/>
        <v>0</v>
      </c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</row>
    <row r="34" spans="1:110" s="2" customFormat="1" ht="14.4" customHeight="1" x14ac:dyDescent="0.25">
      <c r="A34" s="6"/>
      <c r="B34" s="53" t="s">
        <v>20</v>
      </c>
      <c r="C34" s="54" t="s">
        <v>26</v>
      </c>
      <c r="D34" s="55" t="s">
        <v>24</v>
      </c>
      <c r="E34" s="62">
        <v>2.4099999999999989E-3</v>
      </c>
      <c r="F34" s="65">
        <f t="shared" si="30"/>
        <v>-6.0281285314795738</v>
      </c>
      <c r="G34" s="7"/>
      <c r="H34" s="7"/>
      <c r="I34" s="7"/>
      <c r="J34" s="7"/>
      <c r="K34" s="9"/>
      <c r="L34" s="12"/>
      <c r="M34" s="12"/>
      <c r="N34" s="12"/>
      <c r="O34" s="12"/>
      <c r="P34" s="13"/>
      <c r="Q34" s="13"/>
      <c r="R34" s="43">
        <v>0</v>
      </c>
      <c r="S34" s="40">
        <f t="shared" si="3"/>
        <v>0</v>
      </c>
      <c r="T34" s="40">
        <f t="shared" si="4"/>
        <v>0</v>
      </c>
      <c r="U34" s="40">
        <f t="shared" si="5"/>
        <v>1</v>
      </c>
      <c r="V34" s="40">
        <f t="shared" si="6"/>
        <v>0</v>
      </c>
      <c r="W34" s="40">
        <f t="shared" si="7"/>
        <v>0</v>
      </c>
      <c r="X34" s="40">
        <f t="shared" si="8"/>
        <v>0</v>
      </c>
      <c r="Y34" s="40">
        <f t="shared" si="9"/>
        <v>0</v>
      </c>
      <c r="Z34" s="40">
        <f t="shared" si="10"/>
        <v>0</v>
      </c>
      <c r="AA34" s="40">
        <f t="shared" si="11"/>
        <v>0</v>
      </c>
      <c r="AB34" s="40">
        <f t="shared" si="12"/>
        <v>0</v>
      </c>
      <c r="AC34" s="40">
        <f t="shared" si="13"/>
        <v>0</v>
      </c>
      <c r="AD34" s="40">
        <f t="shared" si="14"/>
        <v>0</v>
      </c>
      <c r="AE34" s="40">
        <f t="shared" si="15"/>
        <v>0</v>
      </c>
      <c r="AF34" s="40">
        <f t="shared" si="16"/>
        <v>1</v>
      </c>
      <c r="AG34" s="40">
        <f t="shared" si="17"/>
        <v>0</v>
      </c>
      <c r="AH34" s="40">
        <f t="shared" si="18"/>
        <v>0</v>
      </c>
      <c r="AI34" s="40">
        <f t="shared" si="19"/>
        <v>0</v>
      </c>
      <c r="AJ34" s="40">
        <f t="shared" si="20"/>
        <v>0</v>
      </c>
      <c r="AK34" s="40">
        <f t="shared" si="21"/>
        <v>0</v>
      </c>
      <c r="AL34" s="40">
        <f t="shared" si="22"/>
        <v>0</v>
      </c>
      <c r="AM34" s="40">
        <f t="shared" si="23"/>
        <v>0</v>
      </c>
      <c r="AN34" s="40">
        <f t="shared" si="24"/>
        <v>0</v>
      </c>
      <c r="AO34" s="40">
        <f t="shared" si="25"/>
        <v>0</v>
      </c>
      <c r="AP34" s="40">
        <f t="shared" si="26"/>
        <v>0</v>
      </c>
      <c r="AQ34" s="40">
        <f t="shared" si="27"/>
        <v>0</v>
      </c>
      <c r="AR34" s="40">
        <f t="shared" si="28"/>
        <v>1</v>
      </c>
      <c r="AS34" s="40">
        <f t="shared" si="29"/>
        <v>0</v>
      </c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</row>
    <row r="35" spans="1:110" s="2" customFormat="1" ht="14.4" customHeight="1" x14ac:dyDescent="0.25">
      <c r="A35" s="6"/>
      <c r="B35" s="53" t="s">
        <v>20</v>
      </c>
      <c r="C35" s="54" t="s">
        <v>26</v>
      </c>
      <c r="D35" s="55" t="s">
        <v>33</v>
      </c>
      <c r="E35" s="62">
        <v>3.0700000000000011E-3</v>
      </c>
      <c r="F35" s="65">
        <f t="shared" si="30"/>
        <v>-5.7860777173830309</v>
      </c>
      <c r="G35" s="7"/>
      <c r="H35" s="7"/>
      <c r="I35" s="7"/>
      <c r="J35" s="7"/>
      <c r="K35" s="9"/>
      <c r="L35" s="12"/>
      <c r="M35" s="12"/>
      <c r="N35" s="12"/>
      <c r="O35" s="12"/>
      <c r="P35" s="13"/>
      <c r="Q35" s="13"/>
      <c r="R35" s="43">
        <v>-0.30970467977983773</v>
      </c>
      <c r="S35" s="40">
        <f t="shared" si="3"/>
        <v>0</v>
      </c>
      <c r="T35" s="40">
        <f t="shared" si="4"/>
        <v>0</v>
      </c>
      <c r="U35" s="40">
        <f t="shared" si="5"/>
        <v>1</v>
      </c>
      <c r="V35" s="40">
        <f t="shared" si="6"/>
        <v>0</v>
      </c>
      <c r="W35" s="40">
        <f t="shared" si="7"/>
        <v>0</v>
      </c>
      <c r="X35" s="40">
        <f t="shared" si="8"/>
        <v>0</v>
      </c>
      <c r="Y35" s="40">
        <f t="shared" si="9"/>
        <v>0</v>
      </c>
      <c r="Z35" s="40">
        <f t="shared" si="10"/>
        <v>0</v>
      </c>
      <c r="AA35" s="40">
        <f t="shared" si="11"/>
        <v>0</v>
      </c>
      <c r="AB35" s="40">
        <f t="shared" si="12"/>
        <v>0</v>
      </c>
      <c r="AC35" s="40">
        <f t="shared" si="13"/>
        <v>1</v>
      </c>
      <c r="AD35" s="40">
        <f t="shared" si="14"/>
        <v>0</v>
      </c>
      <c r="AE35" s="40">
        <f t="shared" si="15"/>
        <v>0</v>
      </c>
      <c r="AF35" s="40">
        <f t="shared" si="16"/>
        <v>0</v>
      </c>
      <c r="AG35" s="40">
        <f t="shared" si="17"/>
        <v>0</v>
      </c>
      <c r="AH35" s="40">
        <f t="shared" si="18"/>
        <v>1</v>
      </c>
      <c r="AI35" s="40">
        <f t="shared" si="19"/>
        <v>0</v>
      </c>
      <c r="AJ35" s="40">
        <f t="shared" si="20"/>
        <v>0</v>
      </c>
      <c r="AK35" s="40">
        <f t="shared" si="21"/>
        <v>0</v>
      </c>
      <c r="AL35" s="40">
        <f t="shared" si="22"/>
        <v>0</v>
      </c>
      <c r="AM35" s="40">
        <f t="shared" si="23"/>
        <v>0</v>
      </c>
      <c r="AN35" s="40">
        <f t="shared" si="24"/>
        <v>0</v>
      </c>
      <c r="AO35" s="40">
        <f t="shared" si="25"/>
        <v>0</v>
      </c>
      <c r="AP35" s="40">
        <f t="shared" si="26"/>
        <v>0</v>
      </c>
      <c r="AQ35" s="40">
        <f t="shared" si="27"/>
        <v>0</v>
      </c>
      <c r="AR35" s="40">
        <f t="shared" si="28"/>
        <v>0</v>
      </c>
      <c r="AS35" s="40">
        <f t="shared" si="29"/>
        <v>0</v>
      </c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</row>
    <row r="36" spans="1:110" s="2" customFormat="1" ht="14.4" customHeight="1" x14ac:dyDescent="0.25">
      <c r="A36" s="6"/>
      <c r="B36" s="53" t="s">
        <v>20</v>
      </c>
      <c r="C36" s="54" t="s">
        <v>23</v>
      </c>
      <c r="D36" s="55" t="s">
        <v>27</v>
      </c>
      <c r="E36" s="62">
        <v>3.7899999999999991E-3</v>
      </c>
      <c r="F36" s="65">
        <f t="shared" si="30"/>
        <v>-5.5753892598878023</v>
      </c>
      <c r="G36" s="7"/>
      <c r="H36" s="7"/>
      <c r="I36" s="7"/>
      <c r="J36" s="7"/>
      <c r="K36" s="9"/>
      <c r="L36" s="12"/>
      <c r="M36" s="12"/>
      <c r="N36" s="12"/>
      <c r="O36" s="12"/>
      <c r="P36" s="13"/>
      <c r="Q36" s="13"/>
      <c r="R36" s="43">
        <v>-0.40441461517819732</v>
      </c>
      <c r="S36" s="40">
        <f t="shared" si="3"/>
        <v>0</v>
      </c>
      <c r="T36" s="40">
        <f t="shared" si="4"/>
        <v>0</v>
      </c>
      <c r="U36" s="40">
        <f t="shared" si="5"/>
        <v>1</v>
      </c>
      <c r="V36" s="40">
        <f t="shared" si="6"/>
        <v>0</v>
      </c>
      <c r="W36" s="40">
        <f t="shared" si="7"/>
        <v>0</v>
      </c>
      <c r="X36" s="40">
        <f t="shared" si="8"/>
        <v>0</v>
      </c>
      <c r="Y36" s="40">
        <f t="shared" si="9"/>
        <v>0</v>
      </c>
      <c r="Z36" s="40">
        <f t="shared" si="10"/>
        <v>0</v>
      </c>
      <c r="AA36" s="40">
        <f t="shared" si="11"/>
        <v>0</v>
      </c>
      <c r="AB36" s="40">
        <f t="shared" si="12"/>
        <v>0</v>
      </c>
      <c r="AC36" s="40">
        <f t="shared" si="13"/>
        <v>0</v>
      </c>
      <c r="AD36" s="40">
        <f t="shared" si="14"/>
        <v>0</v>
      </c>
      <c r="AE36" s="40">
        <f t="shared" si="15"/>
        <v>0</v>
      </c>
      <c r="AF36" s="40">
        <f t="shared" si="16"/>
        <v>1</v>
      </c>
      <c r="AG36" s="40">
        <f t="shared" si="17"/>
        <v>0</v>
      </c>
      <c r="AH36" s="40">
        <f t="shared" si="18"/>
        <v>0</v>
      </c>
      <c r="AI36" s="40">
        <f t="shared" si="19"/>
        <v>0</v>
      </c>
      <c r="AJ36" s="40">
        <f t="shared" si="20"/>
        <v>0</v>
      </c>
      <c r="AK36" s="40">
        <f t="shared" si="21"/>
        <v>0</v>
      </c>
      <c r="AL36" s="40">
        <f t="shared" si="22"/>
        <v>1</v>
      </c>
      <c r="AM36" s="40">
        <f t="shared" si="23"/>
        <v>0</v>
      </c>
      <c r="AN36" s="40">
        <f t="shared" si="24"/>
        <v>0</v>
      </c>
      <c r="AO36" s="40">
        <f t="shared" si="25"/>
        <v>0</v>
      </c>
      <c r="AP36" s="40">
        <f t="shared" si="26"/>
        <v>0</v>
      </c>
      <c r="AQ36" s="40">
        <f t="shared" si="27"/>
        <v>0</v>
      </c>
      <c r="AR36" s="40">
        <f t="shared" si="28"/>
        <v>0</v>
      </c>
      <c r="AS36" s="40">
        <f t="shared" si="29"/>
        <v>0</v>
      </c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</row>
    <row r="37" spans="1:110" s="2" customFormat="1" ht="14.4" customHeight="1" x14ac:dyDescent="0.25">
      <c r="A37" s="6"/>
      <c r="B37" s="53" t="s">
        <v>20</v>
      </c>
      <c r="C37" s="54" t="s">
        <v>26</v>
      </c>
      <c r="D37" s="55" t="s">
        <v>24</v>
      </c>
      <c r="E37" s="62">
        <v>5.5700000000000003E-3</v>
      </c>
      <c r="F37" s="65">
        <f t="shared" si="30"/>
        <v>-5.1903602250429444</v>
      </c>
      <c r="G37" s="7"/>
      <c r="H37" s="7"/>
      <c r="I37" s="7"/>
      <c r="J37" s="7"/>
      <c r="K37" s="9"/>
      <c r="L37" s="12"/>
      <c r="M37" s="12"/>
      <c r="N37" s="12"/>
      <c r="O37" s="12"/>
      <c r="P37" s="13"/>
      <c r="Q37" s="13"/>
      <c r="R37" s="43">
        <v>-0.41244579551651406</v>
      </c>
      <c r="S37" s="40">
        <f t="shared" si="3"/>
        <v>0</v>
      </c>
      <c r="T37" s="40">
        <f t="shared" si="4"/>
        <v>0</v>
      </c>
      <c r="U37" s="40">
        <f t="shared" si="5"/>
        <v>1</v>
      </c>
      <c r="V37" s="40">
        <f t="shared" si="6"/>
        <v>0</v>
      </c>
      <c r="W37" s="40">
        <f t="shared" si="7"/>
        <v>0</v>
      </c>
      <c r="X37" s="40">
        <f t="shared" si="8"/>
        <v>0</v>
      </c>
      <c r="Y37" s="40">
        <f t="shared" si="9"/>
        <v>0</v>
      </c>
      <c r="Z37" s="40">
        <f t="shared" si="10"/>
        <v>0</v>
      </c>
      <c r="AA37" s="40">
        <f t="shared" si="11"/>
        <v>0</v>
      </c>
      <c r="AB37" s="40">
        <f t="shared" si="12"/>
        <v>0</v>
      </c>
      <c r="AC37" s="40">
        <f t="shared" si="13"/>
        <v>0</v>
      </c>
      <c r="AD37" s="40">
        <f t="shared" si="14"/>
        <v>0</v>
      </c>
      <c r="AE37" s="40">
        <f t="shared" si="15"/>
        <v>0</v>
      </c>
      <c r="AF37" s="40">
        <f t="shared" si="16"/>
        <v>1</v>
      </c>
      <c r="AG37" s="40">
        <f t="shared" si="17"/>
        <v>0</v>
      </c>
      <c r="AH37" s="40">
        <f t="shared" si="18"/>
        <v>0</v>
      </c>
      <c r="AI37" s="40">
        <f t="shared" si="19"/>
        <v>0</v>
      </c>
      <c r="AJ37" s="40">
        <f t="shared" si="20"/>
        <v>0</v>
      </c>
      <c r="AK37" s="40">
        <f t="shared" si="21"/>
        <v>0</v>
      </c>
      <c r="AL37" s="40">
        <f t="shared" si="22"/>
        <v>1</v>
      </c>
      <c r="AM37" s="40">
        <f t="shared" si="23"/>
        <v>0</v>
      </c>
      <c r="AN37" s="40">
        <f t="shared" si="24"/>
        <v>0</v>
      </c>
      <c r="AO37" s="40">
        <f t="shared" si="25"/>
        <v>0</v>
      </c>
      <c r="AP37" s="40">
        <f t="shared" si="26"/>
        <v>0</v>
      </c>
      <c r="AQ37" s="40">
        <f t="shared" si="27"/>
        <v>0</v>
      </c>
      <c r="AR37" s="40">
        <f t="shared" si="28"/>
        <v>0</v>
      </c>
      <c r="AS37" s="40">
        <f t="shared" si="29"/>
        <v>0</v>
      </c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</row>
    <row r="38" spans="1:110" s="2" customFormat="1" ht="14.4" customHeight="1" x14ac:dyDescent="0.25">
      <c r="A38" s="6"/>
      <c r="B38" s="53" t="s">
        <v>20</v>
      </c>
      <c r="C38" s="54" t="s">
        <v>26</v>
      </c>
      <c r="D38" s="55" t="s">
        <v>24</v>
      </c>
      <c r="E38" s="62">
        <v>5.1999999999999989E-3</v>
      </c>
      <c r="F38" s="65">
        <f t="shared" si="30"/>
        <v>-5.2590966533947556</v>
      </c>
      <c r="G38" s="7"/>
      <c r="H38" s="7"/>
      <c r="I38" s="7"/>
      <c r="J38" s="7"/>
      <c r="K38" s="9"/>
      <c r="L38" s="12"/>
      <c r="M38" s="12"/>
      <c r="N38" s="12"/>
      <c r="O38" s="12"/>
      <c r="P38" s="13"/>
      <c r="Q38" s="13"/>
      <c r="R38" s="43" t="e">
        <v>#N/A</v>
      </c>
      <c r="S38" s="40">
        <f t="shared" si="3"/>
        <v>0</v>
      </c>
      <c r="T38" s="40">
        <f t="shared" si="4"/>
        <v>0</v>
      </c>
      <c r="U38" s="40">
        <f t="shared" si="5"/>
        <v>1</v>
      </c>
      <c r="V38" s="40">
        <f t="shared" si="6"/>
        <v>0</v>
      </c>
      <c r="W38" s="40">
        <f t="shared" si="7"/>
        <v>0</v>
      </c>
      <c r="X38" s="40">
        <f t="shared" si="8"/>
        <v>0</v>
      </c>
      <c r="Y38" s="40">
        <f t="shared" si="9"/>
        <v>0</v>
      </c>
      <c r="Z38" s="40">
        <f t="shared" si="10"/>
        <v>0</v>
      </c>
      <c r="AA38" s="40">
        <f t="shared" si="11"/>
        <v>0</v>
      </c>
      <c r="AB38" s="40">
        <f t="shared" si="12"/>
        <v>0</v>
      </c>
      <c r="AC38" s="40">
        <f t="shared" si="13"/>
        <v>0</v>
      </c>
      <c r="AD38" s="40">
        <f t="shared" si="14"/>
        <v>0</v>
      </c>
      <c r="AE38" s="40">
        <f t="shared" si="15"/>
        <v>0</v>
      </c>
      <c r="AF38" s="40">
        <f t="shared" si="16"/>
        <v>1</v>
      </c>
      <c r="AG38" s="40">
        <f t="shared" si="17"/>
        <v>0</v>
      </c>
      <c r="AH38" s="40">
        <f t="shared" si="18"/>
        <v>0</v>
      </c>
      <c r="AI38" s="40">
        <f t="shared" si="19"/>
        <v>0</v>
      </c>
      <c r="AJ38" s="40">
        <f t="shared" si="20"/>
        <v>0</v>
      </c>
      <c r="AK38" s="40">
        <f t="shared" si="21"/>
        <v>0</v>
      </c>
      <c r="AL38" s="40">
        <f t="shared" si="22"/>
        <v>0</v>
      </c>
      <c r="AM38" s="40">
        <f t="shared" si="23"/>
        <v>0</v>
      </c>
      <c r="AN38" s="40">
        <f t="shared" si="24"/>
        <v>1</v>
      </c>
      <c r="AO38" s="40">
        <f t="shared" si="25"/>
        <v>0</v>
      </c>
      <c r="AP38" s="40">
        <f t="shared" si="26"/>
        <v>0</v>
      </c>
      <c r="AQ38" s="40">
        <f t="shared" si="27"/>
        <v>0</v>
      </c>
      <c r="AR38" s="40">
        <f t="shared" si="28"/>
        <v>0</v>
      </c>
      <c r="AS38" s="40">
        <f t="shared" si="29"/>
        <v>0</v>
      </c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</row>
    <row r="39" spans="1:110" s="2" customFormat="1" ht="14.4" customHeight="1" x14ac:dyDescent="0.25">
      <c r="A39" s="6"/>
      <c r="B39" s="53" t="s">
        <v>20</v>
      </c>
      <c r="C39" s="54" t="s">
        <v>26</v>
      </c>
      <c r="D39" s="55" t="s">
        <v>29</v>
      </c>
      <c r="E39" s="62">
        <v>3.4000000000000007E-3</v>
      </c>
      <c r="F39" s="65">
        <f t="shared" si="30"/>
        <v>-5.6839798473600212</v>
      </c>
      <c r="G39" s="7"/>
      <c r="H39" s="7"/>
      <c r="I39" s="7"/>
      <c r="J39" s="7"/>
      <c r="K39" s="9"/>
      <c r="L39" s="12"/>
      <c r="M39" s="12"/>
      <c r="N39" s="12"/>
      <c r="O39" s="12"/>
      <c r="P39" s="13"/>
      <c r="Q39" s="13"/>
      <c r="R39" s="43" t="e">
        <v>#N/A</v>
      </c>
      <c r="S39" s="40">
        <f t="shared" si="3"/>
        <v>0</v>
      </c>
      <c r="T39" s="40">
        <f t="shared" si="4"/>
        <v>0</v>
      </c>
      <c r="U39" s="40">
        <f t="shared" si="5"/>
        <v>1</v>
      </c>
      <c r="V39" s="40">
        <f t="shared" si="6"/>
        <v>0</v>
      </c>
      <c r="W39" s="40">
        <f t="shared" si="7"/>
        <v>0</v>
      </c>
      <c r="X39" s="40">
        <f t="shared" si="8"/>
        <v>0</v>
      </c>
      <c r="Y39" s="40">
        <f t="shared" si="9"/>
        <v>0</v>
      </c>
      <c r="Z39" s="40">
        <f t="shared" si="10"/>
        <v>0</v>
      </c>
      <c r="AA39" s="40">
        <f t="shared" si="11"/>
        <v>0</v>
      </c>
      <c r="AB39" s="40">
        <f t="shared" si="12"/>
        <v>1</v>
      </c>
      <c r="AC39" s="40">
        <f t="shared" si="13"/>
        <v>0</v>
      </c>
      <c r="AD39" s="40">
        <f t="shared" si="14"/>
        <v>0</v>
      </c>
      <c r="AE39" s="40">
        <f t="shared" si="15"/>
        <v>0</v>
      </c>
      <c r="AF39" s="40">
        <f t="shared" si="16"/>
        <v>0</v>
      </c>
      <c r="AG39" s="40">
        <f t="shared" si="17"/>
        <v>0</v>
      </c>
      <c r="AH39" s="40">
        <f t="shared" si="18"/>
        <v>0</v>
      </c>
      <c r="AI39" s="40">
        <f t="shared" si="19"/>
        <v>1</v>
      </c>
      <c r="AJ39" s="40">
        <f t="shared" si="20"/>
        <v>0</v>
      </c>
      <c r="AK39" s="40">
        <f t="shared" si="21"/>
        <v>0</v>
      </c>
      <c r="AL39" s="40">
        <f t="shared" si="22"/>
        <v>0</v>
      </c>
      <c r="AM39" s="40">
        <f t="shared" si="23"/>
        <v>0</v>
      </c>
      <c r="AN39" s="40">
        <f t="shared" si="24"/>
        <v>0</v>
      </c>
      <c r="AO39" s="40">
        <f t="shared" si="25"/>
        <v>0</v>
      </c>
      <c r="AP39" s="40">
        <f t="shared" si="26"/>
        <v>0</v>
      </c>
      <c r="AQ39" s="40">
        <f t="shared" si="27"/>
        <v>0</v>
      </c>
      <c r="AR39" s="40">
        <f t="shared" si="28"/>
        <v>0</v>
      </c>
      <c r="AS39" s="40">
        <f t="shared" si="29"/>
        <v>0</v>
      </c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</row>
    <row r="40" spans="1:110" s="2" customFormat="1" ht="14.4" customHeight="1" x14ac:dyDescent="0.25">
      <c r="A40" s="6"/>
      <c r="B40" s="53" t="s">
        <v>20</v>
      </c>
      <c r="C40" s="54" t="s">
        <v>25</v>
      </c>
      <c r="D40" s="55" t="s">
        <v>28</v>
      </c>
      <c r="E40" s="62">
        <v>5.4899999999999984E-3</v>
      </c>
      <c r="F40" s="65">
        <f t="shared" si="30"/>
        <v>-5.2048270234606981</v>
      </c>
      <c r="G40" s="7"/>
      <c r="H40" s="7"/>
      <c r="I40" s="7"/>
      <c r="J40" s="7"/>
      <c r="K40" s="9"/>
      <c r="L40" s="12"/>
      <c r="M40" s="12"/>
      <c r="N40" s="12"/>
      <c r="O40" s="12"/>
      <c r="P40" s="13"/>
      <c r="Q40" s="13"/>
      <c r="R40" s="43" t="e">
        <v>#N/A</v>
      </c>
      <c r="S40" s="40">
        <f t="shared" si="3"/>
        <v>0</v>
      </c>
      <c r="T40" s="40">
        <f t="shared" si="4"/>
        <v>0</v>
      </c>
      <c r="U40" s="40">
        <f t="shared" si="5"/>
        <v>1</v>
      </c>
      <c r="V40" s="40">
        <f t="shared" si="6"/>
        <v>0</v>
      </c>
      <c r="W40" s="40">
        <f t="shared" si="7"/>
        <v>0</v>
      </c>
      <c r="X40" s="40">
        <f t="shared" si="8"/>
        <v>0</v>
      </c>
      <c r="Y40" s="40">
        <f t="shared" si="9"/>
        <v>0</v>
      </c>
      <c r="Z40" s="40">
        <f t="shared" si="10"/>
        <v>0</v>
      </c>
      <c r="AA40" s="40">
        <f t="shared" si="11"/>
        <v>0</v>
      </c>
      <c r="AB40" s="40">
        <f t="shared" si="12"/>
        <v>0</v>
      </c>
      <c r="AC40" s="40">
        <f t="shared" si="13"/>
        <v>1</v>
      </c>
      <c r="AD40" s="40">
        <f t="shared" si="14"/>
        <v>0</v>
      </c>
      <c r="AE40" s="40">
        <f t="shared" si="15"/>
        <v>0</v>
      </c>
      <c r="AF40" s="40">
        <f t="shared" si="16"/>
        <v>0</v>
      </c>
      <c r="AG40" s="40">
        <f t="shared" si="17"/>
        <v>0</v>
      </c>
      <c r="AH40" s="40">
        <f t="shared" si="18"/>
        <v>0</v>
      </c>
      <c r="AI40" s="40">
        <f t="shared" si="19"/>
        <v>1</v>
      </c>
      <c r="AJ40" s="40">
        <f t="shared" si="20"/>
        <v>0</v>
      </c>
      <c r="AK40" s="40">
        <f t="shared" si="21"/>
        <v>0</v>
      </c>
      <c r="AL40" s="40">
        <f t="shared" si="22"/>
        <v>0</v>
      </c>
      <c r="AM40" s="40">
        <f t="shared" si="23"/>
        <v>0</v>
      </c>
      <c r="AN40" s="40">
        <f t="shared" si="24"/>
        <v>0</v>
      </c>
      <c r="AO40" s="40">
        <f t="shared" si="25"/>
        <v>0</v>
      </c>
      <c r="AP40" s="40">
        <f t="shared" si="26"/>
        <v>0</v>
      </c>
      <c r="AQ40" s="40">
        <f t="shared" si="27"/>
        <v>0</v>
      </c>
      <c r="AR40" s="40">
        <f t="shared" si="28"/>
        <v>0</v>
      </c>
      <c r="AS40" s="40">
        <f t="shared" si="29"/>
        <v>0</v>
      </c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</row>
    <row r="41" spans="1:110" s="2" customFormat="1" ht="14.4" customHeight="1" x14ac:dyDescent="0.25">
      <c r="A41" s="6"/>
      <c r="B41" s="53" t="s">
        <v>20</v>
      </c>
      <c r="C41" s="54" t="s">
        <v>23</v>
      </c>
      <c r="D41" s="55" t="s">
        <v>28</v>
      </c>
      <c r="E41" s="62">
        <v>2.9199999999999994E-3</v>
      </c>
      <c r="F41" s="65">
        <f t="shared" si="30"/>
        <v>-5.8361716627019469</v>
      </c>
      <c r="G41" s="7"/>
      <c r="H41" s="7"/>
      <c r="I41" s="7"/>
      <c r="J41" s="7"/>
      <c r="K41" s="9"/>
      <c r="L41" s="12"/>
      <c r="M41" s="12"/>
      <c r="N41" s="12"/>
      <c r="O41" s="12"/>
      <c r="P41" s="13"/>
      <c r="Q41" s="13"/>
      <c r="R41" s="43" t="e">
        <v>#N/A</v>
      </c>
      <c r="S41" s="40">
        <f t="shared" si="3"/>
        <v>0</v>
      </c>
      <c r="T41" s="40">
        <f t="shared" si="4"/>
        <v>0</v>
      </c>
      <c r="U41" s="40">
        <f t="shared" si="5"/>
        <v>1</v>
      </c>
      <c r="V41" s="40">
        <f t="shared" si="6"/>
        <v>0</v>
      </c>
      <c r="W41" s="40">
        <f t="shared" si="7"/>
        <v>0</v>
      </c>
      <c r="X41" s="40">
        <f t="shared" si="8"/>
        <v>0</v>
      </c>
      <c r="Y41" s="40">
        <f t="shared" si="9"/>
        <v>0</v>
      </c>
      <c r="Z41" s="40">
        <f t="shared" si="10"/>
        <v>0</v>
      </c>
      <c r="AA41" s="40">
        <f t="shared" si="11"/>
        <v>0</v>
      </c>
      <c r="AB41" s="40">
        <f t="shared" si="12"/>
        <v>0</v>
      </c>
      <c r="AC41" s="40">
        <f t="shared" si="13"/>
        <v>1</v>
      </c>
      <c r="AD41" s="40">
        <f t="shared" si="14"/>
        <v>0</v>
      </c>
      <c r="AE41" s="40">
        <f t="shared" si="15"/>
        <v>0</v>
      </c>
      <c r="AF41" s="40">
        <f t="shared" si="16"/>
        <v>0</v>
      </c>
      <c r="AG41" s="40">
        <f t="shared" si="17"/>
        <v>0</v>
      </c>
      <c r="AH41" s="40">
        <f t="shared" si="18"/>
        <v>0</v>
      </c>
      <c r="AI41" s="40">
        <f t="shared" si="19"/>
        <v>0</v>
      </c>
      <c r="AJ41" s="40">
        <f t="shared" si="20"/>
        <v>0</v>
      </c>
      <c r="AK41" s="40">
        <f t="shared" si="21"/>
        <v>0</v>
      </c>
      <c r="AL41" s="40">
        <f t="shared" si="22"/>
        <v>0</v>
      </c>
      <c r="AM41" s="40">
        <f t="shared" si="23"/>
        <v>0</v>
      </c>
      <c r="AN41" s="40">
        <f t="shared" si="24"/>
        <v>0</v>
      </c>
      <c r="AO41" s="40">
        <f t="shared" si="25"/>
        <v>0</v>
      </c>
      <c r="AP41" s="40">
        <f t="shared" si="26"/>
        <v>0</v>
      </c>
      <c r="AQ41" s="40">
        <f t="shared" si="27"/>
        <v>1</v>
      </c>
      <c r="AR41" s="40">
        <f t="shared" si="28"/>
        <v>0</v>
      </c>
      <c r="AS41" s="40">
        <f t="shared" si="29"/>
        <v>0</v>
      </c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</row>
    <row r="42" spans="1:110" s="2" customFormat="1" ht="14.4" customHeight="1" x14ac:dyDescent="0.25">
      <c r="A42" s="6"/>
      <c r="B42" s="53" t="s">
        <v>20</v>
      </c>
      <c r="C42" s="54" t="s">
        <v>23</v>
      </c>
      <c r="D42" s="55" t="s">
        <v>30</v>
      </c>
      <c r="E42" s="62">
        <v>2.5299999999999997E-3</v>
      </c>
      <c r="F42" s="65">
        <f t="shared" si="30"/>
        <v>-5.9795359762427083</v>
      </c>
      <c r="G42" s="7"/>
      <c r="H42" s="7"/>
      <c r="I42" s="7"/>
      <c r="J42" s="7"/>
      <c r="K42" s="9"/>
      <c r="L42" s="12"/>
      <c r="M42" s="12"/>
      <c r="N42" s="12"/>
      <c r="O42" s="12"/>
      <c r="P42" s="13"/>
      <c r="Q42" s="13"/>
      <c r="R42" s="43" t="e">
        <v>#N/A</v>
      </c>
      <c r="S42" s="40">
        <f t="shared" si="3"/>
        <v>0</v>
      </c>
      <c r="T42" s="40">
        <f t="shared" si="4"/>
        <v>0</v>
      </c>
      <c r="U42" s="40">
        <f t="shared" si="5"/>
        <v>1</v>
      </c>
      <c r="V42" s="40">
        <f t="shared" si="6"/>
        <v>0</v>
      </c>
      <c r="W42" s="40">
        <f t="shared" si="7"/>
        <v>0</v>
      </c>
      <c r="X42" s="40">
        <f t="shared" si="8"/>
        <v>0</v>
      </c>
      <c r="Y42" s="40">
        <f t="shared" si="9"/>
        <v>0</v>
      </c>
      <c r="Z42" s="40">
        <f t="shared" si="10"/>
        <v>0</v>
      </c>
      <c r="AA42" s="40">
        <f t="shared" si="11"/>
        <v>0</v>
      </c>
      <c r="AB42" s="40">
        <f t="shared" si="12"/>
        <v>0</v>
      </c>
      <c r="AC42" s="40">
        <f t="shared" si="13"/>
        <v>0</v>
      </c>
      <c r="AD42" s="40">
        <f t="shared" si="14"/>
        <v>0</v>
      </c>
      <c r="AE42" s="40">
        <f t="shared" si="15"/>
        <v>0</v>
      </c>
      <c r="AF42" s="40">
        <f t="shared" si="16"/>
        <v>1</v>
      </c>
      <c r="AG42" s="40">
        <f t="shared" si="17"/>
        <v>0</v>
      </c>
      <c r="AH42" s="40">
        <f t="shared" si="18"/>
        <v>0</v>
      </c>
      <c r="AI42" s="40">
        <f t="shared" si="19"/>
        <v>0</v>
      </c>
      <c r="AJ42" s="40">
        <f t="shared" si="20"/>
        <v>0</v>
      </c>
      <c r="AK42" s="40">
        <f t="shared" si="21"/>
        <v>0</v>
      </c>
      <c r="AL42" s="40">
        <f t="shared" si="22"/>
        <v>1</v>
      </c>
      <c r="AM42" s="40">
        <f t="shared" si="23"/>
        <v>0</v>
      </c>
      <c r="AN42" s="40">
        <f t="shared" si="24"/>
        <v>0</v>
      </c>
      <c r="AO42" s="40">
        <f t="shared" si="25"/>
        <v>0</v>
      </c>
      <c r="AP42" s="40">
        <f t="shared" si="26"/>
        <v>0</v>
      </c>
      <c r="AQ42" s="40">
        <f t="shared" si="27"/>
        <v>0</v>
      </c>
      <c r="AR42" s="40">
        <f t="shared" si="28"/>
        <v>0</v>
      </c>
      <c r="AS42" s="40">
        <f t="shared" si="29"/>
        <v>0</v>
      </c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</row>
    <row r="43" spans="1:110" s="2" customFormat="1" ht="14.4" customHeight="1" x14ac:dyDescent="0.25">
      <c r="A43" s="6"/>
      <c r="B43" s="53" t="s">
        <v>20</v>
      </c>
      <c r="C43" s="54" t="s">
        <v>26</v>
      </c>
      <c r="D43" s="55" t="s">
        <v>24</v>
      </c>
      <c r="E43" s="62">
        <v>5.0299999999999989E-3</v>
      </c>
      <c r="F43" s="65">
        <f t="shared" si="30"/>
        <v>-5.2923352948704894</v>
      </c>
      <c r="G43" s="7"/>
      <c r="H43" s="7"/>
      <c r="I43" s="7"/>
      <c r="J43" s="7"/>
      <c r="K43" s="9"/>
      <c r="L43" s="12"/>
      <c r="M43" s="12"/>
      <c r="N43" s="12"/>
      <c r="O43" s="12"/>
      <c r="P43" s="13"/>
      <c r="Q43" s="13"/>
      <c r="R43" s="43" t="e">
        <v>#N/A</v>
      </c>
      <c r="S43" s="40">
        <f t="shared" si="3"/>
        <v>0</v>
      </c>
      <c r="T43" s="40">
        <f t="shared" si="4"/>
        <v>0</v>
      </c>
      <c r="U43" s="40">
        <f t="shared" si="5"/>
        <v>1</v>
      </c>
      <c r="V43" s="40">
        <f t="shared" si="6"/>
        <v>0</v>
      </c>
      <c r="W43" s="40">
        <f t="shared" si="7"/>
        <v>0</v>
      </c>
      <c r="X43" s="40">
        <f t="shared" si="8"/>
        <v>0</v>
      </c>
      <c r="Y43" s="40">
        <f t="shared" si="9"/>
        <v>0</v>
      </c>
      <c r="Z43" s="40">
        <f t="shared" si="10"/>
        <v>0</v>
      </c>
      <c r="AA43" s="40">
        <f t="shared" si="11"/>
        <v>0</v>
      </c>
      <c r="AB43" s="40">
        <f t="shared" si="12"/>
        <v>0</v>
      </c>
      <c r="AC43" s="40">
        <f t="shared" si="13"/>
        <v>0</v>
      </c>
      <c r="AD43" s="40">
        <f t="shared" si="14"/>
        <v>0</v>
      </c>
      <c r="AE43" s="40">
        <f t="shared" si="15"/>
        <v>0</v>
      </c>
      <c r="AF43" s="40">
        <f t="shared" si="16"/>
        <v>1</v>
      </c>
      <c r="AG43" s="40">
        <f t="shared" si="17"/>
        <v>0</v>
      </c>
      <c r="AH43" s="40">
        <f t="shared" si="18"/>
        <v>0</v>
      </c>
      <c r="AI43" s="40">
        <f t="shared" si="19"/>
        <v>0</v>
      </c>
      <c r="AJ43" s="40">
        <f t="shared" si="20"/>
        <v>0</v>
      </c>
      <c r="AK43" s="40">
        <f t="shared" si="21"/>
        <v>0</v>
      </c>
      <c r="AL43" s="40">
        <f t="shared" si="22"/>
        <v>0</v>
      </c>
      <c r="AM43" s="40">
        <f t="shared" si="23"/>
        <v>0</v>
      </c>
      <c r="AN43" s="40">
        <f t="shared" si="24"/>
        <v>0</v>
      </c>
      <c r="AO43" s="40">
        <f t="shared" si="25"/>
        <v>1</v>
      </c>
      <c r="AP43" s="40">
        <f t="shared" si="26"/>
        <v>0</v>
      </c>
      <c r="AQ43" s="40">
        <f t="shared" si="27"/>
        <v>0</v>
      </c>
      <c r="AR43" s="40">
        <f t="shared" si="28"/>
        <v>0</v>
      </c>
      <c r="AS43" s="40">
        <f t="shared" si="29"/>
        <v>0</v>
      </c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</row>
    <row r="44" spans="1:110" s="2" customFormat="1" ht="14.4" customHeight="1" x14ac:dyDescent="0.25">
      <c r="A44" s="6"/>
      <c r="B44" s="53" t="s">
        <v>20</v>
      </c>
      <c r="C44" s="54" t="s">
        <v>26</v>
      </c>
      <c r="D44" s="55" t="s">
        <v>31</v>
      </c>
      <c r="E44" s="62">
        <v>4.3499999999999997E-3</v>
      </c>
      <c r="F44" s="65">
        <f t="shared" si="30"/>
        <v>-5.4375794338815444</v>
      </c>
      <c r="G44" s="7"/>
      <c r="H44" s="7"/>
      <c r="I44" s="7"/>
      <c r="J44" s="7"/>
      <c r="K44" s="9"/>
      <c r="L44" s="12"/>
      <c r="M44" s="12"/>
      <c r="N44" s="12"/>
      <c r="O44" s="12"/>
      <c r="P44" s="13"/>
      <c r="Q44" s="13"/>
      <c r="R44" s="43" t="e">
        <v>#N/A</v>
      </c>
      <c r="S44" s="40">
        <f t="shared" si="3"/>
        <v>0</v>
      </c>
      <c r="T44" s="40">
        <f t="shared" si="4"/>
        <v>0</v>
      </c>
      <c r="U44" s="40">
        <f t="shared" si="5"/>
        <v>1</v>
      </c>
      <c r="V44" s="40">
        <f t="shared" si="6"/>
        <v>0</v>
      </c>
      <c r="W44" s="40">
        <f t="shared" si="7"/>
        <v>0</v>
      </c>
      <c r="X44" s="40">
        <f t="shared" si="8"/>
        <v>0</v>
      </c>
      <c r="Y44" s="40">
        <f t="shared" si="9"/>
        <v>0</v>
      </c>
      <c r="Z44" s="40">
        <f t="shared" si="10"/>
        <v>0</v>
      </c>
      <c r="AA44" s="40">
        <f t="shared" si="11"/>
        <v>0</v>
      </c>
      <c r="AB44" s="40">
        <f t="shared" si="12"/>
        <v>0</v>
      </c>
      <c r="AC44" s="40">
        <f t="shared" si="13"/>
        <v>0</v>
      </c>
      <c r="AD44" s="40">
        <f t="shared" si="14"/>
        <v>0</v>
      </c>
      <c r="AE44" s="40">
        <f t="shared" si="15"/>
        <v>1</v>
      </c>
      <c r="AF44" s="40">
        <f t="shared" si="16"/>
        <v>0</v>
      </c>
      <c r="AG44" s="40">
        <f t="shared" si="17"/>
        <v>0</v>
      </c>
      <c r="AH44" s="40">
        <f t="shared" si="18"/>
        <v>0</v>
      </c>
      <c r="AI44" s="40">
        <f t="shared" si="19"/>
        <v>0</v>
      </c>
      <c r="AJ44" s="40">
        <f t="shared" si="20"/>
        <v>0</v>
      </c>
      <c r="AK44" s="40">
        <f t="shared" si="21"/>
        <v>0</v>
      </c>
      <c r="AL44" s="40">
        <f t="shared" si="22"/>
        <v>0</v>
      </c>
      <c r="AM44" s="40">
        <f t="shared" si="23"/>
        <v>1</v>
      </c>
      <c r="AN44" s="40">
        <f t="shared" si="24"/>
        <v>0</v>
      </c>
      <c r="AO44" s="40">
        <f t="shared" si="25"/>
        <v>0</v>
      </c>
      <c r="AP44" s="40">
        <f t="shared" si="26"/>
        <v>0</v>
      </c>
      <c r="AQ44" s="40">
        <f t="shared" si="27"/>
        <v>0</v>
      </c>
      <c r="AR44" s="40">
        <f t="shared" si="28"/>
        <v>0</v>
      </c>
      <c r="AS44" s="40">
        <f t="shared" si="29"/>
        <v>0</v>
      </c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</row>
    <row r="45" spans="1:110" s="2" customFormat="1" ht="14.4" customHeight="1" x14ac:dyDescent="0.25">
      <c r="A45" s="6"/>
      <c r="B45" s="53" t="s">
        <v>20</v>
      </c>
      <c r="C45" s="54" t="s">
        <v>34</v>
      </c>
      <c r="D45" s="55" t="s">
        <v>35</v>
      </c>
      <c r="E45" s="62">
        <v>3.3299999999999996E-3</v>
      </c>
      <c r="F45" s="65">
        <f t="shared" si="30"/>
        <v>-5.7047829749897847</v>
      </c>
      <c r="G45" s="7"/>
      <c r="H45" s="7"/>
      <c r="I45" s="7"/>
      <c r="J45" s="7"/>
      <c r="K45" s="9"/>
      <c r="L45" s="12"/>
      <c r="M45" s="12"/>
      <c r="N45" s="12"/>
      <c r="O45" s="12"/>
      <c r="P45" s="13"/>
      <c r="Q45" s="13"/>
      <c r="R45" s="43" t="e">
        <v>#N/A</v>
      </c>
      <c r="S45" s="40">
        <f t="shared" si="3"/>
        <v>0</v>
      </c>
      <c r="T45" s="40">
        <f t="shared" si="4"/>
        <v>0</v>
      </c>
      <c r="U45" s="40">
        <f t="shared" si="5"/>
        <v>1</v>
      </c>
      <c r="V45" s="40">
        <f t="shared" si="6"/>
        <v>0</v>
      </c>
      <c r="W45" s="40">
        <f t="shared" si="7"/>
        <v>0</v>
      </c>
      <c r="X45" s="40">
        <f t="shared" si="8"/>
        <v>0</v>
      </c>
      <c r="Y45" s="40">
        <f t="shared" si="9"/>
        <v>0</v>
      </c>
      <c r="Z45" s="40">
        <f t="shared" si="10"/>
        <v>0</v>
      </c>
      <c r="AA45" s="40">
        <f t="shared" si="11"/>
        <v>0</v>
      </c>
      <c r="AB45" s="40">
        <f t="shared" si="12"/>
        <v>0</v>
      </c>
      <c r="AC45" s="40">
        <f t="shared" si="13"/>
        <v>0</v>
      </c>
      <c r="AD45" s="40">
        <f t="shared" si="14"/>
        <v>0</v>
      </c>
      <c r="AE45" s="40">
        <f t="shared" si="15"/>
        <v>0</v>
      </c>
      <c r="AF45" s="40">
        <f t="shared" si="16"/>
        <v>1</v>
      </c>
      <c r="AG45" s="40">
        <f t="shared" si="17"/>
        <v>0</v>
      </c>
      <c r="AH45" s="40">
        <f t="shared" si="18"/>
        <v>0</v>
      </c>
      <c r="AI45" s="40">
        <f t="shared" si="19"/>
        <v>0</v>
      </c>
      <c r="AJ45" s="40">
        <f t="shared" si="20"/>
        <v>0</v>
      </c>
      <c r="AK45" s="40">
        <f t="shared" si="21"/>
        <v>0</v>
      </c>
      <c r="AL45" s="40">
        <f t="shared" si="22"/>
        <v>1</v>
      </c>
      <c r="AM45" s="40">
        <f t="shared" si="23"/>
        <v>0</v>
      </c>
      <c r="AN45" s="40">
        <f t="shared" si="24"/>
        <v>0</v>
      </c>
      <c r="AO45" s="40">
        <f t="shared" si="25"/>
        <v>0</v>
      </c>
      <c r="AP45" s="40">
        <f t="shared" si="26"/>
        <v>0</v>
      </c>
      <c r="AQ45" s="40">
        <f t="shared" si="27"/>
        <v>0</v>
      </c>
      <c r="AR45" s="40">
        <f t="shared" si="28"/>
        <v>0</v>
      </c>
      <c r="AS45" s="40">
        <f t="shared" si="29"/>
        <v>0</v>
      </c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</row>
    <row r="46" spans="1:110" s="2" customFormat="1" ht="14.4" customHeight="1" x14ac:dyDescent="0.25">
      <c r="A46" s="6"/>
      <c r="B46" s="53" t="s">
        <v>20</v>
      </c>
      <c r="C46" s="54" t="s">
        <v>26</v>
      </c>
      <c r="D46" s="55" t="s">
        <v>24</v>
      </c>
      <c r="E46" s="62">
        <v>6.1000000000000004E-3</v>
      </c>
      <c r="F46" s="65">
        <f t="shared" si="30"/>
        <v>-5.0994665078028714</v>
      </c>
      <c r="G46" s="7"/>
      <c r="H46" s="7"/>
      <c r="I46" s="7"/>
      <c r="J46" s="7"/>
      <c r="K46" s="9"/>
      <c r="L46" s="12"/>
      <c r="M46" s="12"/>
      <c r="N46" s="12"/>
      <c r="O46" s="12"/>
      <c r="P46" s="13"/>
      <c r="Q46" s="13"/>
      <c r="R46" s="43" t="e">
        <v>#N/A</v>
      </c>
      <c r="S46" s="40">
        <f t="shared" si="3"/>
        <v>0</v>
      </c>
      <c r="T46" s="40">
        <f t="shared" si="4"/>
        <v>0</v>
      </c>
      <c r="U46" s="40">
        <f t="shared" si="5"/>
        <v>1</v>
      </c>
      <c r="V46" s="40">
        <f t="shared" si="6"/>
        <v>0</v>
      </c>
      <c r="W46" s="40">
        <f t="shared" si="7"/>
        <v>0</v>
      </c>
      <c r="X46" s="40">
        <f t="shared" si="8"/>
        <v>0</v>
      </c>
      <c r="Y46" s="40">
        <f t="shared" si="9"/>
        <v>0</v>
      </c>
      <c r="Z46" s="40">
        <f t="shared" si="10"/>
        <v>1</v>
      </c>
      <c r="AA46" s="40">
        <f t="shared" si="11"/>
        <v>0</v>
      </c>
      <c r="AB46" s="40">
        <f t="shared" si="12"/>
        <v>0</v>
      </c>
      <c r="AC46" s="40">
        <f t="shared" si="13"/>
        <v>0</v>
      </c>
      <c r="AD46" s="40">
        <f t="shared" si="14"/>
        <v>0</v>
      </c>
      <c r="AE46" s="40">
        <f t="shared" si="15"/>
        <v>0</v>
      </c>
      <c r="AF46" s="40">
        <f t="shared" si="16"/>
        <v>0</v>
      </c>
      <c r="AG46" s="40">
        <f t="shared" si="17"/>
        <v>0</v>
      </c>
      <c r="AH46" s="40">
        <f t="shared" si="18"/>
        <v>0</v>
      </c>
      <c r="AI46" s="40">
        <f t="shared" si="19"/>
        <v>0</v>
      </c>
      <c r="AJ46" s="40">
        <f t="shared" si="20"/>
        <v>0</v>
      </c>
      <c r="AK46" s="40">
        <f t="shared" si="21"/>
        <v>0</v>
      </c>
      <c r="AL46" s="40">
        <f t="shared" si="22"/>
        <v>0</v>
      </c>
      <c r="AM46" s="40">
        <f t="shared" si="23"/>
        <v>0</v>
      </c>
      <c r="AN46" s="40">
        <f t="shared" si="24"/>
        <v>0</v>
      </c>
      <c r="AO46" s="40">
        <f t="shared" si="25"/>
        <v>0</v>
      </c>
      <c r="AP46" s="40">
        <f t="shared" si="26"/>
        <v>0</v>
      </c>
      <c r="AQ46" s="40">
        <f t="shared" si="27"/>
        <v>0</v>
      </c>
      <c r="AR46" s="40">
        <f t="shared" si="28"/>
        <v>0</v>
      </c>
      <c r="AS46" s="40">
        <f t="shared" si="29"/>
        <v>1</v>
      </c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</row>
    <row r="47" spans="1:110" s="2" customFormat="1" ht="14.4" customHeight="1" x14ac:dyDescent="0.25">
      <c r="A47" s="6"/>
      <c r="B47" s="53" t="s">
        <v>20</v>
      </c>
      <c r="C47" s="54" t="s">
        <v>36</v>
      </c>
      <c r="D47" s="55" t="s">
        <v>22</v>
      </c>
      <c r="E47" s="62">
        <v>5.4899999999999984E-3</v>
      </c>
      <c r="F47" s="65">
        <f t="shared" si="30"/>
        <v>-5.2048270234606981</v>
      </c>
      <c r="G47" s="7"/>
      <c r="H47" s="7"/>
      <c r="I47" s="7"/>
      <c r="J47" s="7"/>
      <c r="K47" s="9"/>
      <c r="L47" s="12"/>
      <c r="M47" s="12"/>
      <c r="N47" s="12"/>
      <c r="O47" s="12"/>
      <c r="P47" s="13"/>
      <c r="Q47" s="13"/>
      <c r="R47" s="13"/>
      <c r="S47" s="40">
        <f t="shared" si="3"/>
        <v>0</v>
      </c>
      <c r="T47" s="40">
        <f t="shared" si="4"/>
        <v>0</v>
      </c>
      <c r="U47" s="40">
        <f t="shared" si="5"/>
        <v>1</v>
      </c>
      <c r="V47" s="40">
        <f t="shared" si="6"/>
        <v>0</v>
      </c>
      <c r="W47" s="40">
        <f t="shared" si="7"/>
        <v>0</v>
      </c>
      <c r="X47" s="40">
        <f t="shared" si="8"/>
        <v>0</v>
      </c>
      <c r="Y47" s="40">
        <f t="shared" si="9"/>
        <v>0</v>
      </c>
      <c r="Z47" s="40">
        <f t="shared" si="10"/>
        <v>0</v>
      </c>
      <c r="AA47" s="40">
        <f t="shared" si="11"/>
        <v>0</v>
      </c>
      <c r="AB47" s="40">
        <f t="shared" si="12"/>
        <v>0</v>
      </c>
      <c r="AC47" s="40">
        <f t="shared" si="13"/>
        <v>0</v>
      </c>
      <c r="AD47" s="40">
        <f t="shared" si="14"/>
        <v>0</v>
      </c>
      <c r="AE47" s="40">
        <f t="shared" si="15"/>
        <v>0</v>
      </c>
      <c r="AF47" s="40">
        <f t="shared" si="16"/>
        <v>1</v>
      </c>
      <c r="AG47" s="40">
        <f t="shared" si="17"/>
        <v>0</v>
      </c>
      <c r="AH47" s="40">
        <f t="shared" si="18"/>
        <v>0</v>
      </c>
      <c r="AI47" s="40">
        <f t="shared" si="19"/>
        <v>1</v>
      </c>
      <c r="AJ47" s="40">
        <f t="shared" si="20"/>
        <v>0</v>
      </c>
      <c r="AK47" s="40">
        <f t="shared" si="21"/>
        <v>0</v>
      </c>
      <c r="AL47" s="40">
        <f t="shared" si="22"/>
        <v>0</v>
      </c>
      <c r="AM47" s="40">
        <f t="shared" si="23"/>
        <v>0</v>
      </c>
      <c r="AN47" s="40">
        <f t="shared" si="24"/>
        <v>0</v>
      </c>
      <c r="AO47" s="40">
        <f t="shared" si="25"/>
        <v>0</v>
      </c>
      <c r="AP47" s="40">
        <f t="shared" si="26"/>
        <v>0</v>
      </c>
      <c r="AQ47" s="40">
        <f t="shared" si="27"/>
        <v>0</v>
      </c>
      <c r="AR47" s="40">
        <f t="shared" si="28"/>
        <v>0</v>
      </c>
      <c r="AS47" s="40">
        <f t="shared" si="29"/>
        <v>0</v>
      </c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</row>
    <row r="48" spans="1:110" s="2" customFormat="1" ht="14.4" customHeight="1" x14ac:dyDescent="0.25">
      <c r="A48" s="6"/>
      <c r="B48" s="53" t="s">
        <v>20</v>
      </c>
      <c r="C48" s="54" t="s">
        <v>26</v>
      </c>
      <c r="D48" s="55" t="s">
        <v>28</v>
      </c>
      <c r="E48" s="62">
        <v>3.030000000000001E-3</v>
      </c>
      <c r="F48" s="65">
        <f t="shared" si="30"/>
        <v>-5.7991926594608589</v>
      </c>
      <c r="G48" s="7"/>
      <c r="H48" s="7"/>
      <c r="I48" s="7"/>
      <c r="J48" s="7"/>
      <c r="K48" s="9"/>
      <c r="L48" s="12"/>
      <c r="M48" s="12"/>
      <c r="N48" s="12"/>
      <c r="O48" s="12"/>
      <c r="P48" s="13"/>
      <c r="Q48" s="13"/>
      <c r="R48" s="13"/>
      <c r="S48" s="40">
        <f t="shared" si="3"/>
        <v>0</v>
      </c>
      <c r="T48" s="40">
        <f t="shared" si="4"/>
        <v>0</v>
      </c>
      <c r="U48" s="40">
        <f t="shared" si="5"/>
        <v>1</v>
      </c>
      <c r="V48" s="40">
        <f t="shared" si="6"/>
        <v>0</v>
      </c>
      <c r="W48" s="40">
        <f t="shared" si="7"/>
        <v>0</v>
      </c>
      <c r="X48" s="40">
        <f t="shared" si="8"/>
        <v>0</v>
      </c>
      <c r="Y48" s="40">
        <f t="shared" si="9"/>
        <v>0</v>
      </c>
      <c r="Z48" s="40">
        <f t="shared" si="10"/>
        <v>0</v>
      </c>
      <c r="AA48" s="40">
        <f t="shared" si="11"/>
        <v>0</v>
      </c>
      <c r="AB48" s="40">
        <f t="shared" si="12"/>
        <v>0</v>
      </c>
      <c r="AC48" s="40">
        <f t="shared" si="13"/>
        <v>0</v>
      </c>
      <c r="AD48" s="40">
        <f t="shared" si="14"/>
        <v>0</v>
      </c>
      <c r="AE48" s="40">
        <f t="shared" si="15"/>
        <v>0</v>
      </c>
      <c r="AF48" s="40">
        <f t="shared" si="16"/>
        <v>1</v>
      </c>
      <c r="AG48" s="40">
        <f t="shared" si="17"/>
        <v>0</v>
      </c>
      <c r="AH48" s="40">
        <f t="shared" si="18"/>
        <v>0</v>
      </c>
      <c r="AI48" s="40">
        <f t="shared" si="19"/>
        <v>1</v>
      </c>
      <c r="AJ48" s="40">
        <f t="shared" si="20"/>
        <v>0</v>
      </c>
      <c r="AK48" s="40">
        <f t="shared" si="21"/>
        <v>0</v>
      </c>
      <c r="AL48" s="40">
        <f t="shared" si="22"/>
        <v>0</v>
      </c>
      <c r="AM48" s="40">
        <f t="shared" si="23"/>
        <v>0</v>
      </c>
      <c r="AN48" s="40">
        <f t="shared" si="24"/>
        <v>0</v>
      </c>
      <c r="AO48" s="40">
        <f t="shared" si="25"/>
        <v>0</v>
      </c>
      <c r="AP48" s="40">
        <f t="shared" si="26"/>
        <v>0</v>
      </c>
      <c r="AQ48" s="40">
        <f t="shared" si="27"/>
        <v>0</v>
      </c>
      <c r="AR48" s="40">
        <f t="shared" si="28"/>
        <v>0</v>
      </c>
      <c r="AS48" s="40">
        <f t="shared" si="29"/>
        <v>0</v>
      </c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</row>
    <row r="49" spans="1:110" s="2" customFormat="1" ht="14.4" customHeight="1" x14ac:dyDescent="0.25">
      <c r="A49" s="6"/>
      <c r="B49" s="53" t="s">
        <v>20</v>
      </c>
      <c r="C49" s="54" t="s">
        <v>26</v>
      </c>
      <c r="D49" s="55" t="s">
        <v>28</v>
      </c>
      <c r="E49" s="62">
        <v>2.0699999999999989E-3</v>
      </c>
      <c r="F49" s="65">
        <f t="shared" si="30"/>
        <v>-6.1802066717048598</v>
      </c>
      <c r="G49" s="7"/>
      <c r="H49" s="7"/>
      <c r="I49" s="7"/>
      <c r="J49" s="7"/>
      <c r="K49" s="9"/>
      <c r="L49" s="12"/>
      <c r="M49" s="12"/>
      <c r="N49" s="12"/>
      <c r="O49" s="12"/>
      <c r="P49" s="13"/>
      <c r="Q49" s="13"/>
      <c r="R49" s="13"/>
      <c r="S49" s="40">
        <f t="shared" si="3"/>
        <v>0</v>
      </c>
      <c r="T49" s="40">
        <f t="shared" si="4"/>
        <v>0</v>
      </c>
      <c r="U49" s="40">
        <f t="shared" si="5"/>
        <v>1</v>
      </c>
      <c r="V49" s="40">
        <f t="shared" si="6"/>
        <v>0</v>
      </c>
      <c r="W49" s="40">
        <f t="shared" si="7"/>
        <v>0</v>
      </c>
      <c r="X49" s="40">
        <f t="shared" si="8"/>
        <v>0</v>
      </c>
      <c r="Y49" s="40">
        <f t="shared" si="9"/>
        <v>0</v>
      </c>
      <c r="Z49" s="40">
        <f t="shared" si="10"/>
        <v>0</v>
      </c>
      <c r="AA49" s="40">
        <f t="shared" si="11"/>
        <v>0</v>
      </c>
      <c r="AB49" s="40">
        <f t="shared" si="12"/>
        <v>0</v>
      </c>
      <c r="AC49" s="40">
        <f t="shared" si="13"/>
        <v>0</v>
      </c>
      <c r="AD49" s="40">
        <f t="shared" si="14"/>
        <v>0</v>
      </c>
      <c r="AE49" s="40">
        <f t="shared" si="15"/>
        <v>0</v>
      </c>
      <c r="AF49" s="40">
        <f t="shared" si="16"/>
        <v>1</v>
      </c>
      <c r="AG49" s="40">
        <f t="shared" si="17"/>
        <v>0</v>
      </c>
      <c r="AH49" s="40">
        <f t="shared" si="18"/>
        <v>0</v>
      </c>
      <c r="AI49" s="40">
        <f t="shared" si="19"/>
        <v>0</v>
      </c>
      <c r="AJ49" s="40">
        <f t="shared" si="20"/>
        <v>0</v>
      </c>
      <c r="AK49" s="40">
        <f t="shared" si="21"/>
        <v>0</v>
      </c>
      <c r="AL49" s="40">
        <f t="shared" si="22"/>
        <v>0</v>
      </c>
      <c r="AM49" s="40">
        <f t="shared" si="23"/>
        <v>0</v>
      </c>
      <c r="AN49" s="40">
        <f t="shared" si="24"/>
        <v>1</v>
      </c>
      <c r="AO49" s="40">
        <f t="shared" si="25"/>
        <v>0</v>
      </c>
      <c r="AP49" s="40">
        <f t="shared" si="26"/>
        <v>0</v>
      </c>
      <c r="AQ49" s="40">
        <f t="shared" si="27"/>
        <v>0</v>
      </c>
      <c r="AR49" s="40">
        <f t="shared" si="28"/>
        <v>0</v>
      </c>
      <c r="AS49" s="40">
        <f t="shared" si="29"/>
        <v>0</v>
      </c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</row>
    <row r="50" spans="1:110" s="2" customFormat="1" ht="14.4" customHeight="1" x14ac:dyDescent="0.25">
      <c r="A50" s="6"/>
      <c r="B50" s="53" t="s">
        <v>20</v>
      </c>
      <c r="C50" s="54" t="s">
        <v>26</v>
      </c>
      <c r="D50" s="55" t="s">
        <v>29</v>
      </c>
      <c r="E50" s="62">
        <v>3.2999999999999987E-3</v>
      </c>
      <c r="F50" s="65">
        <f t="shared" si="30"/>
        <v>-5.7138328105097029</v>
      </c>
      <c r="G50" s="7"/>
      <c r="H50" s="7"/>
      <c r="I50" s="7"/>
      <c r="J50" s="7"/>
      <c r="K50" s="9"/>
      <c r="L50" s="12"/>
      <c r="M50" s="12"/>
      <c r="N50" s="12"/>
      <c r="O50" s="12"/>
      <c r="P50" s="13"/>
      <c r="Q50" s="13"/>
      <c r="R50" s="13"/>
      <c r="S50" s="40">
        <f t="shared" si="3"/>
        <v>0</v>
      </c>
      <c r="T50" s="40">
        <f t="shared" si="4"/>
        <v>0</v>
      </c>
      <c r="U50" s="40">
        <f t="shared" si="5"/>
        <v>1</v>
      </c>
      <c r="V50" s="40">
        <f t="shared" si="6"/>
        <v>0</v>
      </c>
      <c r="W50" s="40">
        <f t="shared" si="7"/>
        <v>0</v>
      </c>
      <c r="X50" s="40">
        <f t="shared" si="8"/>
        <v>0</v>
      </c>
      <c r="Y50" s="40">
        <f t="shared" si="9"/>
        <v>0</v>
      </c>
      <c r="Z50" s="40">
        <f t="shared" si="10"/>
        <v>0</v>
      </c>
      <c r="AA50" s="40">
        <f t="shared" si="11"/>
        <v>0</v>
      </c>
      <c r="AB50" s="40">
        <f t="shared" si="12"/>
        <v>0</v>
      </c>
      <c r="AC50" s="40">
        <f t="shared" si="13"/>
        <v>0</v>
      </c>
      <c r="AD50" s="40">
        <f t="shared" si="14"/>
        <v>0</v>
      </c>
      <c r="AE50" s="40">
        <f t="shared" si="15"/>
        <v>0</v>
      </c>
      <c r="AF50" s="40">
        <f t="shared" si="16"/>
        <v>1</v>
      </c>
      <c r="AG50" s="40">
        <f t="shared" si="17"/>
        <v>0</v>
      </c>
      <c r="AH50" s="40">
        <f t="shared" si="18"/>
        <v>0</v>
      </c>
      <c r="AI50" s="40">
        <f t="shared" si="19"/>
        <v>0</v>
      </c>
      <c r="AJ50" s="40">
        <f t="shared" si="20"/>
        <v>0</v>
      </c>
      <c r="AK50" s="40">
        <f t="shared" si="21"/>
        <v>0</v>
      </c>
      <c r="AL50" s="40">
        <f t="shared" si="22"/>
        <v>0</v>
      </c>
      <c r="AM50" s="40">
        <f t="shared" si="23"/>
        <v>0</v>
      </c>
      <c r="AN50" s="40">
        <f t="shared" si="24"/>
        <v>0</v>
      </c>
      <c r="AO50" s="40">
        <f t="shared" si="25"/>
        <v>1</v>
      </c>
      <c r="AP50" s="40">
        <f t="shared" si="26"/>
        <v>0</v>
      </c>
      <c r="AQ50" s="40">
        <f t="shared" si="27"/>
        <v>0</v>
      </c>
      <c r="AR50" s="40">
        <f t="shared" si="28"/>
        <v>0</v>
      </c>
      <c r="AS50" s="40">
        <f t="shared" si="29"/>
        <v>0</v>
      </c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</row>
    <row r="51" spans="1:110" s="2" customFormat="1" ht="14.4" customHeight="1" x14ac:dyDescent="0.25">
      <c r="A51" s="6"/>
      <c r="B51" s="53" t="s">
        <v>20</v>
      </c>
      <c r="C51" s="54" t="s">
        <v>26</v>
      </c>
      <c r="D51" s="55" t="s">
        <v>31</v>
      </c>
      <c r="E51" s="62">
        <v>2.5299999999999997E-3</v>
      </c>
      <c r="F51" s="65">
        <f t="shared" si="30"/>
        <v>-5.9795359762427083</v>
      </c>
      <c r="G51" s="7"/>
      <c r="H51" s="7"/>
      <c r="I51" s="7"/>
      <c r="J51" s="7"/>
      <c r="K51" s="9"/>
      <c r="L51" s="12"/>
      <c r="M51" s="12"/>
      <c r="N51" s="12"/>
      <c r="O51" s="12"/>
      <c r="P51" s="13"/>
      <c r="Q51" s="13"/>
      <c r="R51" s="13"/>
      <c r="S51" s="40">
        <f t="shared" si="3"/>
        <v>0</v>
      </c>
      <c r="T51" s="40">
        <f t="shared" si="4"/>
        <v>0</v>
      </c>
      <c r="U51" s="40">
        <f t="shared" si="5"/>
        <v>1</v>
      </c>
      <c r="V51" s="40">
        <f t="shared" si="6"/>
        <v>0</v>
      </c>
      <c r="W51" s="40">
        <f t="shared" si="7"/>
        <v>0</v>
      </c>
      <c r="X51" s="40">
        <f t="shared" si="8"/>
        <v>0</v>
      </c>
      <c r="Y51" s="40">
        <f t="shared" si="9"/>
        <v>0</v>
      </c>
      <c r="Z51" s="40">
        <f t="shared" si="10"/>
        <v>0</v>
      </c>
      <c r="AA51" s="40">
        <f t="shared" si="11"/>
        <v>0</v>
      </c>
      <c r="AB51" s="40">
        <f t="shared" si="12"/>
        <v>0</v>
      </c>
      <c r="AC51" s="40">
        <f t="shared" si="13"/>
        <v>0</v>
      </c>
      <c r="AD51" s="40">
        <f t="shared" si="14"/>
        <v>0</v>
      </c>
      <c r="AE51" s="40">
        <f t="shared" si="15"/>
        <v>0</v>
      </c>
      <c r="AF51" s="40">
        <f t="shared" si="16"/>
        <v>1</v>
      </c>
      <c r="AG51" s="40">
        <f t="shared" si="17"/>
        <v>0</v>
      </c>
      <c r="AH51" s="40">
        <f t="shared" si="18"/>
        <v>0</v>
      </c>
      <c r="AI51" s="40">
        <f t="shared" si="19"/>
        <v>0</v>
      </c>
      <c r="AJ51" s="40">
        <f t="shared" si="20"/>
        <v>0</v>
      </c>
      <c r="AK51" s="40">
        <f t="shared" si="21"/>
        <v>1</v>
      </c>
      <c r="AL51" s="40">
        <f t="shared" si="22"/>
        <v>0</v>
      </c>
      <c r="AM51" s="40">
        <f t="shared" si="23"/>
        <v>0</v>
      </c>
      <c r="AN51" s="40">
        <f t="shared" si="24"/>
        <v>0</v>
      </c>
      <c r="AO51" s="40">
        <f t="shared" si="25"/>
        <v>0</v>
      </c>
      <c r="AP51" s="40">
        <f t="shared" si="26"/>
        <v>0</v>
      </c>
      <c r="AQ51" s="40">
        <f t="shared" si="27"/>
        <v>0</v>
      </c>
      <c r="AR51" s="40">
        <f t="shared" si="28"/>
        <v>0</v>
      </c>
      <c r="AS51" s="40">
        <f t="shared" si="29"/>
        <v>0</v>
      </c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</row>
    <row r="52" spans="1:110" s="2" customFormat="1" ht="14.4" customHeight="1" x14ac:dyDescent="0.25">
      <c r="A52" s="6"/>
      <c r="B52" s="53" t="s">
        <v>20</v>
      </c>
      <c r="C52" s="54" t="s">
        <v>26</v>
      </c>
      <c r="D52" s="55" t="s">
        <v>32</v>
      </c>
      <c r="E52" s="62">
        <v>5.6000000000000025E-3</v>
      </c>
      <c r="F52" s="65">
        <f t="shared" si="30"/>
        <v>-5.1849886812410331</v>
      </c>
      <c r="G52" s="7"/>
      <c r="H52" s="7"/>
      <c r="I52" s="7"/>
      <c r="J52" s="7"/>
      <c r="K52" s="9"/>
      <c r="L52" s="12"/>
      <c r="M52" s="12"/>
      <c r="N52" s="12"/>
      <c r="O52" s="12"/>
      <c r="P52" s="13"/>
      <c r="Q52" s="13"/>
      <c r="R52" s="13"/>
      <c r="S52" s="40">
        <f t="shared" si="3"/>
        <v>0</v>
      </c>
      <c r="T52" s="40">
        <f t="shared" si="4"/>
        <v>0</v>
      </c>
      <c r="U52" s="40">
        <f t="shared" si="5"/>
        <v>1</v>
      </c>
      <c r="V52" s="40">
        <f t="shared" si="6"/>
        <v>0</v>
      </c>
      <c r="W52" s="40">
        <f t="shared" si="7"/>
        <v>0</v>
      </c>
      <c r="X52" s="40">
        <f t="shared" si="8"/>
        <v>0</v>
      </c>
      <c r="Y52" s="40">
        <f t="shared" si="9"/>
        <v>0</v>
      </c>
      <c r="Z52" s="40">
        <f t="shared" si="10"/>
        <v>1</v>
      </c>
      <c r="AA52" s="40">
        <f t="shared" si="11"/>
        <v>0</v>
      </c>
      <c r="AB52" s="40">
        <f t="shared" si="12"/>
        <v>0</v>
      </c>
      <c r="AC52" s="40">
        <f t="shared" si="13"/>
        <v>0</v>
      </c>
      <c r="AD52" s="40">
        <f t="shared" si="14"/>
        <v>0</v>
      </c>
      <c r="AE52" s="40">
        <f t="shared" si="15"/>
        <v>0</v>
      </c>
      <c r="AF52" s="40">
        <f t="shared" si="16"/>
        <v>0</v>
      </c>
      <c r="AG52" s="40">
        <f t="shared" si="17"/>
        <v>0</v>
      </c>
      <c r="AH52" s="40">
        <f t="shared" si="18"/>
        <v>0</v>
      </c>
      <c r="AI52" s="40">
        <f t="shared" si="19"/>
        <v>0</v>
      </c>
      <c r="AJ52" s="40">
        <f t="shared" si="20"/>
        <v>0</v>
      </c>
      <c r="AK52" s="40">
        <f t="shared" si="21"/>
        <v>1</v>
      </c>
      <c r="AL52" s="40">
        <f t="shared" si="22"/>
        <v>0</v>
      </c>
      <c r="AM52" s="40">
        <f t="shared" si="23"/>
        <v>0</v>
      </c>
      <c r="AN52" s="40">
        <f t="shared" si="24"/>
        <v>0</v>
      </c>
      <c r="AO52" s="40">
        <f t="shared" si="25"/>
        <v>0</v>
      </c>
      <c r="AP52" s="40">
        <f t="shared" si="26"/>
        <v>0</v>
      </c>
      <c r="AQ52" s="40">
        <f t="shared" si="27"/>
        <v>0</v>
      </c>
      <c r="AR52" s="40">
        <f t="shared" si="28"/>
        <v>0</v>
      </c>
      <c r="AS52" s="40">
        <f t="shared" si="29"/>
        <v>0</v>
      </c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</row>
    <row r="53" spans="1:110" s="2" customFormat="1" ht="14.4" customHeight="1" x14ac:dyDescent="0.25">
      <c r="A53" s="6"/>
      <c r="B53" s="53" t="s">
        <v>20</v>
      </c>
      <c r="C53" s="54" t="s">
        <v>36</v>
      </c>
      <c r="D53" s="55" t="s">
        <v>32</v>
      </c>
      <c r="E53" s="62">
        <v>7.1799999999999971E-3</v>
      </c>
      <c r="F53" s="65">
        <f t="shared" si="30"/>
        <v>-4.9364558959220046</v>
      </c>
      <c r="G53" s="7"/>
      <c r="H53" s="7"/>
      <c r="I53" s="7"/>
      <c r="J53" s="7"/>
      <c r="K53" s="9"/>
      <c r="L53" s="12"/>
      <c r="M53" s="12"/>
      <c r="N53" s="12"/>
      <c r="O53" s="12"/>
      <c r="P53" s="13"/>
      <c r="Q53" s="13"/>
      <c r="R53" s="13"/>
      <c r="S53" s="40">
        <f t="shared" si="3"/>
        <v>0</v>
      </c>
      <c r="T53" s="40">
        <f t="shared" si="4"/>
        <v>0</v>
      </c>
      <c r="U53" s="40">
        <f t="shared" si="5"/>
        <v>1</v>
      </c>
      <c r="V53" s="40">
        <f t="shared" si="6"/>
        <v>0</v>
      </c>
      <c r="W53" s="40">
        <f t="shared" si="7"/>
        <v>0</v>
      </c>
      <c r="X53" s="40">
        <f t="shared" si="8"/>
        <v>0</v>
      </c>
      <c r="Y53" s="40">
        <f t="shared" si="9"/>
        <v>0</v>
      </c>
      <c r="Z53" s="40">
        <f t="shared" si="10"/>
        <v>0</v>
      </c>
      <c r="AA53" s="40">
        <f t="shared" si="11"/>
        <v>0</v>
      </c>
      <c r="AB53" s="40">
        <f t="shared" si="12"/>
        <v>0</v>
      </c>
      <c r="AC53" s="40">
        <f t="shared" si="13"/>
        <v>0</v>
      </c>
      <c r="AD53" s="40">
        <f t="shared" si="14"/>
        <v>0</v>
      </c>
      <c r="AE53" s="40">
        <f t="shared" si="15"/>
        <v>0</v>
      </c>
      <c r="AF53" s="40">
        <f t="shared" si="16"/>
        <v>1</v>
      </c>
      <c r="AG53" s="40">
        <f t="shared" si="17"/>
        <v>0</v>
      </c>
      <c r="AH53" s="40">
        <f t="shared" si="18"/>
        <v>0</v>
      </c>
      <c r="AI53" s="40">
        <f t="shared" si="19"/>
        <v>0</v>
      </c>
      <c r="AJ53" s="40">
        <f t="shared" si="20"/>
        <v>0</v>
      </c>
      <c r="AK53" s="40">
        <f t="shared" si="21"/>
        <v>1</v>
      </c>
      <c r="AL53" s="40">
        <f t="shared" si="22"/>
        <v>0</v>
      </c>
      <c r="AM53" s="40">
        <f t="shared" si="23"/>
        <v>0</v>
      </c>
      <c r="AN53" s="40">
        <f t="shared" si="24"/>
        <v>0</v>
      </c>
      <c r="AO53" s="40">
        <f t="shared" si="25"/>
        <v>0</v>
      </c>
      <c r="AP53" s="40">
        <f t="shared" si="26"/>
        <v>0</v>
      </c>
      <c r="AQ53" s="40">
        <f t="shared" si="27"/>
        <v>0</v>
      </c>
      <c r="AR53" s="40">
        <f t="shared" si="28"/>
        <v>0</v>
      </c>
      <c r="AS53" s="40">
        <f t="shared" si="29"/>
        <v>0</v>
      </c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</row>
    <row r="54" spans="1:110" s="2" customFormat="1" ht="14.4" customHeight="1" x14ac:dyDescent="0.25">
      <c r="A54" s="6"/>
      <c r="B54" s="53" t="s">
        <v>20</v>
      </c>
      <c r="C54" s="54" t="s">
        <v>26</v>
      </c>
      <c r="D54" s="55" t="s">
        <v>32</v>
      </c>
      <c r="E54" s="62">
        <v>7.3200000000000027E-3</v>
      </c>
      <c r="F54" s="65">
        <f t="shared" si="30"/>
        <v>-4.9171449510089165</v>
      </c>
      <c r="G54" s="7"/>
      <c r="H54" s="7"/>
      <c r="I54" s="7"/>
      <c r="J54" s="7"/>
      <c r="K54" s="9"/>
      <c r="L54" s="12"/>
      <c r="M54" s="12"/>
      <c r="N54" s="12"/>
      <c r="O54" s="12"/>
      <c r="P54" s="13"/>
      <c r="Q54" s="13"/>
      <c r="R54" s="13"/>
      <c r="S54" s="40">
        <f t="shared" si="3"/>
        <v>0</v>
      </c>
      <c r="T54" s="40">
        <f t="shared" si="4"/>
        <v>0</v>
      </c>
      <c r="U54" s="40">
        <f t="shared" si="5"/>
        <v>1</v>
      </c>
      <c r="V54" s="40">
        <f t="shared" si="6"/>
        <v>0</v>
      </c>
      <c r="W54" s="40">
        <f t="shared" si="7"/>
        <v>0</v>
      </c>
      <c r="X54" s="40">
        <f t="shared" si="8"/>
        <v>0</v>
      </c>
      <c r="Y54" s="40">
        <f t="shared" si="9"/>
        <v>0</v>
      </c>
      <c r="Z54" s="40">
        <f t="shared" si="10"/>
        <v>0</v>
      </c>
      <c r="AA54" s="40">
        <f t="shared" si="11"/>
        <v>0</v>
      </c>
      <c r="AB54" s="40">
        <f t="shared" si="12"/>
        <v>0</v>
      </c>
      <c r="AC54" s="40">
        <f t="shared" si="13"/>
        <v>0</v>
      </c>
      <c r="AD54" s="40">
        <f t="shared" si="14"/>
        <v>0</v>
      </c>
      <c r="AE54" s="40">
        <f t="shared" si="15"/>
        <v>0</v>
      </c>
      <c r="AF54" s="40">
        <f t="shared" si="16"/>
        <v>1</v>
      </c>
      <c r="AG54" s="40">
        <f t="shared" si="17"/>
        <v>0</v>
      </c>
      <c r="AH54" s="40">
        <f t="shared" si="18"/>
        <v>0</v>
      </c>
      <c r="AI54" s="40">
        <f t="shared" si="19"/>
        <v>0</v>
      </c>
      <c r="AJ54" s="40">
        <f t="shared" si="20"/>
        <v>0</v>
      </c>
      <c r="AK54" s="40">
        <f t="shared" si="21"/>
        <v>0</v>
      </c>
      <c r="AL54" s="40">
        <f t="shared" si="22"/>
        <v>0</v>
      </c>
      <c r="AM54" s="40">
        <f t="shared" si="23"/>
        <v>0</v>
      </c>
      <c r="AN54" s="40">
        <f t="shared" si="24"/>
        <v>0</v>
      </c>
      <c r="AO54" s="40">
        <f t="shared" si="25"/>
        <v>1</v>
      </c>
      <c r="AP54" s="40">
        <f t="shared" si="26"/>
        <v>0</v>
      </c>
      <c r="AQ54" s="40">
        <f t="shared" si="27"/>
        <v>0</v>
      </c>
      <c r="AR54" s="40">
        <f t="shared" si="28"/>
        <v>0</v>
      </c>
      <c r="AS54" s="40">
        <f t="shared" si="29"/>
        <v>0</v>
      </c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</row>
    <row r="55" spans="1:110" s="2" customFormat="1" ht="14.4" customHeight="1" x14ac:dyDescent="0.25">
      <c r="A55" s="6"/>
      <c r="B55" s="53" t="s">
        <v>20</v>
      </c>
      <c r="C55" s="54" t="s">
        <v>26</v>
      </c>
      <c r="D55" s="55" t="s">
        <v>31</v>
      </c>
      <c r="E55" s="62">
        <v>2.5199999999999997E-3</v>
      </c>
      <c r="F55" s="65">
        <f t="shared" si="30"/>
        <v>-5.9834963774588052</v>
      </c>
      <c r="G55" s="7"/>
      <c r="H55" s="7"/>
      <c r="I55" s="7"/>
      <c r="J55" s="7"/>
      <c r="K55" s="9"/>
      <c r="L55" s="12"/>
      <c r="M55" s="12"/>
      <c r="N55" s="12"/>
      <c r="O55" s="12"/>
      <c r="P55" s="13"/>
      <c r="Q55" s="13"/>
      <c r="R55" s="13"/>
      <c r="S55" s="40">
        <f t="shared" si="3"/>
        <v>0</v>
      </c>
      <c r="T55" s="40">
        <f t="shared" si="4"/>
        <v>0</v>
      </c>
      <c r="U55" s="40">
        <f t="shared" si="5"/>
        <v>1</v>
      </c>
      <c r="V55" s="40">
        <f t="shared" si="6"/>
        <v>0</v>
      </c>
      <c r="W55" s="40">
        <f t="shared" si="7"/>
        <v>0</v>
      </c>
      <c r="X55" s="40">
        <f t="shared" si="8"/>
        <v>0</v>
      </c>
      <c r="Y55" s="40">
        <f t="shared" si="9"/>
        <v>0</v>
      </c>
      <c r="Z55" s="40">
        <f t="shared" si="10"/>
        <v>0</v>
      </c>
      <c r="AA55" s="40">
        <f t="shared" si="11"/>
        <v>0</v>
      </c>
      <c r="AB55" s="40">
        <f t="shared" si="12"/>
        <v>0</v>
      </c>
      <c r="AC55" s="40">
        <f t="shared" si="13"/>
        <v>0</v>
      </c>
      <c r="AD55" s="40">
        <f t="shared" si="14"/>
        <v>0</v>
      </c>
      <c r="AE55" s="40">
        <f t="shared" si="15"/>
        <v>0</v>
      </c>
      <c r="AF55" s="40">
        <f t="shared" si="16"/>
        <v>1</v>
      </c>
      <c r="AG55" s="40">
        <f t="shared" si="17"/>
        <v>0</v>
      </c>
      <c r="AH55" s="40">
        <f t="shared" si="18"/>
        <v>0</v>
      </c>
      <c r="AI55" s="40">
        <f t="shared" si="19"/>
        <v>0</v>
      </c>
      <c r="AJ55" s="40">
        <f t="shared" si="20"/>
        <v>0</v>
      </c>
      <c r="AK55" s="40">
        <f t="shared" si="21"/>
        <v>0</v>
      </c>
      <c r="AL55" s="40">
        <f t="shared" si="22"/>
        <v>1</v>
      </c>
      <c r="AM55" s="40">
        <f t="shared" si="23"/>
        <v>0</v>
      </c>
      <c r="AN55" s="40">
        <f t="shared" si="24"/>
        <v>0</v>
      </c>
      <c r="AO55" s="40">
        <f t="shared" si="25"/>
        <v>0</v>
      </c>
      <c r="AP55" s="40">
        <f t="shared" si="26"/>
        <v>0</v>
      </c>
      <c r="AQ55" s="40">
        <f t="shared" si="27"/>
        <v>0</v>
      </c>
      <c r="AR55" s="40">
        <f t="shared" si="28"/>
        <v>0</v>
      </c>
      <c r="AS55" s="40">
        <f t="shared" si="29"/>
        <v>0</v>
      </c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</row>
    <row r="56" spans="1:110" s="2" customFormat="1" ht="14.4" customHeight="1" x14ac:dyDescent="0.25">
      <c r="A56" s="6"/>
      <c r="B56" s="53" t="s">
        <v>20</v>
      </c>
      <c r="C56" s="54" t="s">
        <v>26</v>
      </c>
      <c r="D56" s="55" t="s">
        <v>24</v>
      </c>
      <c r="E56" s="62">
        <v>2.8100000000000009E-3</v>
      </c>
      <c r="F56" s="65">
        <f t="shared" si="30"/>
        <v>-5.8745707956364823</v>
      </c>
      <c r="G56" s="7"/>
      <c r="H56" s="7"/>
      <c r="I56" s="7"/>
      <c r="J56" s="7"/>
      <c r="K56" s="9"/>
      <c r="L56" s="12"/>
      <c r="M56" s="12"/>
      <c r="N56" s="12"/>
      <c r="O56" s="12"/>
      <c r="P56" s="13"/>
      <c r="Q56" s="13"/>
      <c r="R56" s="13"/>
      <c r="S56" s="40">
        <f t="shared" si="3"/>
        <v>0</v>
      </c>
      <c r="T56" s="40">
        <f t="shared" si="4"/>
        <v>0</v>
      </c>
      <c r="U56" s="40">
        <f t="shared" si="5"/>
        <v>1</v>
      </c>
      <c r="V56" s="40">
        <f t="shared" si="6"/>
        <v>0</v>
      </c>
      <c r="W56" s="40">
        <f t="shared" si="7"/>
        <v>0</v>
      </c>
      <c r="X56" s="40">
        <f t="shared" si="8"/>
        <v>0</v>
      </c>
      <c r="Y56" s="40">
        <f t="shared" si="9"/>
        <v>0</v>
      </c>
      <c r="Z56" s="40">
        <f t="shared" si="10"/>
        <v>0</v>
      </c>
      <c r="AA56" s="40">
        <f t="shared" si="11"/>
        <v>0</v>
      </c>
      <c r="AB56" s="40">
        <f t="shared" si="12"/>
        <v>0</v>
      </c>
      <c r="AC56" s="40">
        <f t="shared" si="13"/>
        <v>0</v>
      </c>
      <c r="AD56" s="40">
        <f t="shared" si="14"/>
        <v>0</v>
      </c>
      <c r="AE56" s="40">
        <f t="shared" si="15"/>
        <v>0</v>
      </c>
      <c r="AF56" s="40">
        <f t="shared" si="16"/>
        <v>1</v>
      </c>
      <c r="AG56" s="40">
        <f t="shared" si="17"/>
        <v>0</v>
      </c>
      <c r="AH56" s="40">
        <f t="shared" si="18"/>
        <v>0</v>
      </c>
      <c r="AI56" s="40">
        <f t="shared" si="19"/>
        <v>1</v>
      </c>
      <c r="AJ56" s="40">
        <f t="shared" si="20"/>
        <v>0</v>
      </c>
      <c r="AK56" s="40">
        <f t="shared" si="21"/>
        <v>0</v>
      </c>
      <c r="AL56" s="40">
        <f t="shared" si="22"/>
        <v>0</v>
      </c>
      <c r="AM56" s="40">
        <f t="shared" si="23"/>
        <v>0</v>
      </c>
      <c r="AN56" s="40">
        <f t="shared" si="24"/>
        <v>0</v>
      </c>
      <c r="AO56" s="40">
        <f t="shared" si="25"/>
        <v>0</v>
      </c>
      <c r="AP56" s="40">
        <f t="shared" si="26"/>
        <v>0</v>
      </c>
      <c r="AQ56" s="40">
        <f t="shared" si="27"/>
        <v>0</v>
      </c>
      <c r="AR56" s="40">
        <f t="shared" si="28"/>
        <v>0</v>
      </c>
      <c r="AS56" s="40">
        <f t="shared" si="29"/>
        <v>0</v>
      </c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</row>
    <row r="57" spans="1:110" s="2" customFormat="1" ht="14.4" customHeight="1" x14ac:dyDescent="0.25">
      <c r="A57" s="6"/>
      <c r="B57" s="53" t="s">
        <v>20</v>
      </c>
      <c r="C57" s="54" t="s">
        <v>26</v>
      </c>
      <c r="D57" s="55" t="s">
        <v>28</v>
      </c>
      <c r="E57" s="62">
        <v>6.0399999999999994E-3</v>
      </c>
      <c r="F57" s="65">
        <f t="shared" si="30"/>
        <v>-5.1093512670354135</v>
      </c>
      <c r="G57" s="7"/>
      <c r="H57" s="7"/>
      <c r="I57" s="7"/>
      <c r="J57" s="7"/>
      <c r="K57" s="9"/>
      <c r="L57" s="12"/>
      <c r="M57" s="12"/>
      <c r="N57" s="12"/>
      <c r="O57" s="12"/>
      <c r="P57" s="13"/>
      <c r="Q57" s="13"/>
      <c r="R57" s="13"/>
      <c r="S57" s="40">
        <f t="shared" si="3"/>
        <v>0</v>
      </c>
      <c r="T57" s="40">
        <f t="shared" si="4"/>
        <v>0</v>
      </c>
      <c r="U57" s="40">
        <f t="shared" si="5"/>
        <v>1</v>
      </c>
      <c r="V57" s="40">
        <f t="shared" si="6"/>
        <v>0</v>
      </c>
      <c r="W57" s="40">
        <f t="shared" si="7"/>
        <v>0</v>
      </c>
      <c r="X57" s="40">
        <f t="shared" si="8"/>
        <v>0</v>
      </c>
      <c r="Y57" s="40">
        <f t="shared" si="9"/>
        <v>0</v>
      </c>
      <c r="Z57" s="40">
        <f t="shared" si="10"/>
        <v>0</v>
      </c>
      <c r="AA57" s="40">
        <f t="shared" si="11"/>
        <v>0</v>
      </c>
      <c r="AB57" s="40">
        <f t="shared" si="12"/>
        <v>0</v>
      </c>
      <c r="AC57" s="40">
        <f t="shared" si="13"/>
        <v>0</v>
      </c>
      <c r="AD57" s="40">
        <f t="shared" si="14"/>
        <v>0</v>
      </c>
      <c r="AE57" s="40">
        <f t="shared" si="15"/>
        <v>1</v>
      </c>
      <c r="AF57" s="40">
        <f t="shared" si="16"/>
        <v>0</v>
      </c>
      <c r="AG57" s="40">
        <f t="shared" si="17"/>
        <v>0</v>
      </c>
      <c r="AH57" s="40">
        <f t="shared" si="18"/>
        <v>0</v>
      </c>
      <c r="AI57" s="40">
        <f t="shared" si="19"/>
        <v>0</v>
      </c>
      <c r="AJ57" s="40">
        <f t="shared" si="20"/>
        <v>1</v>
      </c>
      <c r="AK57" s="40">
        <f t="shared" si="21"/>
        <v>0</v>
      </c>
      <c r="AL57" s="40">
        <f t="shared" si="22"/>
        <v>0</v>
      </c>
      <c r="AM57" s="40">
        <f t="shared" si="23"/>
        <v>0</v>
      </c>
      <c r="AN57" s="40">
        <f t="shared" si="24"/>
        <v>0</v>
      </c>
      <c r="AO57" s="40">
        <f t="shared" si="25"/>
        <v>0</v>
      </c>
      <c r="AP57" s="40">
        <f t="shared" si="26"/>
        <v>0</v>
      </c>
      <c r="AQ57" s="40">
        <f t="shared" si="27"/>
        <v>0</v>
      </c>
      <c r="AR57" s="40">
        <f t="shared" si="28"/>
        <v>0</v>
      </c>
      <c r="AS57" s="40">
        <f t="shared" si="29"/>
        <v>0</v>
      </c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</row>
    <row r="58" spans="1:110" s="2" customFormat="1" ht="14.4" customHeight="1" x14ac:dyDescent="0.25">
      <c r="A58" s="6"/>
      <c r="B58" s="53" t="s">
        <v>20</v>
      </c>
      <c r="C58" s="54" t="s">
        <v>34</v>
      </c>
      <c r="D58" s="55" t="s">
        <v>37</v>
      </c>
      <c r="E58" s="62">
        <v>4.910000000000002E-3</v>
      </c>
      <c r="F58" s="65">
        <f t="shared" si="30"/>
        <v>-5.3164813371757074</v>
      </c>
      <c r="G58" s="7"/>
      <c r="H58" s="7"/>
      <c r="I58" s="7"/>
      <c r="J58" s="7"/>
      <c r="K58" s="9"/>
      <c r="L58" s="12"/>
      <c r="M58" s="12"/>
      <c r="N58" s="12"/>
      <c r="O58" s="12"/>
      <c r="P58" s="13"/>
      <c r="Q58" s="13"/>
      <c r="R58" s="13"/>
      <c r="S58" s="40">
        <f t="shared" si="3"/>
        <v>0</v>
      </c>
      <c r="T58" s="40">
        <f t="shared" si="4"/>
        <v>0</v>
      </c>
      <c r="U58" s="40">
        <f t="shared" si="5"/>
        <v>1</v>
      </c>
      <c r="V58" s="40">
        <f t="shared" si="6"/>
        <v>0</v>
      </c>
      <c r="W58" s="40">
        <f t="shared" si="7"/>
        <v>0</v>
      </c>
      <c r="X58" s="40">
        <f t="shared" si="8"/>
        <v>0</v>
      </c>
      <c r="Y58" s="40">
        <f t="shared" si="9"/>
        <v>0</v>
      </c>
      <c r="Z58" s="40">
        <f t="shared" si="10"/>
        <v>0</v>
      </c>
      <c r="AA58" s="40">
        <f t="shared" si="11"/>
        <v>0</v>
      </c>
      <c r="AB58" s="40">
        <f t="shared" si="12"/>
        <v>0</v>
      </c>
      <c r="AC58" s="40">
        <f t="shared" si="13"/>
        <v>0</v>
      </c>
      <c r="AD58" s="40">
        <f t="shared" si="14"/>
        <v>0</v>
      </c>
      <c r="AE58" s="40">
        <f t="shared" si="15"/>
        <v>0</v>
      </c>
      <c r="AF58" s="40">
        <f t="shared" si="16"/>
        <v>1</v>
      </c>
      <c r="AG58" s="40">
        <f t="shared" si="17"/>
        <v>0</v>
      </c>
      <c r="AH58" s="40">
        <f t="shared" si="18"/>
        <v>0</v>
      </c>
      <c r="AI58" s="40">
        <f t="shared" si="19"/>
        <v>0</v>
      </c>
      <c r="AJ58" s="40">
        <f t="shared" si="20"/>
        <v>0</v>
      </c>
      <c r="AK58" s="40">
        <f t="shared" si="21"/>
        <v>0</v>
      </c>
      <c r="AL58" s="40">
        <f t="shared" si="22"/>
        <v>0</v>
      </c>
      <c r="AM58" s="40">
        <f t="shared" si="23"/>
        <v>0</v>
      </c>
      <c r="AN58" s="40">
        <f t="shared" si="24"/>
        <v>0</v>
      </c>
      <c r="AO58" s="40">
        <f t="shared" si="25"/>
        <v>0</v>
      </c>
      <c r="AP58" s="40">
        <f t="shared" si="26"/>
        <v>0</v>
      </c>
      <c r="AQ58" s="40">
        <f t="shared" si="27"/>
        <v>0</v>
      </c>
      <c r="AR58" s="40">
        <f t="shared" si="28"/>
        <v>1</v>
      </c>
      <c r="AS58" s="40">
        <f t="shared" si="29"/>
        <v>0</v>
      </c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</row>
    <row r="59" spans="1:110" s="2" customFormat="1" ht="14.4" customHeight="1" x14ac:dyDescent="0.25">
      <c r="A59" s="6"/>
      <c r="B59" s="53" t="s">
        <v>20</v>
      </c>
      <c r="C59" s="54" t="s">
        <v>26</v>
      </c>
      <c r="D59" s="55" t="s">
        <v>33</v>
      </c>
      <c r="E59" s="62">
        <v>6.2599999999999973E-3</v>
      </c>
      <c r="F59" s="65">
        <f t="shared" si="30"/>
        <v>-5.0735750938701303</v>
      </c>
      <c r="G59" s="7"/>
      <c r="H59" s="7"/>
      <c r="I59" s="7"/>
      <c r="J59" s="7"/>
      <c r="K59" s="9"/>
      <c r="L59" s="12"/>
      <c r="M59" s="12"/>
      <c r="N59" s="12"/>
      <c r="O59" s="12"/>
      <c r="P59" s="13"/>
      <c r="Q59" s="13"/>
      <c r="R59" s="13"/>
      <c r="S59" s="40">
        <f t="shared" si="3"/>
        <v>0</v>
      </c>
      <c r="T59" s="40">
        <f t="shared" si="4"/>
        <v>0</v>
      </c>
      <c r="U59" s="40">
        <f t="shared" si="5"/>
        <v>1</v>
      </c>
      <c r="V59" s="40">
        <f t="shared" si="6"/>
        <v>0</v>
      </c>
      <c r="W59" s="40">
        <f t="shared" si="7"/>
        <v>0</v>
      </c>
      <c r="X59" s="40">
        <f t="shared" si="8"/>
        <v>0</v>
      </c>
      <c r="Y59" s="40">
        <f t="shared" si="9"/>
        <v>0</v>
      </c>
      <c r="Z59" s="40">
        <f t="shared" si="10"/>
        <v>0</v>
      </c>
      <c r="AA59" s="40">
        <f t="shared" si="11"/>
        <v>0</v>
      </c>
      <c r="AB59" s="40">
        <f t="shared" si="12"/>
        <v>0</v>
      </c>
      <c r="AC59" s="40">
        <f t="shared" si="13"/>
        <v>0</v>
      </c>
      <c r="AD59" s="40">
        <f t="shared" si="14"/>
        <v>0</v>
      </c>
      <c r="AE59" s="40">
        <f t="shared" si="15"/>
        <v>0</v>
      </c>
      <c r="AF59" s="40">
        <f t="shared" si="16"/>
        <v>1</v>
      </c>
      <c r="AG59" s="40">
        <f t="shared" si="17"/>
        <v>0</v>
      </c>
      <c r="AH59" s="40">
        <f t="shared" si="18"/>
        <v>0</v>
      </c>
      <c r="AI59" s="40">
        <f t="shared" si="19"/>
        <v>0</v>
      </c>
      <c r="AJ59" s="40">
        <f t="shared" si="20"/>
        <v>0</v>
      </c>
      <c r="AK59" s="40">
        <f t="shared" si="21"/>
        <v>0</v>
      </c>
      <c r="AL59" s="40">
        <f t="shared" si="22"/>
        <v>1</v>
      </c>
      <c r="AM59" s="40">
        <f t="shared" si="23"/>
        <v>0</v>
      </c>
      <c r="AN59" s="40">
        <f t="shared" si="24"/>
        <v>0</v>
      </c>
      <c r="AO59" s="40">
        <f t="shared" si="25"/>
        <v>0</v>
      </c>
      <c r="AP59" s="40">
        <f t="shared" si="26"/>
        <v>0</v>
      </c>
      <c r="AQ59" s="40">
        <f t="shared" si="27"/>
        <v>0</v>
      </c>
      <c r="AR59" s="40">
        <f t="shared" si="28"/>
        <v>0</v>
      </c>
      <c r="AS59" s="40">
        <f t="shared" si="29"/>
        <v>0</v>
      </c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</row>
    <row r="60" spans="1:110" s="2" customFormat="1" ht="14.4" customHeight="1" x14ac:dyDescent="0.25">
      <c r="A60" s="6"/>
      <c r="B60" s="53" t="s">
        <v>20</v>
      </c>
      <c r="C60" s="54" t="s">
        <v>26</v>
      </c>
      <c r="D60" s="55" t="s">
        <v>24</v>
      </c>
      <c r="E60" s="62">
        <v>2.0699999999999989E-3</v>
      </c>
      <c r="F60" s="65">
        <f t="shared" si="30"/>
        <v>-6.1802066717048598</v>
      </c>
      <c r="G60" s="7"/>
      <c r="H60" s="7"/>
      <c r="I60" s="7"/>
      <c r="J60" s="7"/>
      <c r="K60" s="9"/>
      <c r="L60" s="12"/>
      <c r="M60" s="12"/>
      <c r="N60" s="12"/>
      <c r="O60" s="12"/>
      <c r="P60" s="13"/>
      <c r="Q60" s="13"/>
      <c r="R60" s="13"/>
      <c r="S60" s="40">
        <f t="shared" si="3"/>
        <v>0</v>
      </c>
      <c r="T60" s="40">
        <f t="shared" si="4"/>
        <v>0</v>
      </c>
      <c r="U60" s="40">
        <f t="shared" si="5"/>
        <v>1</v>
      </c>
      <c r="V60" s="40">
        <f t="shared" si="6"/>
        <v>0</v>
      </c>
      <c r="W60" s="40">
        <f t="shared" si="7"/>
        <v>0</v>
      </c>
      <c r="X60" s="40">
        <f t="shared" si="8"/>
        <v>0</v>
      </c>
      <c r="Y60" s="40">
        <f t="shared" si="9"/>
        <v>0</v>
      </c>
      <c r="Z60" s="40">
        <f t="shared" si="10"/>
        <v>0</v>
      </c>
      <c r="AA60" s="40">
        <f t="shared" si="11"/>
        <v>0</v>
      </c>
      <c r="AB60" s="40">
        <f t="shared" si="12"/>
        <v>0</v>
      </c>
      <c r="AC60" s="40">
        <f t="shared" si="13"/>
        <v>1</v>
      </c>
      <c r="AD60" s="40">
        <f t="shared" si="14"/>
        <v>0</v>
      </c>
      <c r="AE60" s="40">
        <f t="shared" si="15"/>
        <v>0</v>
      </c>
      <c r="AF60" s="40">
        <f t="shared" si="16"/>
        <v>0</v>
      </c>
      <c r="AG60" s="40">
        <f t="shared" si="17"/>
        <v>0</v>
      </c>
      <c r="AH60" s="40">
        <f t="shared" si="18"/>
        <v>0</v>
      </c>
      <c r="AI60" s="40">
        <f t="shared" si="19"/>
        <v>0</v>
      </c>
      <c r="AJ60" s="40">
        <f t="shared" si="20"/>
        <v>0</v>
      </c>
      <c r="AK60" s="40">
        <f t="shared" si="21"/>
        <v>0</v>
      </c>
      <c r="AL60" s="40">
        <f t="shared" si="22"/>
        <v>0</v>
      </c>
      <c r="AM60" s="40">
        <f t="shared" si="23"/>
        <v>0</v>
      </c>
      <c r="AN60" s="40">
        <f t="shared" si="24"/>
        <v>0</v>
      </c>
      <c r="AO60" s="40">
        <f t="shared" si="25"/>
        <v>0</v>
      </c>
      <c r="AP60" s="40">
        <f t="shared" si="26"/>
        <v>0</v>
      </c>
      <c r="AQ60" s="40">
        <f t="shared" si="27"/>
        <v>0</v>
      </c>
      <c r="AR60" s="40">
        <f t="shared" si="28"/>
        <v>0</v>
      </c>
      <c r="AS60" s="40">
        <f t="shared" si="29"/>
        <v>1</v>
      </c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</row>
    <row r="61" spans="1:110" s="2" customFormat="1" ht="14.4" customHeight="1" x14ac:dyDescent="0.25">
      <c r="A61" s="6"/>
      <c r="B61" s="53" t="s">
        <v>20</v>
      </c>
      <c r="C61" s="54" t="s">
        <v>23</v>
      </c>
      <c r="D61" s="55" t="s">
        <v>22</v>
      </c>
      <c r="E61" s="62">
        <v>2.7500000000000007E-3</v>
      </c>
      <c r="F61" s="65">
        <f t="shared" si="30"/>
        <v>-5.8961543673036569</v>
      </c>
      <c r="G61" s="7"/>
      <c r="H61" s="7"/>
      <c r="I61" s="7"/>
      <c r="J61" s="7"/>
      <c r="K61" s="9"/>
      <c r="L61" s="12"/>
      <c r="M61" s="12"/>
      <c r="N61" s="12"/>
      <c r="O61" s="12"/>
      <c r="P61" s="13"/>
      <c r="Q61" s="13"/>
      <c r="R61" s="13"/>
      <c r="S61" s="40">
        <f t="shared" si="3"/>
        <v>0</v>
      </c>
      <c r="T61" s="40">
        <f t="shared" si="4"/>
        <v>0</v>
      </c>
      <c r="U61" s="40">
        <f t="shared" si="5"/>
        <v>1</v>
      </c>
      <c r="V61" s="40">
        <f t="shared" si="6"/>
        <v>0</v>
      </c>
      <c r="W61" s="40">
        <f t="shared" si="7"/>
        <v>0</v>
      </c>
      <c r="X61" s="40">
        <f t="shared" si="8"/>
        <v>0</v>
      </c>
      <c r="Y61" s="40">
        <f t="shared" si="9"/>
        <v>0</v>
      </c>
      <c r="Z61" s="40">
        <f t="shared" si="10"/>
        <v>0</v>
      </c>
      <c r="AA61" s="40">
        <f t="shared" si="11"/>
        <v>0</v>
      </c>
      <c r="AB61" s="40">
        <f t="shared" si="12"/>
        <v>0</v>
      </c>
      <c r="AC61" s="40">
        <f t="shared" si="13"/>
        <v>1</v>
      </c>
      <c r="AD61" s="40">
        <f t="shared" si="14"/>
        <v>0</v>
      </c>
      <c r="AE61" s="40">
        <f t="shared" si="15"/>
        <v>0</v>
      </c>
      <c r="AF61" s="40">
        <f t="shared" si="16"/>
        <v>0</v>
      </c>
      <c r="AG61" s="40">
        <f t="shared" si="17"/>
        <v>0</v>
      </c>
      <c r="AH61" s="40">
        <f t="shared" si="18"/>
        <v>0</v>
      </c>
      <c r="AI61" s="40">
        <f t="shared" si="19"/>
        <v>0</v>
      </c>
      <c r="AJ61" s="40">
        <f t="shared" si="20"/>
        <v>0</v>
      </c>
      <c r="AK61" s="40">
        <f t="shared" si="21"/>
        <v>0</v>
      </c>
      <c r="AL61" s="40">
        <f t="shared" si="22"/>
        <v>0</v>
      </c>
      <c r="AM61" s="40">
        <f t="shared" si="23"/>
        <v>0</v>
      </c>
      <c r="AN61" s="40">
        <f t="shared" si="24"/>
        <v>0</v>
      </c>
      <c r="AO61" s="40">
        <f t="shared" si="25"/>
        <v>0</v>
      </c>
      <c r="AP61" s="40">
        <f t="shared" si="26"/>
        <v>0</v>
      </c>
      <c r="AQ61" s="40">
        <f t="shared" si="27"/>
        <v>0</v>
      </c>
      <c r="AR61" s="40">
        <f t="shared" si="28"/>
        <v>0</v>
      </c>
      <c r="AS61" s="40">
        <f t="shared" si="29"/>
        <v>1</v>
      </c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</row>
    <row r="62" spans="1:110" s="2" customFormat="1" ht="14.4" customHeight="1" x14ac:dyDescent="0.25">
      <c r="A62" s="6"/>
      <c r="B62" s="53" t="s">
        <v>20</v>
      </c>
      <c r="C62" s="54" t="s">
        <v>23</v>
      </c>
      <c r="D62" s="55" t="s">
        <v>22</v>
      </c>
      <c r="E62" s="62">
        <v>2.63E-3</v>
      </c>
      <c r="F62" s="65">
        <f t="shared" si="30"/>
        <v>-5.9407714327924639</v>
      </c>
      <c r="G62" s="7"/>
      <c r="H62" s="7"/>
      <c r="I62" s="7"/>
      <c r="J62" s="7"/>
      <c r="K62" s="9"/>
      <c r="L62" s="12"/>
      <c r="M62" s="12"/>
      <c r="N62" s="12"/>
      <c r="O62" s="12"/>
      <c r="P62" s="13"/>
      <c r="Q62" s="13"/>
      <c r="R62" s="13"/>
      <c r="S62" s="40">
        <f t="shared" si="3"/>
        <v>0</v>
      </c>
      <c r="T62" s="40">
        <f t="shared" si="4"/>
        <v>0</v>
      </c>
      <c r="U62" s="40">
        <f t="shared" si="5"/>
        <v>1</v>
      </c>
      <c r="V62" s="40">
        <f t="shared" si="6"/>
        <v>0</v>
      </c>
      <c r="W62" s="40">
        <f t="shared" si="7"/>
        <v>0</v>
      </c>
      <c r="X62" s="40">
        <f t="shared" si="8"/>
        <v>0</v>
      </c>
      <c r="Y62" s="40">
        <f t="shared" si="9"/>
        <v>0</v>
      </c>
      <c r="Z62" s="40">
        <f t="shared" si="10"/>
        <v>0</v>
      </c>
      <c r="AA62" s="40">
        <f t="shared" si="11"/>
        <v>0</v>
      </c>
      <c r="AB62" s="40">
        <f t="shared" si="12"/>
        <v>0</v>
      </c>
      <c r="AC62" s="40">
        <f t="shared" si="13"/>
        <v>0</v>
      </c>
      <c r="AD62" s="40">
        <f t="shared" si="14"/>
        <v>0</v>
      </c>
      <c r="AE62" s="40">
        <f t="shared" si="15"/>
        <v>0</v>
      </c>
      <c r="AF62" s="40">
        <f t="shared" si="16"/>
        <v>1</v>
      </c>
      <c r="AG62" s="40">
        <f t="shared" si="17"/>
        <v>0</v>
      </c>
      <c r="AH62" s="40">
        <f t="shared" si="18"/>
        <v>0</v>
      </c>
      <c r="AI62" s="40">
        <f t="shared" si="19"/>
        <v>0</v>
      </c>
      <c r="AJ62" s="40">
        <f t="shared" si="20"/>
        <v>0</v>
      </c>
      <c r="AK62" s="40">
        <f t="shared" si="21"/>
        <v>0</v>
      </c>
      <c r="AL62" s="40">
        <f t="shared" si="22"/>
        <v>0</v>
      </c>
      <c r="AM62" s="40">
        <f t="shared" si="23"/>
        <v>0</v>
      </c>
      <c r="AN62" s="40">
        <f t="shared" si="24"/>
        <v>0</v>
      </c>
      <c r="AO62" s="40">
        <f t="shared" si="25"/>
        <v>0</v>
      </c>
      <c r="AP62" s="40">
        <f t="shared" si="26"/>
        <v>0</v>
      </c>
      <c r="AQ62" s="40">
        <f t="shared" si="27"/>
        <v>0</v>
      </c>
      <c r="AR62" s="40">
        <f t="shared" si="28"/>
        <v>0</v>
      </c>
      <c r="AS62" s="40">
        <f t="shared" si="29"/>
        <v>1</v>
      </c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</row>
    <row r="63" spans="1:110" s="2" customFormat="1" ht="14.4" customHeight="1" x14ac:dyDescent="0.25">
      <c r="B63" s="53" t="s">
        <v>20</v>
      </c>
      <c r="C63" s="54" t="s">
        <v>26</v>
      </c>
      <c r="D63" s="55" t="s">
        <v>22</v>
      </c>
      <c r="E63" s="62">
        <v>2.2199999999999993E-3</v>
      </c>
      <c r="F63" s="65">
        <f t="shared" si="30"/>
        <v>-6.1102480830979493</v>
      </c>
      <c r="G63" s="15"/>
      <c r="H63" s="15"/>
      <c r="I63" s="15"/>
      <c r="J63" s="15"/>
      <c r="K63" s="16"/>
      <c r="L63" s="17"/>
      <c r="M63" s="17"/>
      <c r="N63" s="17"/>
      <c r="O63" s="17"/>
      <c r="P63" s="5"/>
      <c r="Q63" s="5"/>
      <c r="R63" s="5"/>
      <c r="S63" s="40">
        <f t="shared" si="3"/>
        <v>0</v>
      </c>
      <c r="T63" s="40">
        <f t="shared" si="4"/>
        <v>0</v>
      </c>
      <c r="U63" s="40">
        <f t="shared" si="5"/>
        <v>1</v>
      </c>
      <c r="V63" s="40">
        <f t="shared" si="6"/>
        <v>0</v>
      </c>
      <c r="W63" s="40">
        <f t="shared" si="7"/>
        <v>0</v>
      </c>
      <c r="X63" s="40">
        <f t="shared" si="8"/>
        <v>0</v>
      </c>
      <c r="Y63" s="40">
        <f t="shared" si="9"/>
        <v>0</v>
      </c>
      <c r="Z63" s="40">
        <f t="shared" si="10"/>
        <v>0</v>
      </c>
      <c r="AA63" s="40">
        <f t="shared" si="11"/>
        <v>0</v>
      </c>
      <c r="AB63" s="40">
        <f t="shared" si="12"/>
        <v>0</v>
      </c>
      <c r="AC63" s="40">
        <f t="shared" si="13"/>
        <v>0</v>
      </c>
      <c r="AD63" s="40">
        <f t="shared" si="14"/>
        <v>0</v>
      </c>
      <c r="AE63" s="40">
        <f t="shared" si="15"/>
        <v>0</v>
      </c>
      <c r="AF63" s="40">
        <f t="shared" si="16"/>
        <v>1</v>
      </c>
      <c r="AG63" s="40">
        <f t="shared" si="17"/>
        <v>0</v>
      </c>
      <c r="AH63" s="40">
        <f t="shared" si="18"/>
        <v>0</v>
      </c>
      <c r="AI63" s="40">
        <f t="shared" si="19"/>
        <v>0</v>
      </c>
      <c r="AJ63" s="40">
        <f t="shared" si="20"/>
        <v>0</v>
      </c>
      <c r="AK63" s="40">
        <f t="shared" si="21"/>
        <v>0</v>
      </c>
      <c r="AL63" s="40">
        <f t="shared" si="22"/>
        <v>0</v>
      </c>
      <c r="AM63" s="40">
        <f t="shared" si="23"/>
        <v>0</v>
      </c>
      <c r="AN63" s="40">
        <f t="shared" si="24"/>
        <v>0</v>
      </c>
      <c r="AO63" s="40">
        <f t="shared" si="25"/>
        <v>0</v>
      </c>
      <c r="AP63" s="40">
        <f t="shared" si="26"/>
        <v>0</v>
      </c>
      <c r="AQ63" s="40">
        <f t="shared" si="27"/>
        <v>1</v>
      </c>
      <c r="AR63" s="40">
        <f t="shared" si="28"/>
        <v>0</v>
      </c>
      <c r="AS63" s="40">
        <f t="shared" si="29"/>
        <v>0</v>
      </c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</row>
    <row r="64" spans="1:110" s="2" customFormat="1" ht="14.4" customHeight="1" x14ac:dyDescent="0.25">
      <c r="B64" s="56" t="s">
        <v>20</v>
      </c>
      <c r="C64" s="57" t="s">
        <v>26</v>
      </c>
      <c r="D64" s="58" t="s">
        <v>30</v>
      </c>
      <c r="E64" s="62">
        <v>1.9799999999999996E-3</v>
      </c>
      <c r="F64" s="65">
        <f t="shared" si="30"/>
        <v>-6.2246584342756934</v>
      </c>
      <c r="G64" s="15"/>
      <c r="H64" s="15"/>
      <c r="I64" s="15"/>
      <c r="J64" s="15"/>
      <c r="K64" s="16"/>
      <c r="L64" s="17"/>
      <c r="M64" s="17"/>
      <c r="N64" s="17"/>
      <c r="O64" s="17"/>
      <c r="P64" s="5"/>
      <c r="Q64" s="5"/>
      <c r="R64" s="5"/>
      <c r="S64" s="40">
        <f t="shared" si="3"/>
        <v>0</v>
      </c>
      <c r="T64" s="40">
        <f t="shared" si="4"/>
        <v>0</v>
      </c>
      <c r="U64" s="40">
        <f t="shared" si="5"/>
        <v>1</v>
      </c>
      <c r="V64" s="40">
        <f t="shared" si="6"/>
        <v>0</v>
      </c>
      <c r="W64" s="40">
        <f t="shared" si="7"/>
        <v>0</v>
      </c>
      <c r="X64" s="40">
        <f t="shared" si="8"/>
        <v>0</v>
      </c>
      <c r="Y64" s="40">
        <f t="shared" si="9"/>
        <v>0</v>
      </c>
      <c r="Z64" s="40">
        <f t="shared" si="10"/>
        <v>0</v>
      </c>
      <c r="AA64" s="40">
        <f t="shared" si="11"/>
        <v>0</v>
      </c>
      <c r="AB64" s="40">
        <f t="shared" si="12"/>
        <v>0</v>
      </c>
      <c r="AC64" s="40">
        <f t="shared" si="13"/>
        <v>0</v>
      </c>
      <c r="AD64" s="40">
        <f t="shared" si="14"/>
        <v>0</v>
      </c>
      <c r="AE64" s="40">
        <f t="shared" si="15"/>
        <v>0</v>
      </c>
      <c r="AF64" s="40">
        <f t="shared" si="16"/>
        <v>1</v>
      </c>
      <c r="AG64" s="40">
        <f t="shared" si="17"/>
        <v>0</v>
      </c>
      <c r="AH64" s="40">
        <f t="shared" si="18"/>
        <v>0</v>
      </c>
      <c r="AI64" s="40">
        <f t="shared" si="19"/>
        <v>0</v>
      </c>
      <c r="AJ64" s="40">
        <f t="shared" si="20"/>
        <v>0</v>
      </c>
      <c r="AK64" s="40">
        <f t="shared" si="21"/>
        <v>1</v>
      </c>
      <c r="AL64" s="40">
        <f t="shared" si="22"/>
        <v>0</v>
      </c>
      <c r="AM64" s="40">
        <f t="shared" si="23"/>
        <v>0</v>
      </c>
      <c r="AN64" s="40">
        <f t="shared" si="24"/>
        <v>0</v>
      </c>
      <c r="AO64" s="40">
        <f t="shared" si="25"/>
        <v>0</v>
      </c>
      <c r="AP64" s="40">
        <f t="shared" si="26"/>
        <v>0</v>
      </c>
      <c r="AQ64" s="40">
        <f t="shared" si="27"/>
        <v>0</v>
      </c>
      <c r="AR64" s="40">
        <f t="shared" si="28"/>
        <v>0</v>
      </c>
      <c r="AS64" s="40">
        <f t="shared" si="29"/>
        <v>0</v>
      </c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</row>
    <row r="65" spans="2:110" s="2" customFormat="1" ht="14.4" customHeight="1" x14ac:dyDescent="0.25">
      <c r="B65" s="56" t="s">
        <v>20</v>
      </c>
      <c r="C65" s="57" t="s">
        <v>26</v>
      </c>
      <c r="D65" s="58" t="s">
        <v>32</v>
      </c>
      <c r="E65" s="62">
        <v>6.729999999999999E-3</v>
      </c>
      <c r="F65" s="65">
        <f t="shared" si="30"/>
        <v>-5.0011801353255008</v>
      </c>
      <c r="G65" s="15"/>
      <c r="H65" s="15"/>
      <c r="I65" s="15"/>
      <c r="J65" s="15"/>
      <c r="K65" s="16"/>
      <c r="L65" s="17"/>
      <c r="M65" s="17"/>
      <c r="N65" s="17"/>
      <c r="O65" s="17"/>
      <c r="P65" s="5"/>
      <c r="Q65" s="5"/>
      <c r="R65" s="5"/>
      <c r="S65" s="40">
        <f t="shared" si="3"/>
        <v>0</v>
      </c>
      <c r="T65" s="40">
        <f t="shared" si="4"/>
        <v>0</v>
      </c>
      <c r="U65" s="40">
        <f t="shared" si="5"/>
        <v>1</v>
      </c>
      <c r="V65" s="40">
        <f t="shared" si="6"/>
        <v>0</v>
      </c>
      <c r="W65" s="40">
        <f t="shared" si="7"/>
        <v>0</v>
      </c>
      <c r="X65" s="40">
        <f t="shared" si="8"/>
        <v>0</v>
      </c>
      <c r="Y65" s="40">
        <f t="shared" si="9"/>
        <v>0</v>
      </c>
      <c r="Z65" s="40">
        <f t="shared" si="10"/>
        <v>0</v>
      </c>
      <c r="AA65" s="40">
        <f t="shared" si="11"/>
        <v>0</v>
      </c>
      <c r="AB65" s="40">
        <f t="shared" si="12"/>
        <v>0</v>
      </c>
      <c r="AC65" s="40">
        <f t="shared" si="13"/>
        <v>0</v>
      </c>
      <c r="AD65" s="40">
        <f t="shared" si="14"/>
        <v>0</v>
      </c>
      <c r="AE65" s="40">
        <f t="shared" si="15"/>
        <v>0</v>
      </c>
      <c r="AF65" s="40">
        <f t="shared" si="16"/>
        <v>1</v>
      </c>
      <c r="AG65" s="40">
        <f t="shared" si="17"/>
        <v>0</v>
      </c>
      <c r="AH65" s="40">
        <f t="shared" si="18"/>
        <v>0</v>
      </c>
      <c r="AI65" s="40">
        <f t="shared" si="19"/>
        <v>0</v>
      </c>
      <c r="AJ65" s="40">
        <f t="shared" si="20"/>
        <v>0</v>
      </c>
      <c r="AK65" s="40">
        <f t="shared" si="21"/>
        <v>0</v>
      </c>
      <c r="AL65" s="40">
        <f t="shared" si="22"/>
        <v>0</v>
      </c>
      <c r="AM65" s="40">
        <f t="shared" si="23"/>
        <v>0</v>
      </c>
      <c r="AN65" s="40">
        <f t="shared" si="24"/>
        <v>0</v>
      </c>
      <c r="AO65" s="40">
        <f t="shared" si="25"/>
        <v>0</v>
      </c>
      <c r="AP65" s="40">
        <f t="shared" si="26"/>
        <v>0</v>
      </c>
      <c r="AQ65" s="40">
        <f t="shared" si="27"/>
        <v>0</v>
      </c>
      <c r="AR65" s="40">
        <f t="shared" si="28"/>
        <v>0</v>
      </c>
      <c r="AS65" s="40">
        <f t="shared" si="29"/>
        <v>1</v>
      </c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</row>
    <row r="66" spans="2:110" s="2" customFormat="1" ht="14.4" customHeight="1" x14ac:dyDescent="0.25">
      <c r="B66" s="56" t="s">
        <v>20</v>
      </c>
      <c r="C66" s="57" t="s">
        <v>26</v>
      </c>
      <c r="D66" s="58" t="s">
        <v>22</v>
      </c>
      <c r="E66" s="62">
        <v>4.7600000000000012E-3</v>
      </c>
      <c r="F66" s="65">
        <f t="shared" si="30"/>
        <v>-5.3475076107388082</v>
      </c>
      <c r="G66" s="15"/>
      <c r="H66" s="15"/>
      <c r="I66" s="15"/>
      <c r="J66" s="15"/>
      <c r="K66" s="16"/>
      <c r="L66" s="17"/>
      <c r="M66" s="17"/>
      <c r="N66" s="17"/>
      <c r="O66" s="17"/>
      <c r="P66" s="5"/>
      <c r="Q66" s="5"/>
      <c r="R66" s="5"/>
      <c r="S66" s="40">
        <f t="shared" si="3"/>
        <v>0</v>
      </c>
      <c r="T66" s="40">
        <f t="shared" si="4"/>
        <v>0</v>
      </c>
      <c r="U66" s="40">
        <f t="shared" si="5"/>
        <v>1</v>
      </c>
      <c r="V66" s="40">
        <f t="shared" si="6"/>
        <v>0</v>
      </c>
      <c r="W66" s="40">
        <f t="shared" si="7"/>
        <v>0</v>
      </c>
      <c r="X66" s="40">
        <f t="shared" si="8"/>
        <v>0</v>
      </c>
      <c r="Y66" s="40">
        <f t="shared" si="9"/>
        <v>0</v>
      </c>
      <c r="Z66" s="40">
        <f t="shared" si="10"/>
        <v>0</v>
      </c>
      <c r="AA66" s="40">
        <f t="shared" si="11"/>
        <v>0</v>
      </c>
      <c r="AB66" s="40">
        <f t="shared" si="12"/>
        <v>0</v>
      </c>
      <c r="AC66" s="40">
        <f t="shared" si="13"/>
        <v>0</v>
      </c>
      <c r="AD66" s="40">
        <f t="shared" si="14"/>
        <v>0</v>
      </c>
      <c r="AE66" s="40">
        <f t="shared" si="15"/>
        <v>0</v>
      </c>
      <c r="AF66" s="40">
        <f t="shared" si="16"/>
        <v>1</v>
      </c>
      <c r="AG66" s="40">
        <f t="shared" si="17"/>
        <v>0</v>
      </c>
      <c r="AH66" s="40">
        <f t="shared" si="18"/>
        <v>0</v>
      </c>
      <c r="AI66" s="40">
        <f t="shared" si="19"/>
        <v>0</v>
      </c>
      <c r="AJ66" s="40">
        <f t="shared" si="20"/>
        <v>0</v>
      </c>
      <c r="AK66" s="40">
        <f t="shared" si="21"/>
        <v>0</v>
      </c>
      <c r="AL66" s="40">
        <f t="shared" si="22"/>
        <v>0</v>
      </c>
      <c r="AM66" s="40">
        <f t="shared" si="23"/>
        <v>0</v>
      </c>
      <c r="AN66" s="40">
        <f t="shared" si="24"/>
        <v>0</v>
      </c>
      <c r="AO66" s="40">
        <f t="shared" si="25"/>
        <v>1</v>
      </c>
      <c r="AP66" s="40">
        <f t="shared" si="26"/>
        <v>0</v>
      </c>
      <c r="AQ66" s="40">
        <f t="shared" si="27"/>
        <v>0</v>
      </c>
      <c r="AR66" s="40">
        <f t="shared" si="28"/>
        <v>0</v>
      </c>
      <c r="AS66" s="40">
        <f t="shared" si="29"/>
        <v>0</v>
      </c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</row>
    <row r="67" spans="2:110" s="2" customFormat="1" ht="14.4" customHeight="1" x14ac:dyDescent="0.25">
      <c r="B67" s="56" t="s">
        <v>20</v>
      </c>
      <c r="C67" s="57" t="s">
        <v>26</v>
      </c>
      <c r="D67" s="58" t="s">
        <v>31</v>
      </c>
      <c r="E67" s="62">
        <v>6.7599999999999995E-3</v>
      </c>
      <c r="F67" s="65">
        <f t="shared" si="30"/>
        <v>-4.9967323889272643</v>
      </c>
      <c r="G67" s="15"/>
      <c r="H67" s="15"/>
      <c r="I67" s="15"/>
      <c r="J67" s="15"/>
      <c r="K67" s="16"/>
      <c r="L67" s="17"/>
      <c r="M67" s="17"/>
      <c r="N67" s="17"/>
      <c r="O67" s="17"/>
      <c r="P67" s="5"/>
      <c r="Q67" s="5"/>
      <c r="R67" s="5"/>
      <c r="S67" s="40">
        <f t="shared" si="3"/>
        <v>0</v>
      </c>
      <c r="T67" s="40">
        <f t="shared" si="4"/>
        <v>0</v>
      </c>
      <c r="U67" s="40">
        <f t="shared" si="5"/>
        <v>1</v>
      </c>
      <c r="V67" s="40">
        <f t="shared" si="6"/>
        <v>0</v>
      </c>
      <c r="W67" s="40">
        <f t="shared" si="7"/>
        <v>0</v>
      </c>
      <c r="X67" s="40">
        <f t="shared" si="8"/>
        <v>0</v>
      </c>
      <c r="Y67" s="40">
        <f t="shared" si="9"/>
        <v>0</v>
      </c>
      <c r="Z67" s="40">
        <f t="shared" si="10"/>
        <v>0</v>
      </c>
      <c r="AA67" s="40">
        <f t="shared" si="11"/>
        <v>0</v>
      </c>
      <c r="AB67" s="40">
        <f t="shared" si="12"/>
        <v>0</v>
      </c>
      <c r="AC67" s="40">
        <f t="shared" si="13"/>
        <v>0</v>
      </c>
      <c r="AD67" s="40">
        <f t="shared" si="14"/>
        <v>0</v>
      </c>
      <c r="AE67" s="40">
        <f t="shared" si="15"/>
        <v>0</v>
      </c>
      <c r="AF67" s="40">
        <f t="shared" si="16"/>
        <v>1</v>
      </c>
      <c r="AG67" s="40">
        <f t="shared" si="17"/>
        <v>0</v>
      </c>
      <c r="AH67" s="40">
        <f t="shared" si="18"/>
        <v>0</v>
      </c>
      <c r="AI67" s="40">
        <f t="shared" si="19"/>
        <v>0</v>
      </c>
      <c r="AJ67" s="40">
        <f t="shared" si="20"/>
        <v>0</v>
      </c>
      <c r="AK67" s="40">
        <f t="shared" si="21"/>
        <v>0</v>
      </c>
      <c r="AL67" s="40">
        <f t="shared" si="22"/>
        <v>0</v>
      </c>
      <c r="AM67" s="40">
        <f t="shared" si="23"/>
        <v>0</v>
      </c>
      <c r="AN67" s="40">
        <f t="shared" si="24"/>
        <v>0</v>
      </c>
      <c r="AO67" s="40">
        <f t="shared" si="25"/>
        <v>0</v>
      </c>
      <c r="AP67" s="40">
        <f t="shared" si="26"/>
        <v>0</v>
      </c>
      <c r="AQ67" s="40">
        <f t="shared" si="27"/>
        <v>0</v>
      </c>
      <c r="AR67" s="40">
        <f t="shared" si="28"/>
        <v>0</v>
      </c>
      <c r="AS67" s="40">
        <f t="shared" si="29"/>
        <v>1</v>
      </c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</row>
    <row r="68" spans="2:110" s="2" customFormat="1" ht="14.4" customHeight="1" x14ac:dyDescent="0.25">
      <c r="B68" s="56" t="s">
        <v>20</v>
      </c>
      <c r="C68" s="57" t="s">
        <v>26</v>
      </c>
      <c r="D68" s="58" t="s">
        <v>22</v>
      </c>
      <c r="E68" s="62">
        <v>1.7399999999999998E-3</v>
      </c>
      <c r="F68" s="65">
        <f t="shared" si="30"/>
        <v>-6.3538701657556995</v>
      </c>
      <c r="G68" s="15"/>
      <c r="H68" s="15"/>
      <c r="I68" s="15"/>
      <c r="J68" s="15"/>
      <c r="K68" s="16"/>
      <c r="L68" s="17"/>
      <c r="M68" s="17"/>
      <c r="N68" s="17"/>
      <c r="O68" s="17"/>
      <c r="P68" s="5"/>
      <c r="Q68" s="5"/>
      <c r="R68" s="5"/>
      <c r="S68" s="40">
        <f t="shared" si="3"/>
        <v>0</v>
      </c>
      <c r="T68" s="40">
        <f t="shared" si="4"/>
        <v>0</v>
      </c>
      <c r="U68" s="40">
        <f t="shared" si="5"/>
        <v>1</v>
      </c>
      <c r="V68" s="40">
        <f t="shared" si="6"/>
        <v>0</v>
      </c>
      <c r="W68" s="40">
        <f t="shared" si="7"/>
        <v>0</v>
      </c>
      <c r="X68" s="40">
        <f t="shared" si="8"/>
        <v>0</v>
      </c>
      <c r="Y68" s="40">
        <f t="shared" si="9"/>
        <v>0</v>
      </c>
      <c r="Z68" s="40">
        <f t="shared" si="10"/>
        <v>0</v>
      </c>
      <c r="AA68" s="40">
        <f t="shared" si="11"/>
        <v>0</v>
      </c>
      <c r="AB68" s="40">
        <f t="shared" si="12"/>
        <v>1</v>
      </c>
      <c r="AC68" s="40">
        <f t="shared" si="13"/>
        <v>0</v>
      </c>
      <c r="AD68" s="40">
        <f t="shared" si="14"/>
        <v>0</v>
      </c>
      <c r="AE68" s="40">
        <f t="shared" si="15"/>
        <v>0</v>
      </c>
      <c r="AF68" s="40">
        <f t="shared" si="16"/>
        <v>0</v>
      </c>
      <c r="AG68" s="40">
        <f t="shared" si="17"/>
        <v>0</v>
      </c>
      <c r="AH68" s="40">
        <f t="shared" si="18"/>
        <v>0</v>
      </c>
      <c r="AI68" s="40">
        <f t="shared" si="19"/>
        <v>0</v>
      </c>
      <c r="AJ68" s="40">
        <f t="shared" si="20"/>
        <v>0</v>
      </c>
      <c r="AK68" s="40">
        <f t="shared" si="21"/>
        <v>1</v>
      </c>
      <c r="AL68" s="40">
        <f t="shared" si="22"/>
        <v>0</v>
      </c>
      <c r="AM68" s="40">
        <f t="shared" si="23"/>
        <v>0</v>
      </c>
      <c r="AN68" s="40">
        <f t="shared" si="24"/>
        <v>0</v>
      </c>
      <c r="AO68" s="40">
        <f t="shared" si="25"/>
        <v>0</v>
      </c>
      <c r="AP68" s="40">
        <f t="shared" si="26"/>
        <v>0</v>
      </c>
      <c r="AQ68" s="40">
        <f t="shared" si="27"/>
        <v>0</v>
      </c>
      <c r="AR68" s="40">
        <f t="shared" si="28"/>
        <v>0</v>
      </c>
      <c r="AS68" s="40">
        <f t="shared" si="29"/>
        <v>0</v>
      </c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</row>
    <row r="69" spans="2:110" s="2" customFormat="1" ht="14.4" customHeight="1" x14ac:dyDescent="0.25">
      <c r="B69" s="56" t="s">
        <v>20</v>
      </c>
      <c r="C69" s="57" t="s">
        <v>25</v>
      </c>
      <c r="D69" s="58" t="s">
        <v>32</v>
      </c>
      <c r="E69" s="62">
        <v>4.9400000000000008E-3</v>
      </c>
      <c r="F69" s="65">
        <f t="shared" si="30"/>
        <v>-5.3103899477823058</v>
      </c>
      <c r="G69" s="15"/>
      <c r="H69" s="15"/>
      <c r="I69" s="15"/>
      <c r="J69" s="15"/>
      <c r="K69" s="16"/>
      <c r="L69" s="17"/>
      <c r="M69" s="17"/>
      <c r="N69" s="17"/>
      <c r="O69" s="17"/>
      <c r="P69" s="5"/>
      <c r="Q69" s="5"/>
      <c r="R69" s="5"/>
      <c r="S69" s="40">
        <f t="shared" si="3"/>
        <v>0</v>
      </c>
      <c r="T69" s="40">
        <f t="shared" si="4"/>
        <v>0</v>
      </c>
      <c r="U69" s="40">
        <f t="shared" si="5"/>
        <v>1</v>
      </c>
      <c r="V69" s="40">
        <f t="shared" si="6"/>
        <v>0</v>
      </c>
      <c r="W69" s="40">
        <f t="shared" si="7"/>
        <v>0</v>
      </c>
      <c r="X69" s="40">
        <f t="shared" si="8"/>
        <v>0</v>
      </c>
      <c r="Y69" s="40">
        <f t="shared" si="9"/>
        <v>0</v>
      </c>
      <c r="Z69" s="40">
        <f t="shared" si="10"/>
        <v>0</v>
      </c>
      <c r="AA69" s="40">
        <f t="shared" si="11"/>
        <v>0</v>
      </c>
      <c r="AB69" s="40">
        <f t="shared" si="12"/>
        <v>0</v>
      </c>
      <c r="AC69" s="40">
        <f t="shared" si="13"/>
        <v>0</v>
      </c>
      <c r="AD69" s="40">
        <f t="shared" si="14"/>
        <v>0</v>
      </c>
      <c r="AE69" s="40">
        <f t="shared" si="15"/>
        <v>0</v>
      </c>
      <c r="AF69" s="40">
        <f t="shared" si="16"/>
        <v>1</v>
      </c>
      <c r="AG69" s="40">
        <f t="shared" si="17"/>
        <v>0</v>
      </c>
      <c r="AH69" s="40">
        <f t="shared" si="18"/>
        <v>0</v>
      </c>
      <c r="AI69" s="40">
        <f t="shared" si="19"/>
        <v>0</v>
      </c>
      <c r="AJ69" s="40">
        <f t="shared" si="20"/>
        <v>0</v>
      </c>
      <c r="AK69" s="40">
        <f t="shared" si="21"/>
        <v>0</v>
      </c>
      <c r="AL69" s="40">
        <f t="shared" si="22"/>
        <v>1</v>
      </c>
      <c r="AM69" s="40">
        <f t="shared" si="23"/>
        <v>0</v>
      </c>
      <c r="AN69" s="40">
        <f t="shared" si="24"/>
        <v>0</v>
      </c>
      <c r="AO69" s="40">
        <f t="shared" si="25"/>
        <v>0</v>
      </c>
      <c r="AP69" s="40">
        <f t="shared" si="26"/>
        <v>0</v>
      </c>
      <c r="AQ69" s="40">
        <f t="shared" si="27"/>
        <v>0</v>
      </c>
      <c r="AR69" s="40">
        <f t="shared" si="28"/>
        <v>0</v>
      </c>
      <c r="AS69" s="40">
        <f t="shared" si="29"/>
        <v>0</v>
      </c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</row>
    <row r="70" spans="2:110" s="2" customFormat="1" ht="14.4" customHeight="1" x14ac:dyDescent="0.25">
      <c r="B70" s="56" t="s">
        <v>20</v>
      </c>
      <c r="C70" s="57" t="s">
        <v>26</v>
      </c>
      <c r="D70" s="58" t="s">
        <v>24</v>
      </c>
      <c r="E70" s="62">
        <v>3.5400000000000015E-3</v>
      </c>
      <c r="F70" s="65">
        <f t="shared" si="30"/>
        <v>-5.6436285518364535</v>
      </c>
      <c r="G70" s="15"/>
      <c r="H70" s="15"/>
      <c r="I70" s="15"/>
      <c r="J70" s="15"/>
      <c r="K70" s="16"/>
      <c r="L70" s="17"/>
      <c r="M70" s="17"/>
      <c r="N70" s="17"/>
      <c r="O70" s="17"/>
      <c r="P70" s="5"/>
      <c r="Q70" s="5"/>
      <c r="R70" s="5"/>
      <c r="S70" s="40">
        <f t="shared" si="3"/>
        <v>0</v>
      </c>
      <c r="T70" s="40">
        <f t="shared" si="4"/>
        <v>0</v>
      </c>
      <c r="U70" s="40">
        <f t="shared" si="5"/>
        <v>1</v>
      </c>
      <c r="V70" s="40">
        <f t="shared" si="6"/>
        <v>0</v>
      </c>
      <c r="W70" s="40">
        <f t="shared" si="7"/>
        <v>0</v>
      </c>
      <c r="X70" s="40">
        <f t="shared" si="8"/>
        <v>0</v>
      </c>
      <c r="Y70" s="40">
        <f t="shared" si="9"/>
        <v>0</v>
      </c>
      <c r="Z70" s="40">
        <f t="shared" si="10"/>
        <v>0</v>
      </c>
      <c r="AA70" s="40">
        <f t="shared" si="11"/>
        <v>0</v>
      </c>
      <c r="AB70" s="40">
        <f t="shared" si="12"/>
        <v>0</v>
      </c>
      <c r="AC70" s="40">
        <f t="shared" si="13"/>
        <v>0</v>
      </c>
      <c r="AD70" s="40">
        <f t="shared" si="14"/>
        <v>0</v>
      </c>
      <c r="AE70" s="40">
        <f t="shared" si="15"/>
        <v>0</v>
      </c>
      <c r="AF70" s="40">
        <f t="shared" si="16"/>
        <v>1</v>
      </c>
      <c r="AG70" s="40">
        <f t="shared" si="17"/>
        <v>0</v>
      </c>
      <c r="AH70" s="40">
        <f t="shared" si="18"/>
        <v>0</v>
      </c>
      <c r="AI70" s="40">
        <f t="shared" si="19"/>
        <v>0</v>
      </c>
      <c r="AJ70" s="40">
        <f t="shared" si="20"/>
        <v>0</v>
      </c>
      <c r="AK70" s="40">
        <f t="shared" si="21"/>
        <v>0</v>
      </c>
      <c r="AL70" s="40">
        <f t="shared" si="22"/>
        <v>0</v>
      </c>
      <c r="AM70" s="40">
        <f t="shared" si="23"/>
        <v>0</v>
      </c>
      <c r="AN70" s="40">
        <f t="shared" si="24"/>
        <v>0</v>
      </c>
      <c r="AO70" s="40">
        <f t="shared" si="25"/>
        <v>1</v>
      </c>
      <c r="AP70" s="40">
        <f t="shared" si="26"/>
        <v>0</v>
      </c>
      <c r="AQ70" s="40">
        <f t="shared" si="27"/>
        <v>0</v>
      </c>
      <c r="AR70" s="40">
        <f t="shared" si="28"/>
        <v>0</v>
      </c>
      <c r="AS70" s="40">
        <f t="shared" si="29"/>
        <v>0</v>
      </c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</row>
    <row r="71" spans="2:110" s="2" customFormat="1" ht="14.4" customHeight="1" x14ac:dyDescent="0.25">
      <c r="B71" s="56" t="s">
        <v>20</v>
      </c>
      <c r="C71" s="57" t="s">
        <v>26</v>
      </c>
      <c r="D71" s="58" t="s">
        <v>31</v>
      </c>
      <c r="E71" s="62">
        <v>4.6399999999999992E-3</v>
      </c>
      <c r="F71" s="65">
        <f t="shared" si="30"/>
        <v>-5.3730409127439733</v>
      </c>
      <c r="G71" s="15"/>
      <c r="H71" s="15"/>
      <c r="I71" s="15"/>
      <c r="J71" s="15"/>
      <c r="K71" s="16"/>
      <c r="L71" s="17"/>
      <c r="M71" s="17"/>
      <c r="N71" s="17"/>
      <c r="O71" s="17"/>
      <c r="P71" s="5"/>
      <c r="Q71" s="5"/>
      <c r="R71" s="5"/>
      <c r="S71" s="40">
        <f t="shared" si="3"/>
        <v>0</v>
      </c>
      <c r="T71" s="40">
        <f t="shared" si="4"/>
        <v>0</v>
      </c>
      <c r="U71" s="40">
        <f t="shared" si="5"/>
        <v>1</v>
      </c>
      <c r="V71" s="40">
        <f t="shared" si="6"/>
        <v>0</v>
      </c>
      <c r="W71" s="40">
        <f t="shared" si="7"/>
        <v>0</v>
      </c>
      <c r="X71" s="40">
        <f t="shared" si="8"/>
        <v>0</v>
      </c>
      <c r="Y71" s="40">
        <f t="shared" si="9"/>
        <v>0</v>
      </c>
      <c r="Z71" s="40">
        <f t="shared" si="10"/>
        <v>0</v>
      </c>
      <c r="AA71" s="40">
        <f t="shared" si="11"/>
        <v>0</v>
      </c>
      <c r="AB71" s="40">
        <f t="shared" si="12"/>
        <v>1</v>
      </c>
      <c r="AC71" s="40">
        <f t="shared" si="13"/>
        <v>0</v>
      </c>
      <c r="AD71" s="40">
        <f t="shared" si="14"/>
        <v>0</v>
      </c>
      <c r="AE71" s="40">
        <f t="shared" si="15"/>
        <v>0</v>
      </c>
      <c r="AF71" s="40">
        <f t="shared" si="16"/>
        <v>0</v>
      </c>
      <c r="AG71" s="40">
        <f t="shared" si="17"/>
        <v>0</v>
      </c>
      <c r="AH71" s="40">
        <f t="shared" si="18"/>
        <v>0</v>
      </c>
      <c r="AI71" s="40">
        <f t="shared" si="19"/>
        <v>0</v>
      </c>
      <c r="AJ71" s="40">
        <f t="shared" si="20"/>
        <v>0</v>
      </c>
      <c r="AK71" s="40">
        <f t="shared" si="21"/>
        <v>0</v>
      </c>
      <c r="AL71" s="40">
        <f t="shared" si="22"/>
        <v>0</v>
      </c>
      <c r="AM71" s="40">
        <f t="shared" si="23"/>
        <v>0</v>
      </c>
      <c r="AN71" s="40">
        <f t="shared" si="24"/>
        <v>0</v>
      </c>
      <c r="AO71" s="40">
        <f t="shared" si="25"/>
        <v>0</v>
      </c>
      <c r="AP71" s="40">
        <f t="shared" si="26"/>
        <v>0</v>
      </c>
      <c r="AQ71" s="40">
        <f t="shared" si="27"/>
        <v>0</v>
      </c>
      <c r="AR71" s="40">
        <f t="shared" si="28"/>
        <v>0</v>
      </c>
      <c r="AS71" s="40">
        <f t="shared" si="29"/>
        <v>1</v>
      </c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</row>
    <row r="72" spans="2:110" s="2" customFormat="1" ht="14.4" customHeight="1" x14ac:dyDescent="0.25">
      <c r="B72" s="56" t="s">
        <v>20</v>
      </c>
      <c r="C72" s="57" t="s">
        <v>25</v>
      </c>
      <c r="D72" s="58" t="s">
        <v>22</v>
      </c>
      <c r="E72" s="62">
        <v>2.7799999999999991E-3</v>
      </c>
      <c r="F72" s="65">
        <f t="shared" si="30"/>
        <v>-5.8853043512795917</v>
      </c>
      <c r="G72" s="15"/>
      <c r="H72" s="15"/>
      <c r="I72" s="15"/>
      <c r="J72" s="15"/>
      <c r="K72" s="16"/>
      <c r="L72" s="17"/>
      <c r="M72" s="17"/>
      <c r="N72" s="17"/>
      <c r="O72" s="17"/>
      <c r="P72" s="5"/>
      <c r="Q72" s="5"/>
      <c r="R72" s="5"/>
      <c r="S72" s="40">
        <f t="shared" si="3"/>
        <v>0</v>
      </c>
      <c r="T72" s="40">
        <f t="shared" si="4"/>
        <v>0</v>
      </c>
      <c r="U72" s="40">
        <f t="shared" si="5"/>
        <v>1</v>
      </c>
      <c r="V72" s="40">
        <f t="shared" si="6"/>
        <v>0</v>
      </c>
      <c r="W72" s="40">
        <f t="shared" si="7"/>
        <v>0</v>
      </c>
      <c r="X72" s="40">
        <f t="shared" si="8"/>
        <v>0</v>
      </c>
      <c r="Y72" s="40">
        <f t="shared" si="9"/>
        <v>0</v>
      </c>
      <c r="Z72" s="40">
        <f t="shared" si="10"/>
        <v>0</v>
      </c>
      <c r="AA72" s="40">
        <f t="shared" si="11"/>
        <v>0</v>
      </c>
      <c r="AB72" s="40">
        <f t="shared" si="12"/>
        <v>0</v>
      </c>
      <c r="AC72" s="40">
        <f t="shared" si="13"/>
        <v>0</v>
      </c>
      <c r="AD72" s="40">
        <f t="shared" si="14"/>
        <v>0</v>
      </c>
      <c r="AE72" s="40">
        <f t="shared" si="15"/>
        <v>0</v>
      </c>
      <c r="AF72" s="40">
        <f t="shared" si="16"/>
        <v>1</v>
      </c>
      <c r="AG72" s="40">
        <f t="shared" si="17"/>
        <v>0</v>
      </c>
      <c r="AH72" s="40">
        <f t="shared" si="18"/>
        <v>0</v>
      </c>
      <c r="AI72" s="40">
        <f t="shared" si="19"/>
        <v>0</v>
      </c>
      <c r="AJ72" s="40">
        <f t="shared" si="20"/>
        <v>1</v>
      </c>
      <c r="AK72" s="40">
        <f t="shared" si="21"/>
        <v>0</v>
      </c>
      <c r="AL72" s="40">
        <f t="shared" si="22"/>
        <v>0</v>
      </c>
      <c r="AM72" s="40">
        <f t="shared" si="23"/>
        <v>0</v>
      </c>
      <c r="AN72" s="40">
        <f t="shared" si="24"/>
        <v>0</v>
      </c>
      <c r="AO72" s="40">
        <f t="shared" si="25"/>
        <v>0</v>
      </c>
      <c r="AP72" s="40">
        <f t="shared" si="26"/>
        <v>0</v>
      </c>
      <c r="AQ72" s="40">
        <f t="shared" si="27"/>
        <v>0</v>
      </c>
      <c r="AR72" s="40">
        <f t="shared" si="28"/>
        <v>0</v>
      </c>
      <c r="AS72" s="40">
        <f t="shared" si="29"/>
        <v>0</v>
      </c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</row>
    <row r="73" spans="2:110" s="2" customFormat="1" ht="14.4" customHeight="1" x14ac:dyDescent="0.25">
      <c r="B73" s="56" t="s">
        <v>20</v>
      </c>
      <c r="C73" s="57" t="s">
        <v>26</v>
      </c>
      <c r="D73" s="58" t="s">
        <v>37</v>
      </c>
      <c r="E73" s="62">
        <v>3.2299999999999989E-3</v>
      </c>
      <c r="F73" s="65">
        <f t="shared" si="30"/>
        <v>-5.7352731417475722</v>
      </c>
      <c r="G73" s="15"/>
      <c r="H73" s="15"/>
      <c r="I73" s="15"/>
      <c r="J73" s="15"/>
      <c r="K73" s="16"/>
      <c r="L73" s="17"/>
      <c r="M73" s="17"/>
      <c r="N73" s="17"/>
      <c r="O73" s="17"/>
      <c r="P73" s="5"/>
      <c r="Q73" s="5"/>
      <c r="R73" s="5"/>
      <c r="S73" s="40">
        <f t="shared" si="3"/>
        <v>0</v>
      </c>
      <c r="T73" s="40">
        <f t="shared" si="4"/>
        <v>0</v>
      </c>
      <c r="U73" s="40">
        <f t="shared" si="5"/>
        <v>1</v>
      </c>
      <c r="V73" s="40">
        <f t="shared" si="6"/>
        <v>0</v>
      </c>
      <c r="W73" s="40">
        <f t="shared" si="7"/>
        <v>0</v>
      </c>
      <c r="X73" s="40">
        <f t="shared" si="8"/>
        <v>0</v>
      </c>
      <c r="Y73" s="40">
        <f t="shared" si="9"/>
        <v>0</v>
      </c>
      <c r="Z73" s="40">
        <f t="shared" si="10"/>
        <v>0</v>
      </c>
      <c r="AA73" s="40">
        <f t="shared" si="11"/>
        <v>0</v>
      </c>
      <c r="AB73" s="40">
        <f t="shared" si="12"/>
        <v>0</v>
      </c>
      <c r="AC73" s="40">
        <f t="shared" si="13"/>
        <v>0</v>
      </c>
      <c r="AD73" s="40">
        <f t="shared" si="14"/>
        <v>0</v>
      </c>
      <c r="AE73" s="40">
        <f t="shared" si="15"/>
        <v>0</v>
      </c>
      <c r="AF73" s="40">
        <f t="shared" si="16"/>
        <v>1</v>
      </c>
      <c r="AG73" s="40">
        <f t="shared" si="17"/>
        <v>0</v>
      </c>
      <c r="AH73" s="40">
        <f t="shared" si="18"/>
        <v>0</v>
      </c>
      <c r="AI73" s="40">
        <f t="shared" si="19"/>
        <v>0</v>
      </c>
      <c r="AJ73" s="40">
        <f t="shared" si="20"/>
        <v>1</v>
      </c>
      <c r="AK73" s="40">
        <f t="shared" si="21"/>
        <v>0</v>
      </c>
      <c r="AL73" s="40">
        <f t="shared" si="22"/>
        <v>0</v>
      </c>
      <c r="AM73" s="40">
        <f t="shared" si="23"/>
        <v>0</v>
      </c>
      <c r="AN73" s="40">
        <f t="shared" si="24"/>
        <v>0</v>
      </c>
      <c r="AO73" s="40">
        <f t="shared" si="25"/>
        <v>0</v>
      </c>
      <c r="AP73" s="40">
        <f t="shared" si="26"/>
        <v>0</v>
      </c>
      <c r="AQ73" s="40">
        <f t="shared" si="27"/>
        <v>0</v>
      </c>
      <c r="AR73" s="40">
        <f t="shared" si="28"/>
        <v>0</v>
      </c>
      <c r="AS73" s="40">
        <f t="shared" si="29"/>
        <v>0</v>
      </c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</row>
    <row r="74" spans="2:110" s="2" customFormat="1" ht="14.4" customHeight="1" x14ac:dyDescent="0.25">
      <c r="B74" s="56" t="s">
        <v>20</v>
      </c>
      <c r="C74" s="57" t="s">
        <v>26</v>
      </c>
      <c r="D74" s="58" t="s">
        <v>37</v>
      </c>
      <c r="E74" s="62">
        <v>4.7400000000000012E-3</v>
      </c>
      <c r="F74" s="65">
        <f t="shared" si="30"/>
        <v>-5.3517181432751517</v>
      </c>
      <c r="G74" s="15"/>
      <c r="H74" s="15"/>
      <c r="I74" s="15"/>
      <c r="J74" s="15"/>
      <c r="K74" s="16"/>
      <c r="L74" s="17"/>
      <c r="M74" s="17"/>
      <c r="N74" s="17"/>
      <c r="O74" s="17"/>
      <c r="P74" s="5"/>
      <c r="Q74" s="5"/>
      <c r="R74" s="5"/>
      <c r="S74" s="40">
        <f t="shared" ref="S74:S137" si="31">IF($B75=S$9,1,0)</f>
        <v>0</v>
      </c>
      <c r="T74" s="40">
        <f t="shared" ref="T74:T137" si="32">IF($B75=T$9,1,0)</f>
        <v>0</v>
      </c>
      <c r="U74" s="40">
        <f t="shared" ref="U74:U137" si="33">IF($B75=U$9,1,0)</f>
        <v>1</v>
      </c>
      <c r="V74" s="40">
        <f t="shared" ref="V74:V137" si="34">IF($B75=V$9,1,0)</f>
        <v>0</v>
      </c>
      <c r="W74" s="40">
        <f t="shared" ref="W74:W137" si="35">IF($B75=W$9,1,0)</f>
        <v>0</v>
      </c>
      <c r="X74" s="40">
        <f t="shared" ref="X74:X137" si="36">IF($B75=X$9,1,0)</f>
        <v>0</v>
      </c>
      <c r="Y74" s="40">
        <f t="shared" ref="Y74:Y137" si="37">IF($B75=Y$9,1,0)</f>
        <v>0</v>
      </c>
      <c r="Z74" s="40">
        <f t="shared" ref="Z74:Z137" si="38">IF($C75=Z$9,1,0)</f>
        <v>0</v>
      </c>
      <c r="AA74" s="40">
        <f t="shared" ref="AA74:AA137" si="39">IF($C75=AA$9,1,0)</f>
        <v>0</v>
      </c>
      <c r="AB74" s="40">
        <f t="shared" ref="AB74:AB137" si="40">IF($C75=AB$9,1,0)</f>
        <v>1</v>
      </c>
      <c r="AC74" s="40">
        <f t="shared" ref="AC74:AC137" si="41">IF($C75=AC$9,1,0)</f>
        <v>0</v>
      </c>
      <c r="AD74" s="40">
        <f t="shared" ref="AD74:AD137" si="42">IF($C75=AD$9,1,0)</f>
        <v>0</v>
      </c>
      <c r="AE74" s="40">
        <f t="shared" ref="AE74:AE137" si="43">IF($C75=AE$9,1,0)</f>
        <v>0</v>
      </c>
      <c r="AF74" s="40">
        <f t="shared" ref="AF74:AF137" si="44">IF($C75=AF$9,1,0)</f>
        <v>0</v>
      </c>
      <c r="AG74" s="40">
        <f t="shared" ref="AG74:AG137" si="45">IF($C75=AG$9,1,0)</f>
        <v>0</v>
      </c>
      <c r="AH74" s="40">
        <f t="shared" ref="AH74:AH137" si="46">IF($D75=AH$9,1,0)</f>
        <v>0</v>
      </c>
      <c r="AI74" s="40">
        <f t="shared" ref="AI74:AI137" si="47">IF($D75=AI$9,1,0)</f>
        <v>0</v>
      </c>
      <c r="AJ74" s="40">
        <f t="shared" ref="AJ74:AJ137" si="48">IF($D75=AJ$9,1,0)</f>
        <v>0</v>
      </c>
      <c r="AK74" s="40">
        <f t="shared" ref="AK74:AK137" si="49">IF($D75=AK$9,1,0)</f>
        <v>0</v>
      </c>
      <c r="AL74" s="40">
        <f t="shared" ref="AL74:AL137" si="50">IF($D75=AL$9,1,0)</f>
        <v>1</v>
      </c>
      <c r="AM74" s="40">
        <f t="shared" ref="AM74:AM137" si="51">IF($D75=AM$9,1,0)</f>
        <v>0</v>
      </c>
      <c r="AN74" s="40">
        <f t="shared" ref="AN74:AN137" si="52">IF($D75=AN$9,1,0)</f>
        <v>0</v>
      </c>
      <c r="AO74" s="40">
        <f t="shared" ref="AO74:AO137" si="53">IF($D75=AO$9,1,0)</f>
        <v>0</v>
      </c>
      <c r="AP74" s="40">
        <f t="shared" ref="AP74:AP137" si="54">IF($D75=AP$9,1,0)</f>
        <v>0</v>
      </c>
      <c r="AQ74" s="40">
        <f t="shared" ref="AQ74:AQ137" si="55">IF($D75=AQ$9,1,0)</f>
        <v>0</v>
      </c>
      <c r="AR74" s="40">
        <f t="shared" ref="AR74:AR137" si="56">IF($D75=AR$9,1,0)</f>
        <v>0</v>
      </c>
      <c r="AS74" s="40">
        <f t="shared" ref="AS74:AS137" si="57">IF($D75=AS$9,1,0)</f>
        <v>0</v>
      </c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</row>
    <row r="75" spans="2:110" s="2" customFormat="1" ht="14.4" customHeight="1" x14ac:dyDescent="0.25">
      <c r="B75" s="56" t="s">
        <v>20</v>
      </c>
      <c r="C75" s="57" t="s">
        <v>25</v>
      </c>
      <c r="D75" s="58" t="s">
        <v>24</v>
      </c>
      <c r="E75" s="62">
        <v>4.1599999999999988E-3</v>
      </c>
      <c r="F75" s="65">
        <f t="shared" si="30"/>
        <v>-5.4822402047089653</v>
      </c>
      <c r="G75" s="15"/>
      <c r="H75" s="15"/>
      <c r="I75" s="15"/>
      <c r="J75" s="15"/>
      <c r="K75" s="16"/>
      <c r="L75" s="17"/>
      <c r="M75" s="17"/>
      <c r="N75" s="17"/>
      <c r="O75" s="17"/>
      <c r="P75" s="5"/>
      <c r="Q75" s="5"/>
      <c r="R75" s="5"/>
      <c r="S75" s="40">
        <f t="shared" si="31"/>
        <v>0</v>
      </c>
      <c r="T75" s="40">
        <f t="shared" si="32"/>
        <v>0</v>
      </c>
      <c r="U75" s="40">
        <f t="shared" si="33"/>
        <v>1</v>
      </c>
      <c r="V75" s="40">
        <f t="shared" si="34"/>
        <v>0</v>
      </c>
      <c r="W75" s="40">
        <f t="shared" si="35"/>
        <v>0</v>
      </c>
      <c r="X75" s="40">
        <f t="shared" si="36"/>
        <v>0</v>
      </c>
      <c r="Y75" s="40">
        <f t="shared" si="37"/>
        <v>0</v>
      </c>
      <c r="Z75" s="40">
        <f t="shared" si="38"/>
        <v>0</v>
      </c>
      <c r="AA75" s="40">
        <f t="shared" si="39"/>
        <v>0</v>
      </c>
      <c r="AB75" s="40">
        <f t="shared" si="40"/>
        <v>1</v>
      </c>
      <c r="AC75" s="40">
        <f t="shared" si="41"/>
        <v>0</v>
      </c>
      <c r="AD75" s="40">
        <f t="shared" si="42"/>
        <v>0</v>
      </c>
      <c r="AE75" s="40">
        <f t="shared" si="43"/>
        <v>0</v>
      </c>
      <c r="AF75" s="40">
        <f t="shared" si="44"/>
        <v>0</v>
      </c>
      <c r="AG75" s="40">
        <f t="shared" si="45"/>
        <v>0</v>
      </c>
      <c r="AH75" s="40">
        <f t="shared" si="46"/>
        <v>0</v>
      </c>
      <c r="AI75" s="40">
        <f t="shared" si="47"/>
        <v>0</v>
      </c>
      <c r="AJ75" s="40">
        <f t="shared" si="48"/>
        <v>1</v>
      </c>
      <c r="AK75" s="40">
        <f t="shared" si="49"/>
        <v>0</v>
      </c>
      <c r="AL75" s="40">
        <f t="shared" si="50"/>
        <v>0</v>
      </c>
      <c r="AM75" s="40">
        <f t="shared" si="51"/>
        <v>0</v>
      </c>
      <c r="AN75" s="40">
        <f t="shared" si="52"/>
        <v>0</v>
      </c>
      <c r="AO75" s="40">
        <f t="shared" si="53"/>
        <v>0</v>
      </c>
      <c r="AP75" s="40">
        <f t="shared" si="54"/>
        <v>0</v>
      </c>
      <c r="AQ75" s="40">
        <f t="shared" si="55"/>
        <v>0</v>
      </c>
      <c r="AR75" s="40">
        <f t="shared" si="56"/>
        <v>0</v>
      </c>
      <c r="AS75" s="40">
        <f t="shared" si="57"/>
        <v>0</v>
      </c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</row>
    <row r="76" spans="2:110" s="2" customFormat="1" ht="14.4" customHeight="1" x14ac:dyDescent="0.25">
      <c r="B76" s="56" t="s">
        <v>20</v>
      </c>
      <c r="C76" s="57" t="s">
        <v>25</v>
      </c>
      <c r="D76" s="58" t="s">
        <v>37</v>
      </c>
      <c r="E76" s="62">
        <v>2.8400000000000001E-3</v>
      </c>
      <c r="F76" s="65">
        <f t="shared" ref="F76:F139" si="58">LN(E76)</f>
        <v>-5.8639512268090224</v>
      </c>
      <c r="G76" s="15"/>
      <c r="H76" s="15"/>
      <c r="I76" s="15"/>
      <c r="J76" s="15"/>
      <c r="K76" s="16"/>
      <c r="L76" s="17"/>
      <c r="M76" s="17"/>
      <c r="N76" s="17"/>
      <c r="O76" s="17"/>
      <c r="P76" s="5"/>
      <c r="Q76" s="5"/>
      <c r="R76" s="5"/>
      <c r="S76" s="40">
        <f t="shared" si="31"/>
        <v>0</v>
      </c>
      <c r="T76" s="40">
        <f t="shared" si="32"/>
        <v>0</v>
      </c>
      <c r="U76" s="40">
        <f t="shared" si="33"/>
        <v>1</v>
      </c>
      <c r="V76" s="40">
        <f t="shared" si="34"/>
        <v>0</v>
      </c>
      <c r="W76" s="40">
        <f t="shared" si="35"/>
        <v>0</v>
      </c>
      <c r="X76" s="40">
        <f t="shared" si="36"/>
        <v>0</v>
      </c>
      <c r="Y76" s="40">
        <f t="shared" si="37"/>
        <v>0</v>
      </c>
      <c r="Z76" s="40">
        <f t="shared" si="38"/>
        <v>0</v>
      </c>
      <c r="AA76" s="40">
        <f t="shared" si="39"/>
        <v>0</v>
      </c>
      <c r="AB76" s="40">
        <f t="shared" si="40"/>
        <v>0</v>
      </c>
      <c r="AC76" s="40">
        <f t="shared" si="41"/>
        <v>0</v>
      </c>
      <c r="AD76" s="40">
        <f t="shared" si="42"/>
        <v>0</v>
      </c>
      <c r="AE76" s="40">
        <f t="shared" si="43"/>
        <v>0</v>
      </c>
      <c r="AF76" s="40">
        <f t="shared" si="44"/>
        <v>1</v>
      </c>
      <c r="AG76" s="40">
        <f t="shared" si="45"/>
        <v>0</v>
      </c>
      <c r="AH76" s="40">
        <f t="shared" si="46"/>
        <v>0</v>
      </c>
      <c r="AI76" s="40">
        <f t="shared" si="47"/>
        <v>0</v>
      </c>
      <c r="AJ76" s="40">
        <f t="shared" si="48"/>
        <v>1</v>
      </c>
      <c r="AK76" s="40">
        <f t="shared" si="49"/>
        <v>0</v>
      </c>
      <c r="AL76" s="40">
        <f t="shared" si="50"/>
        <v>0</v>
      </c>
      <c r="AM76" s="40">
        <f t="shared" si="51"/>
        <v>0</v>
      </c>
      <c r="AN76" s="40">
        <f t="shared" si="52"/>
        <v>0</v>
      </c>
      <c r="AO76" s="40">
        <f t="shared" si="53"/>
        <v>0</v>
      </c>
      <c r="AP76" s="40">
        <f t="shared" si="54"/>
        <v>0</v>
      </c>
      <c r="AQ76" s="40">
        <f t="shared" si="55"/>
        <v>0</v>
      </c>
      <c r="AR76" s="40">
        <f t="shared" si="56"/>
        <v>0</v>
      </c>
      <c r="AS76" s="40">
        <f t="shared" si="57"/>
        <v>0</v>
      </c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</row>
    <row r="77" spans="2:110" s="2" customFormat="1" ht="14.4" customHeight="1" x14ac:dyDescent="0.25">
      <c r="B77" s="56" t="s">
        <v>20</v>
      </c>
      <c r="C77" s="57" t="s">
        <v>26</v>
      </c>
      <c r="D77" s="58" t="s">
        <v>37</v>
      </c>
      <c r="E77" s="62">
        <v>3.5300000000000015E-3</v>
      </c>
      <c r="F77" s="65">
        <f t="shared" si="58"/>
        <v>-5.6464574080369312</v>
      </c>
      <c r="G77" s="15"/>
      <c r="H77" s="15"/>
      <c r="I77" s="15"/>
      <c r="J77" s="15"/>
      <c r="K77" s="16"/>
      <c r="L77" s="17"/>
      <c r="M77" s="17"/>
      <c r="N77" s="17"/>
      <c r="O77" s="17"/>
      <c r="P77" s="5"/>
      <c r="Q77" s="5"/>
      <c r="R77" s="5"/>
      <c r="S77" s="40">
        <f t="shared" si="31"/>
        <v>0</v>
      </c>
      <c r="T77" s="40">
        <f t="shared" si="32"/>
        <v>0</v>
      </c>
      <c r="U77" s="40">
        <f t="shared" si="33"/>
        <v>1</v>
      </c>
      <c r="V77" s="40">
        <f t="shared" si="34"/>
        <v>0</v>
      </c>
      <c r="W77" s="40">
        <f t="shared" si="35"/>
        <v>0</v>
      </c>
      <c r="X77" s="40">
        <f t="shared" si="36"/>
        <v>0</v>
      </c>
      <c r="Y77" s="40">
        <f t="shared" si="37"/>
        <v>0</v>
      </c>
      <c r="Z77" s="40">
        <f t="shared" si="38"/>
        <v>0</v>
      </c>
      <c r="AA77" s="40">
        <f t="shared" si="39"/>
        <v>0</v>
      </c>
      <c r="AB77" s="40">
        <f t="shared" si="40"/>
        <v>0</v>
      </c>
      <c r="AC77" s="40">
        <f t="shared" si="41"/>
        <v>0</v>
      </c>
      <c r="AD77" s="40">
        <f t="shared" si="42"/>
        <v>0</v>
      </c>
      <c r="AE77" s="40">
        <f t="shared" si="43"/>
        <v>0</v>
      </c>
      <c r="AF77" s="40">
        <f t="shared" si="44"/>
        <v>1</v>
      </c>
      <c r="AG77" s="40">
        <f t="shared" si="45"/>
        <v>0</v>
      </c>
      <c r="AH77" s="40">
        <f t="shared" si="46"/>
        <v>0</v>
      </c>
      <c r="AI77" s="40">
        <f t="shared" si="47"/>
        <v>0</v>
      </c>
      <c r="AJ77" s="40">
        <f t="shared" si="48"/>
        <v>0</v>
      </c>
      <c r="AK77" s="40">
        <f t="shared" si="49"/>
        <v>0</v>
      </c>
      <c r="AL77" s="40">
        <f t="shared" si="50"/>
        <v>1</v>
      </c>
      <c r="AM77" s="40">
        <f t="shared" si="51"/>
        <v>0</v>
      </c>
      <c r="AN77" s="40">
        <f t="shared" si="52"/>
        <v>0</v>
      </c>
      <c r="AO77" s="40">
        <f t="shared" si="53"/>
        <v>0</v>
      </c>
      <c r="AP77" s="40">
        <f t="shared" si="54"/>
        <v>0</v>
      </c>
      <c r="AQ77" s="40">
        <f t="shared" si="55"/>
        <v>0</v>
      </c>
      <c r="AR77" s="40">
        <f t="shared" si="56"/>
        <v>0</v>
      </c>
      <c r="AS77" s="40">
        <f t="shared" si="57"/>
        <v>0</v>
      </c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</row>
    <row r="78" spans="2:110" s="2" customFormat="1" ht="14.4" customHeight="1" x14ac:dyDescent="0.25">
      <c r="B78" s="56" t="s">
        <v>20</v>
      </c>
      <c r="C78" s="57" t="s">
        <v>26</v>
      </c>
      <c r="D78" s="58" t="s">
        <v>24</v>
      </c>
      <c r="E78" s="62">
        <v>7.0000000000000027E-3</v>
      </c>
      <c r="F78" s="65">
        <f t="shared" si="58"/>
        <v>-4.9618451299268234</v>
      </c>
      <c r="G78" s="15"/>
      <c r="H78" s="15"/>
      <c r="I78" s="15"/>
      <c r="J78" s="15"/>
      <c r="K78" s="16"/>
      <c r="L78" s="17"/>
      <c r="M78" s="17"/>
      <c r="N78" s="17"/>
      <c r="O78" s="17"/>
      <c r="P78" s="5"/>
      <c r="Q78" s="5"/>
      <c r="R78" s="5"/>
      <c r="S78" s="40">
        <f t="shared" si="31"/>
        <v>0</v>
      </c>
      <c r="T78" s="40">
        <f t="shared" si="32"/>
        <v>0</v>
      </c>
      <c r="U78" s="40">
        <f t="shared" si="33"/>
        <v>1</v>
      </c>
      <c r="V78" s="40">
        <f t="shared" si="34"/>
        <v>0</v>
      </c>
      <c r="W78" s="40">
        <f t="shared" si="35"/>
        <v>0</v>
      </c>
      <c r="X78" s="40">
        <f t="shared" si="36"/>
        <v>0</v>
      </c>
      <c r="Y78" s="40">
        <f t="shared" si="37"/>
        <v>0</v>
      </c>
      <c r="Z78" s="40">
        <f t="shared" si="38"/>
        <v>0</v>
      </c>
      <c r="AA78" s="40">
        <f t="shared" si="39"/>
        <v>0</v>
      </c>
      <c r="AB78" s="40">
        <f t="shared" si="40"/>
        <v>0</v>
      </c>
      <c r="AC78" s="40">
        <f t="shared" si="41"/>
        <v>0</v>
      </c>
      <c r="AD78" s="40">
        <f t="shared" si="42"/>
        <v>0</v>
      </c>
      <c r="AE78" s="40">
        <f t="shared" si="43"/>
        <v>0</v>
      </c>
      <c r="AF78" s="40">
        <f t="shared" si="44"/>
        <v>1</v>
      </c>
      <c r="AG78" s="40">
        <f t="shared" si="45"/>
        <v>0</v>
      </c>
      <c r="AH78" s="40">
        <f t="shared" si="46"/>
        <v>0</v>
      </c>
      <c r="AI78" s="40">
        <f t="shared" si="47"/>
        <v>0</v>
      </c>
      <c r="AJ78" s="40">
        <f t="shared" si="48"/>
        <v>0</v>
      </c>
      <c r="AK78" s="40">
        <f t="shared" si="49"/>
        <v>0</v>
      </c>
      <c r="AL78" s="40">
        <f t="shared" si="50"/>
        <v>0</v>
      </c>
      <c r="AM78" s="40">
        <f t="shared" si="51"/>
        <v>0</v>
      </c>
      <c r="AN78" s="40">
        <f t="shared" si="52"/>
        <v>0</v>
      </c>
      <c r="AO78" s="40">
        <f t="shared" si="53"/>
        <v>1</v>
      </c>
      <c r="AP78" s="40">
        <f t="shared" si="54"/>
        <v>0</v>
      </c>
      <c r="AQ78" s="40">
        <f t="shared" si="55"/>
        <v>0</v>
      </c>
      <c r="AR78" s="40">
        <f t="shared" si="56"/>
        <v>0</v>
      </c>
      <c r="AS78" s="40">
        <f t="shared" si="57"/>
        <v>0</v>
      </c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</row>
    <row r="79" spans="2:110" s="2" customFormat="1" ht="14.4" customHeight="1" x14ac:dyDescent="0.25">
      <c r="B79" s="56" t="s">
        <v>20</v>
      </c>
      <c r="C79" s="57" t="s">
        <v>26</v>
      </c>
      <c r="D79" s="58" t="s">
        <v>31</v>
      </c>
      <c r="E79" s="62">
        <v>5.5499999999999985E-3</v>
      </c>
      <c r="F79" s="65">
        <f t="shared" si="58"/>
        <v>-5.1939573512237942</v>
      </c>
      <c r="G79" s="15"/>
      <c r="H79" s="15"/>
      <c r="I79" s="15"/>
      <c r="J79" s="15"/>
      <c r="K79" s="16"/>
      <c r="L79" s="17"/>
      <c r="M79" s="17"/>
      <c r="N79" s="17"/>
      <c r="O79" s="17"/>
      <c r="P79" s="5"/>
      <c r="Q79" s="5"/>
      <c r="R79" s="5"/>
      <c r="S79" s="40">
        <f t="shared" si="31"/>
        <v>0</v>
      </c>
      <c r="T79" s="40">
        <f t="shared" si="32"/>
        <v>0</v>
      </c>
      <c r="U79" s="40">
        <f t="shared" si="33"/>
        <v>1</v>
      </c>
      <c r="V79" s="40">
        <f t="shared" si="34"/>
        <v>0</v>
      </c>
      <c r="W79" s="40">
        <f t="shared" si="35"/>
        <v>0</v>
      </c>
      <c r="X79" s="40">
        <f t="shared" si="36"/>
        <v>0</v>
      </c>
      <c r="Y79" s="40">
        <f t="shared" si="37"/>
        <v>0</v>
      </c>
      <c r="Z79" s="40">
        <f t="shared" si="38"/>
        <v>0</v>
      </c>
      <c r="AA79" s="40">
        <f t="shared" si="39"/>
        <v>0</v>
      </c>
      <c r="AB79" s="40">
        <f t="shared" si="40"/>
        <v>0</v>
      </c>
      <c r="AC79" s="40">
        <f t="shared" si="41"/>
        <v>1</v>
      </c>
      <c r="AD79" s="40">
        <f t="shared" si="42"/>
        <v>0</v>
      </c>
      <c r="AE79" s="40">
        <f t="shared" si="43"/>
        <v>0</v>
      </c>
      <c r="AF79" s="40">
        <f t="shared" si="44"/>
        <v>0</v>
      </c>
      <c r="AG79" s="40">
        <f t="shared" si="45"/>
        <v>0</v>
      </c>
      <c r="AH79" s="40">
        <f t="shared" si="46"/>
        <v>0</v>
      </c>
      <c r="AI79" s="40">
        <f t="shared" si="47"/>
        <v>0</v>
      </c>
      <c r="AJ79" s="40">
        <f t="shared" si="48"/>
        <v>0</v>
      </c>
      <c r="AK79" s="40">
        <f t="shared" si="49"/>
        <v>0</v>
      </c>
      <c r="AL79" s="40">
        <f t="shared" si="50"/>
        <v>1</v>
      </c>
      <c r="AM79" s="40">
        <f t="shared" si="51"/>
        <v>0</v>
      </c>
      <c r="AN79" s="40">
        <f t="shared" si="52"/>
        <v>0</v>
      </c>
      <c r="AO79" s="40">
        <f t="shared" si="53"/>
        <v>0</v>
      </c>
      <c r="AP79" s="40">
        <f t="shared" si="54"/>
        <v>0</v>
      </c>
      <c r="AQ79" s="40">
        <f t="shared" si="55"/>
        <v>0</v>
      </c>
      <c r="AR79" s="40">
        <f t="shared" si="56"/>
        <v>0</v>
      </c>
      <c r="AS79" s="40">
        <f t="shared" si="57"/>
        <v>0</v>
      </c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</row>
    <row r="80" spans="2:110" s="2" customFormat="1" ht="14.4" customHeight="1" x14ac:dyDescent="0.25">
      <c r="B80" s="56" t="s">
        <v>20</v>
      </c>
      <c r="C80" s="57" t="s">
        <v>23</v>
      </c>
      <c r="D80" s="58" t="s">
        <v>24</v>
      </c>
      <c r="E80" s="62">
        <v>4.2300000000000011E-3</v>
      </c>
      <c r="F80" s="65">
        <f t="shared" si="58"/>
        <v>-5.4655532859239502</v>
      </c>
      <c r="G80" s="15"/>
      <c r="H80" s="15"/>
      <c r="I80" s="15"/>
      <c r="J80" s="15"/>
      <c r="K80" s="16"/>
      <c r="L80" s="17"/>
      <c r="M80" s="17"/>
      <c r="N80" s="17"/>
      <c r="O80" s="17"/>
      <c r="P80" s="5"/>
      <c r="Q80" s="5"/>
      <c r="R80" s="5"/>
      <c r="S80" s="40">
        <f t="shared" si="31"/>
        <v>0</v>
      </c>
      <c r="T80" s="40">
        <f t="shared" si="32"/>
        <v>0</v>
      </c>
      <c r="U80" s="40">
        <f t="shared" si="33"/>
        <v>1</v>
      </c>
      <c r="V80" s="40">
        <f t="shared" si="34"/>
        <v>0</v>
      </c>
      <c r="W80" s="40">
        <f t="shared" si="35"/>
        <v>0</v>
      </c>
      <c r="X80" s="40">
        <f t="shared" si="36"/>
        <v>0</v>
      </c>
      <c r="Y80" s="40">
        <f t="shared" si="37"/>
        <v>0</v>
      </c>
      <c r="Z80" s="40">
        <f t="shared" si="38"/>
        <v>0</v>
      </c>
      <c r="AA80" s="40">
        <f t="shared" si="39"/>
        <v>0</v>
      </c>
      <c r="AB80" s="40">
        <f t="shared" si="40"/>
        <v>1</v>
      </c>
      <c r="AC80" s="40">
        <f t="shared" si="41"/>
        <v>0</v>
      </c>
      <c r="AD80" s="40">
        <f t="shared" si="42"/>
        <v>0</v>
      </c>
      <c r="AE80" s="40">
        <f t="shared" si="43"/>
        <v>0</v>
      </c>
      <c r="AF80" s="40">
        <f t="shared" si="44"/>
        <v>0</v>
      </c>
      <c r="AG80" s="40">
        <f t="shared" si="45"/>
        <v>0</v>
      </c>
      <c r="AH80" s="40">
        <f t="shared" si="46"/>
        <v>0</v>
      </c>
      <c r="AI80" s="40">
        <f t="shared" si="47"/>
        <v>0</v>
      </c>
      <c r="AJ80" s="40">
        <f t="shared" si="48"/>
        <v>0</v>
      </c>
      <c r="AK80" s="40">
        <f t="shared" si="49"/>
        <v>0</v>
      </c>
      <c r="AL80" s="40">
        <f t="shared" si="50"/>
        <v>1</v>
      </c>
      <c r="AM80" s="40">
        <f t="shared" si="51"/>
        <v>0</v>
      </c>
      <c r="AN80" s="40">
        <f t="shared" si="52"/>
        <v>0</v>
      </c>
      <c r="AO80" s="40">
        <f t="shared" si="53"/>
        <v>0</v>
      </c>
      <c r="AP80" s="40">
        <f t="shared" si="54"/>
        <v>0</v>
      </c>
      <c r="AQ80" s="40">
        <f t="shared" si="55"/>
        <v>0</v>
      </c>
      <c r="AR80" s="40">
        <f t="shared" si="56"/>
        <v>0</v>
      </c>
      <c r="AS80" s="40">
        <f t="shared" si="57"/>
        <v>0</v>
      </c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</row>
    <row r="81" spans="2:110" s="2" customFormat="1" ht="14.4" customHeight="1" x14ac:dyDescent="0.25">
      <c r="B81" s="56" t="s">
        <v>20</v>
      </c>
      <c r="C81" s="57" t="s">
        <v>25</v>
      </c>
      <c r="D81" s="58" t="s">
        <v>24</v>
      </c>
      <c r="E81" s="62">
        <v>4.1000000000000003E-3</v>
      </c>
      <c r="F81" s="65">
        <f t="shared" si="58"/>
        <v>-5.4967683052718748</v>
      </c>
      <c r="G81" s="15"/>
      <c r="H81" s="15"/>
      <c r="I81" s="15"/>
      <c r="J81" s="15"/>
      <c r="K81" s="16"/>
      <c r="L81" s="17"/>
      <c r="M81" s="17"/>
      <c r="N81" s="17"/>
      <c r="O81" s="17"/>
      <c r="P81" s="5"/>
      <c r="Q81" s="5"/>
      <c r="R81" s="5"/>
      <c r="S81" s="40">
        <f t="shared" si="31"/>
        <v>0</v>
      </c>
      <c r="T81" s="40">
        <f t="shared" si="32"/>
        <v>0</v>
      </c>
      <c r="U81" s="40">
        <f t="shared" si="33"/>
        <v>1</v>
      </c>
      <c r="V81" s="40">
        <f t="shared" si="34"/>
        <v>0</v>
      </c>
      <c r="W81" s="40">
        <f t="shared" si="35"/>
        <v>0</v>
      </c>
      <c r="X81" s="40">
        <f t="shared" si="36"/>
        <v>0</v>
      </c>
      <c r="Y81" s="40">
        <f t="shared" si="37"/>
        <v>0</v>
      </c>
      <c r="Z81" s="40">
        <f t="shared" si="38"/>
        <v>0</v>
      </c>
      <c r="AA81" s="40">
        <f t="shared" si="39"/>
        <v>0</v>
      </c>
      <c r="AB81" s="40">
        <f t="shared" si="40"/>
        <v>0</v>
      </c>
      <c r="AC81" s="40">
        <f t="shared" si="41"/>
        <v>0</v>
      </c>
      <c r="AD81" s="40">
        <f t="shared" si="42"/>
        <v>0</v>
      </c>
      <c r="AE81" s="40">
        <f t="shared" si="43"/>
        <v>0</v>
      </c>
      <c r="AF81" s="40">
        <f t="shared" si="44"/>
        <v>1</v>
      </c>
      <c r="AG81" s="40">
        <f t="shared" si="45"/>
        <v>0</v>
      </c>
      <c r="AH81" s="40">
        <f t="shared" si="46"/>
        <v>0</v>
      </c>
      <c r="AI81" s="40">
        <f t="shared" si="47"/>
        <v>0</v>
      </c>
      <c r="AJ81" s="40">
        <f t="shared" si="48"/>
        <v>0</v>
      </c>
      <c r="AK81" s="40">
        <f t="shared" si="49"/>
        <v>0</v>
      </c>
      <c r="AL81" s="40">
        <f t="shared" si="50"/>
        <v>0</v>
      </c>
      <c r="AM81" s="40">
        <f t="shared" si="51"/>
        <v>0</v>
      </c>
      <c r="AN81" s="40">
        <f t="shared" si="52"/>
        <v>0</v>
      </c>
      <c r="AO81" s="40">
        <f t="shared" si="53"/>
        <v>1</v>
      </c>
      <c r="AP81" s="40">
        <f t="shared" si="54"/>
        <v>0</v>
      </c>
      <c r="AQ81" s="40">
        <f t="shared" si="55"/>
        <v>0</v>
      </c>
      <c r="AR81" s="40">
        <f t="shared" si="56"/>
        <v>0</v>
      </c>
      <c r="AS81" s="40">
        <f t="shared" si="57"/>
        <v>0</v>
      </c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</row>
    <row r="82" spans="2:110" s="2" customFormat="1" ht="14.4" customHeight="1" x14ac:dyDescent="0.25">
      <c r="B82" s="56" t="s">
        <v>20</v>
      </c>
      <c r="C82" s="57" t="s">
        <v>26</v>
      </c>
      <c r="D82" s="58" t="s">
        <v>31</v>
      </c>
      <c r="E82" s="62">
        <v>4.3400000000000001E-3</v>
      </c>
      <c r="F82" s="65">
        <f t="shared" si="58"/>
        <v>-5.4398809308698235</v>
      </c>
      <c r="G82" s="15"/>
      <c r="H82" s="15"/>
      <c r="I82" s="15"/>
      <c r="J82" s="15"/>
      <c r="K82" s="16"/>
      <c r="L82" s="17"/>
      <c r="M82" s="17"/>
      <c r="N82" s="17"/>
      <c r="O82" s="17"/>
      <c r="P82" s="5"/>
      <c r="Q82" s="5"/>
      <c r="R82" s="5"/>
      <c r="S82" s="40">
        <f t="shared" si="31"/>
        <v>0</v>
      </c>
      <c r="T82" s="40">
        <f t="shared" si="32"/>
        <v>0</v>
      </c>
      <c r="U82" s="40">
        <f t="shared" si="33"/>
        <v>1</v>
      </c>
      <c r="V82" s="40">
        <f t="shared" si="34"/>
        <v>0</v>
      </c>
      <c r="W82" s="40">
        <f t="shared" si="35"/>
        <v>0</v>
      </c>
      <c r="X82" s="40">
        <f t="shared" si="36"/>
        <v>0</v>
      </c>
      <c r="Y82" s="40">
        <f t="shared" si="37"/>
        <v>0</v>
      </c>
      <c r="Z82" s="40">
        <f t="shared" si="38"/>
        <v>0</v>
      </c>
      <c r="AA82" s="40">
        <f t="shared" si="39"/>
        <v>0</v>
      </c>
      <c r="AB82" s="40">
        <f t="shared" si="40"/>
        <v>1</v>
      </c>
      <c r="AC82" s="40">
        <f t="shared" si="41"/>
        <v>0</v>
      </c>
      <c r="AD82" s="40">
        <f t="shared" si="42"/>
        <v>0</v>
      </c>
      <c r="AE82" s="40">
        <f t="shared" si="43"/>
        <v>0</v>
      </c>
      <c r="AF82" s="40">
        <f t="shared" si="44"/>
        <v>0</v>
      </c>
      <c r="AG82" s="40">
        <f t="shared" si="45"/>
        <v>0</v>
      </c>
      <c r="AH82" s="40">
        <f t="shared" si="46"/>
        <v>0</v>
      </c>
      <c r="AI82" s="40">
        <f t="shared" si="47"/>
        <v>1</v>
      </c>
      <c r="AJ82" s="40">
        <f t="shared" si="48"/>
        <v>0</v>
      </c>
      <c r="AK82" s="40">
        <f t="shared" si="49"/>
        <v>0</v>
      </c>
      <c r="AL82" s="40">
        <f t="shared" si="50"/>
        <v>0</v>
      </c>
      <c r="AM82" s="40">
        <f t="shared" si="51"/>
        <v>0</v>
      </c>
      <c r="AN82" s="40">
        <f t="shared" si="52"/>
        <v>0</v>
      </c>
      <c r="AO82" s="40">
        <f t="shared" si="53"/>
        <v>0</v>
      </c>
      <c r="AP82" s="40">
        <f t="shared" si="54"/>
        <v>0</v>
      </c>
      <c r="AQ82" s="40">
        <f t="shared" si="55"/>
        <v>0</v>
      </c>
      <c r="AR82" s="40">
        <f t="shared" si="56"/>
        <v>0</v>
      </c>
      <c r="AS82" s="40">
        <f t="shared" si="57"/>
        <v>0</v>
      </c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</row>
    <row r="83" spans="2:110" s="2" customFormat="1" ht="14.4" customHeight="1" x14ac:dyDescent="0.25">
      <c r="B83" s="56" t="s">
        <v>20</v>
      </c>
      <c r="C83" s="57" t="s">
        <v>25</v>
      </c>
      <c r="D83" s="58" t="s">
        <v>28</v>
      </c>
      <c r="E83" s="62">
        <v>2.3499999999999997E-3</v>
      </c>
      <c r="F83" s="65">
        <f t="shared" si="58"/>
        <v>-6.0533399508260697</v>
      </c>
      <c r="G83" s="15"/>
      <c r="H83" s="15"/>
      <c r="I83" s="15"/>
      <c r="J83" s="15"/>
      <c r="K83" s="16"/>
      <c r="L83" s="17"/>
      <c r="M83" s="17"/>
      <c r="N83" s="17"/>
      <c r="O83" s="17"/>
      <c r="P83" s="5"/>
      <c r="Q83" s="5"/>
      <c r="R83" s="5"/>
      <c r="S83" s="40">
        <f t="shared" si="31"/>
        <v>0</v>
      </c>
      <c r="T83" s="40">
        <f t="shared" si="32"/>
        <v>0</v>
      </c>
      <c r="U83" s="40">
        <f t="shared" si="33"/>
        <v>1</v>
      </c>
      <c r="V83" s="40">
        <f t="shared" si="34"/>
        <v>0</v>
      </c>
      <c r="W83" s="40">
        <f t="shared" si="35"/>
        <v>0</v>
      </c>
      <c r="X83" s="40">
        <f t="shared" si="36"/>
        <v>0</v>
      </c>
      <c r="Y83" s="40">
        <f t="shared" si="37"/>
        <v>0</v>
      </c>
      <c r="Z83" s="40">
        <f t="shared" si="38"/>
        <v>0</v>
      </c>
      <c r="AA83" s="40">
        <f t="shared" si="39"/>
        <v>0</v>
      </c>
      <c r="AB83" s="40">
        <f t="shared" si="40"/>
        <v>0</v>
      </c>
      <c r="AC83" s="40">
        <f t="shared" si="41"/>
        <v>0</v>
      </c>
      <c r="AD83" s="40">
        <f t="shared" si="42"/>
        <v>0</v>
      </c>
      <c r="AE83" s="40">
        <f t="shared" si="43"/>
        <v>0</v>
      </c>
      <c r="AF83" s="40">
        <f t="shared" si="44"/>
        <v>1</v>
      </c>
      <c r="AG83" s="40">
        <f t="shared" si="45"/>
        <v>0</v>
      </c>
      <c r="AH83" s="40">
        <f t="shared" si="46"/>
        <v>1</v>
      </c>
      <c r="AI83" s="40">
        <f t="shared" si="47"/>
        <v>0</v>
      </c>
      <c r="AJ83" s="40">
        <f t="shared" si="48"/>
        <v>0</v>
      </c>
      <c r="AK83" s="40">
        <f t="shared" si="49"/>
        <v>0</v>
      </c>
      <c r="AL83" s="40">
        <f t="shared" si="50"/>
        <v>0</v>
      </c>
      <c r="AM83" s="40">
        <f t="shared" si="51"/>
        <v>0</v>
      </c>
      <c r="AN83" s="40">
        <f t="shared" si="52"/>
        <v>0</v>
      </c>
      <c r="AO83" s="40">
        <f t="shared" si="53"/>
        <v>0</v>
      </c>
      <c r="AP83" s="40">
        <f t="shared" si="54"/>
        <v>0</v>
      </c>
      <c r="AQ83" s="40">
        <f t="shared" si="55"/>
        <v>0</v>
      </c>
      <c r="AR83" s="40">
        <f t="shared" si="56"/>
        <v>0</v>
      </c>
      <c r="AS83" s="40">
        <f t="shared" si="57"/>
        <v>0</v>
      </c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</row>
    <row r="84" spans="2:110" s="2" customFormat="1" ht="14.4" customHeight="1" x14ac:dyDescent="0.25">
      <c r="B84" s="56" t="s">
        <v>20</v>
      </c>
      <c r="C84" s="57" t="s">
        <v>26</v>
      </c>
      <c r="D84" s="58" t="s">
        <v>27</v>
      </c>
      <c r="E84" s="62">
        <v>1.7600000000000005E-3</v>
      </c>
      <c r="F84" s="65">
        <f t="shared" si="58"/>
        <v>-6.3424414699320764</v>
      </c>
      <c r="G84" s="15"/>
      <c r="H84" s="15"/>
      <c r="I84" s="15"/>
      <c r="J84" s="15"/>
      <c r="K84" s="16"/>
      <c r="L84" s="17"/>
      <c r="M84" s="17"/>
      <c r="N84" s="17"/>
      <c r="O84" s="17"/>
      <c r="P84" s="5"/>
      <c r="Q84" s="5"/>
      <c r="R84" s="5"/>
      <c r="S84" s="40">
        <f t="shared" si="31"/>
        <v>0</v>
      </c>
      <c r="T84" s="40">
        <f t="shared" si="32"/>
        <v>0</v>
      </c>
      <c r="U84" s="40">
        <f t="shared" si="33"/>
        <v>1</v>
      </c>
      <c r="V84" s="40">
        <f t="shared" si="34"/>
        <v>0</v>
      </c>
      <c r="W84" s="40">
        <f t="shared" si="35"/>
        <v>0</v>
      </c>
      <c r="X84" s="40">
        <f t="shared" si="36"/>
        <v>0</v>
      </c>
      <c r="Y84" s="40">
        <f t="shared" si="37"/>
        <v>0</v>
      </c>
      <c r="Z84" s="40">
        <f t="shared" si="38"/>
        <v>0</v>
      </c>
      <c r="AA84" s="40">
        <f t="shared" si="39"/>
        <v>0</v>
      </c>
      <c r="AB84" s="40">
        <f t="shared" si="40"/>
        <v>0</v>
      </c>
      <c r="AC84" s="40">
        <f t="shared" si="41"/>
        <v>0</v>
      </c>
      <c r="AD84" s="40">
        <f t="shared" si="42"/>
        <v>0</v>
      </c>
      <c r="AE84" s="40">
        <f t="shared" si="43"/>
        <v>0</v>
      </c>
      <c r="AF84" s="40">
        <f t="shared" si="44"/>
        <v>1</v>
      </c>
      <c r="AG84" s="40">
        <f t="shared" si="45"/>
        <v>0</v>
      </c>
      <c r="AH84" s="40">
        <f t="shared" si="46"/>
        <v>0</v>
      </c>
      <c r="AI84" s="40">
        <f t="shared" si="47"/>
        <v>0</v>
      </c>
      <c r="AJ84" s="40">
        <f t="shared" si="48"/>
        <v>0</v>
      </c>
      <c r="AK84" s="40">
        <f t="shared" si="49"/>
        <v>0</v>
      </c>
      <c r="AL84" s="40">
        <f t="shared" si="50"/>
        <v>0</v>
      </c>
      <c r="AM84" s="40">
        <f t="shared" si="51"/>
        <v>0</v>
      </c>
      <c r="AN84" s="40">
        <f t="shared" si="52"/>
        <v>0</v>
      </c>
      <c r="AO84" s="40">
        <f t="shared" si="53"/>
        <v>1</v>
      </c>
      <c r="AP84" s="40">
        <f t="shared" si="54"/>
        <v>0</v>
      </c>
      <c r="AQ84" s="40">
        <f t="shared" si="55"/>
        <v>0</v>
      </c>
      <c r="AR84" s="40">
        <f t="shared" si="56"/>
        <v>0</v>
      </c>
      <c r="AS84" s="40">
        <f t="shared" si="57"/>
        <v>0</v>
      </c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</row>
    <row r="85" spans="2:110" s="2" customFormat="1" ht="14.4" customHeight="1" x14ac:dyDescent="0.25">
      <c r="B85" s="56" t="s">
        <v>20</v>
      </c>
      <c r="C85" s="57" t="s">
        <v>26</v>
      </c>
      <c r="D85" s="58" t="s">
        <v>31</v>
      </c>
      <c r="E85" s="62">
        <v>2.5500000000000011E-3</v>
      </c>
      <c r="F85" s="65">
        <f t="shared" si="58"/>
        <v>-5.9716619198118019</v>
      </c>
      <c r="G85" s="15"/>
      <c r="H85" s="15"/>
      <c r="I85" s="15"/>
      <c r="J85" s="15"/>
      <c r="K85" s="16"/>
      <c r="L85" s="17"/>
      <c r="M85" s="17"/>
      <c r="N85" s="17"/>
      <c r="O85" s="17"/>
      <c r="P85" s="5"/>
      <c r="Q85" s="5"/>
      <c r="R85" s="5"/>
      <c r="S85" s="40">
        <f t="shared" si="31"/>
        <v>0</v>
      </c>
      <c r="T85" s="40">
        <f t="shared" si="32"/>
        <v>0</v>
      </c>
      <c r="U85" s="40">
        <f t="shared" si="33"/>
        <v>1</v>
      </c>
      <c r="V85" s="40">
        <f t="shared" si="34"/>
        <v>0</v>
      </c>
      <c r="W85" s="40">
        <f t="shared" si="35"/>
        <v>0</v>
      </c>
      <c r="X85" s="40">
        <f t="shared" si="36"/>
        <v>0</v>
      </c>
      <c r="Y85" s="40">
        <f t="shared" si="37"/>
        <v>0</v>
      </c>
      <c r="Z85" s="40">
        <f t="shared" si="38"/>
        <v>0</v>
      </c>
      <c r="AA85" s="40">
        <f t="shared" si="39"/>
        <v>0</v>
      </c>
      <c r="AB85" s="40">
        <f t="shared" si="40"/>
        <v>0</v>
      </c>
      <c r="AC85" s="40">
        <f t="shared" si="41"/>
        <v>0</v>
      </c>
      <c r="AD85" s="40">
        <f t="shared" si="42"/>
        <v>0</v>
      </c>
      <c r="AE85" s="40">
        <f t="shared" si="43"/>
        <v>0</v>
      </c>
      <c r="AF85" s="40">
        <f t="shared" si="44"/>
        <v>1</v>
      </c>
      <c r="AG85" s="40">
        <f t="shared" si="45"/>
        <v>0</v>
      </c>
      <c r="AH85" s="40">
        <f t="shared" si="46"/>
        <v>0</v>
      </c>
      <c r="AI85" s="40">
        <f t="shared" si="47"/>
        <v>1</v>
      </c>
      <c r="AJ85" s="40">
        <f t="shared" si="48"/>
        <v>0</v>
      </c>
      <c r="AK85" s="40">
        <f t="shared" si="49"/>
        <v>0</v>
      </c>
      <c r="AL85" s="40">
        <f t="shared" si="50"/>
        <v>0</v>
      </c>
      <c r="AM85" s="40">
        <f t="shared" si="51"/>
        <v>0</v>
      </c>
      <c r="AN85" s="40">
        <f t="shared" si="52"/>
        <v>0</v>
      </c>
      <c r="AO85" s="40">
        <f t="shared" si="53"/>
        <v>0</v>
      </c>
      <c r="AP85" s="40">
        <f t="shared" si="54"/>
        <v>0</v>
      </c>
      <c r="AQ85" s="40">
        <f t="shared" si="55"/>
        <v>0</v>
      </c>
      <c r="AR85" s="40">
        <f t="shared" si="56"/>
        <v>0</v>
      </c>
      <c r="AS85" s="40">
        <f t="shared" si="57"/>
        <v>0</v>
      </c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</row>
    <row r="86" spans="2:110" s="2" customFormat="1" ht="14.4" customHeight="1" x14ac:dyDescent="0.25">
      <c r="B86" s="56" t="s">
        <v>20</v>
      </c>
      <c r="C86" s="57" t="s">
        <v>26</v>
      </c>
      <c r="D86" s="58" t="s">
        <v>28</v>
      </c>
      <c r="E86" s="62">
        <v>4.6199999999999982E-3</v>
      </c>
      <c r="F86" s="65">
        <f t="shared" si="58"/>
        <v>-5.37736057388849</v>
      </c>
      <c r="G86" s="15"/>
      <c r="H86" s="15"/>
      <c r="I86" s="15"/>
      <c r="J86" s="15"/>
      <c r="K86" s="16"/>
      <c r="L86" s="17"/>
      <c r="M86" s="17"/>
      <c r="N86" s="17"/>
      <c r="O86" s="17"/>
      <c r="P86" s="5"/>
      <c r="Q86" s="5"/>
      <c r="R86" s="5"/>
      <c r="S86" s="40">
        <f t="shared" si="31"/>
        <v>0</v>
      </c>
      <c r="T86" s="40">
        <f t="shared" si="32"/>
        <v>0</v>
      </c>
      <c r="U86" s="40">
        <f t="shared" si="33"/>
        <v>1</v>
      </c>
      <c r="V86" s="40">
        <f t="shared" si="34"/>
        <v>0</v>
      </c>
      <c r="W86" s="40">
        <f t="shared" si="35"/>
        <v>0</v>
      </c>
      <c r="X86" s="40">
        <f t="shared" si="36"/>
        <v>0</v>
      </c>
      <c r="Y86" s="40">
        <f t="shared" si="37"/>
        <v>0</v>
      </c>
      <c r="Z86" s="40">
        <f t="shared" si="38"/>
        <v>0</v>
      </c>
      <c r="AA86" s="40">
        <f t="shared" si="39"/>
        <v>0</v>
      </c>
      <c r="AB86" s="40">
        <f t="shared" si="40"/>
        <v>1</v>
      </c>
      <c r="AC86" s="40">
        <f t="shared" si="41"/>
        <v>0</v>
      </c>
      <c r="AD86" s="40">
        <f t="shared" si="42"/>
        <v>0</v>
      </c>
      <c r="AE86" s="40">
        <f t="shared" si="43"/>
        <v>0</v>
      </c>
      <c r="AF86" s="40">
        <f t="shared" si="44"/>
        <v>0</v>
      </c>
      <c r="AG86" s="40">
        <f t="shared" si="45"/>
        <v>0</v>
      </c>
      <c r="AH86" s="40">
        <f t="shared" si="46"/>
        <v>0</v>
      </c>
      <c r="AI86" s="40">
        <f t="shared" si="47"/>
        <v>0</v>
      </c>
      <c r="AJ86" s="40">
        <f t="shared" si="48"/>
        <v>0</v>
      </c>
      <c r="AK86" s="40">
        <f t="shared" si="49"/>
        <v>0</v>
      </c>
      <c r="AL86" s="40">
        <f t="shared" si="50"/>
        <v>0</v>
      </c>
      <c r="AM86" s="40">
        <f t="shared" si="51"/>
        <v>0</v>
      </c>
      <c r="AN86" s="40">
        <f t="shared" si="52"/>
        <v>1</v>
      </c>
      <c r="AO86" s="40">
        <f t="shared" si="53"/>
        <v>0</v>
      </c>
      <c r="AP86" s="40">
        <f t="shared" si="54"/>
        <v>0</v>
      </c>
      <c r="AQ86" s="40">
        <f t="shared" si="55"/>
        <v>0</v>
      </c>
      <c r="AR86" s="40">
        <f t="shared" si="56"/>
        <v>0</v>
      </c>
      <c r="AS86" s="40">
        <f t="shared" si="57"/>
        <v>0</v>
      </c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</row>
    <row r="87" spans="2:110" s="2" customFormat="1" ht="14.4" customHeight="1" x14ac:dyDescent="0.25">
      <c r="B87" s="56" t="s">
        <v>20</v>
      </c>
      <c r="C87" s="57" t="s">
        <v>25</v>
      </c>
      <c r="D87" s="58" t="s">
        <v>29</v>
      </c>
      <c r="E87" s="62">
        <v>2.2199999999999993E-3</v>
      </c>
      <c r="F87" s="65">
        <f t="shared" si="58"/>
        <v>-6.1102480830979493</v>
      </c>
      <c r="G87" s="15"/>
      <c r="H87" s="15"/>
      <c r="I87" s="15"/>
      <c r="J87" s="15"/>
      <c r="K87" s="16"/>
      <c r="L87" s="17"/>
      <c r="M87" s="17"/>
      <c r="N87" s="17"/>
      <c r="O87" s="17"/>
      <c r="P87" s="5"/>
      <c r="Q87" s="5"/>
      <c r="R87" s="5"/>
      <c r="S87" s="40">
        <f t="shared" si="31"/>
        <v>0</v>
      </c>
      <c r="T87" s="40">
        <f t="shared" si="32"/>
        <v>0</v>
      </c>
      <c r="U87" s="40">
        <f t="shared" si="33"/>
        <v>1</v>
      </c>
      <c r="V87" s="40">
        <f t="shared" si="34"/>
        <v>0</v>
      </c>
      <c r="W87" s="40">
        <f t="shared" si="35"/>
        <v>0</v>
      </c>
      <c r="X87" s="40">
        <f t="shared" si="36"/>
        <v>0</v>
      </c>
      <c r="Y87" s="40">
        <f t="shared" si="37"/>
        <v>0</v>
      </c>
      <c r="Z87" s="40">
        <f t="shared" si="38"/>
        <v>0</v>
      </c>
      <c r="AA87" s="40">
        <f t="shared" si="39"/>
        <v>0</v>
      </c>
      <c r="AB87" s="40">
        <f t="shared" si="40"/>
        <v>0</v>
      </c>
      <c r="AC87" s="40">
        <f t="shared" si="41"/>
        <v>0</v>
      </c>
      <c r="AD87" s="40">
        <f t="shared" si="42"/>
        <v>0</v>
      </c>
      <c r="AE87" s="40">
        <f t="shared" si="43"/>
        <v>0</v>
      </c>
      <c r="AF87" s="40">
        <f t="shared" si="44"/>
        <v>1</v>
      </c>
      <c r="AG87" s="40">
        <f t="shared" si="45"/>
        <v>0</v>
      </c>
      <c r="AH87" s="40">
        <f t="shared" si="46"/>
        <v>0</v>
      </c>
      <c r="AI87" s="40">
        <f t="shared" si="47"/>
        <v>0</v>
      </c>
      <c r="AJ87" s="40">
        <f t="shared" si="48"/>
        <v>0</v>
      </c>
      <c r="AK87" s="40">
        <f t="shared" si="49"/>
        <v>0</v>
      </c>
      <c r="AL87" s="40">
        <f t="shared" si="50"/>
        <v>1</v>
      </c>
      <c r="AM87" s="40">
        <f t="shared" si="51"/>
        <v>0</v>
      </c>
      <c r="AN87" s="40">
        <f t="shared" si="52"/>
        <v>0</v>
      </c>
      <c r="AO87" s="40">
        <f t="shared" si="53"/>
        <v>0</v>
      </c>
      <c r="AP87" s="40">
        <f t="shared" si="54"/>
        <v>0</v>
      </c>
      <c r="AQ87" s="40">
        <f t="shared" si="55"/>
        <v>0</v>
      </c>
      <c r="AR87" s="40">
        <f t="shared" si="56"/>
        <v>0</v>
      </c>
      <c r="AS87" s="40">
        <f t="shared" si="57"/>
        <v>0</v>
      </c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</row>
    <row r="88" spans="2:110" s="2" customFormat="1" ht="14.4" customHeight="1" x14ac:dyDescent="0.25">
      <c r="B88" s="56" t="s">
        <v>20</v>
      </c>
      <c r="C88" s="57" t="s">
        <v>26</v>
      </c>
      <c r="D88" s="58" t="s">
        <v>24</v>
      </c>
      <c r="E88" s="62">
        <v>7.0200000000000028E-3</v>
      </c>
      <c r="F88" s="65">
        <f t="shared" si="58"/>
        <v>-4.9589920609444169</v>
      </c>
      <c r="G88" s="15"/>
      <c r="H88" s="15"/>
      <c r="I88" s="15"/>
      <c r="J88" s="15"/>
      <c r="K88" s="16"/>
      <c r="L88" s="17"/>
      <c r="M88" s="17"/>
      <c r="N88" s="17"/>
      <c r="O88" s="17"/>
      <c r="P88" s="5"/>
      <c r="Q88" s="5"/>
      <c r="R88" s="5"/>
      <c r="S88" s="40">
        <f t="shared" si="31"/>
        <v>0</v>
      </c>
      <c r="T88" s="40">
        <f t="shared" si="32"/>
        <v>0</v>
      </c>
      <c r="U88" s="40">
        <f t="shared" si="33"/>
        <v>1</v>
      </c>
      <c r="V88" s="40">
        <f t="shared" si="34"/>
        <v>0</v>
      </c>
      <c r="W88" s="40">
        <f t="shared" si="35"/>
        <v>0</v>
      </c>
      <c r="X88" s="40">
        <f t="shared" si="36"/>
        <v>0</v>
      </c>
      <c r="Y88" s="40">
        <f t="shared" si="37"/>
        <v>0</v>
      </c>
      <c r="Z88" s="40">
        <f t="shared" si="38"/>
        <v>0</v>
      </c>
      <c r="AA88" s="40">
        <f t="shared" si="39"/>
        <v>0</v>
      </c>
      <c r="AB88" s="40">
        <f t="shared" si="40"/>
        <v>0</v>
      </c>
      <c r="AC88" s="40">
        <f t="shared" si="41"/>
        <v>0</v>
      </c>
      <c r="AD88" s="40">
        <f t="shared" si="42"/>
        <v>0</v>
      </c>
      <c r="AE88" s="40">
        <f t="shared" si="43"/>
        <v>0</v>
      </c>
      <c r="AF88" s="40">
        <f t="shared" si="44"/>
        <v>1</v>
      </c>
      <c r="AG88" s="40">
        <f t="shared" si="45"/>
        <v>0</v>
      </c>
      <c r="AH88" s="40">
        <f t="shared" si="46"/>
        <v>0</v>
      </c>
      <c r="AI88" s="40">
        <f t="shared" si="47"/>
        <v>0</v>
      </c>
      <c r="AJ88" s="40">
        <f t="shared" si="48"/>
        <v>0</v>
      </c>
      <c r="AK88" s="40">
        <f t="shared" si="49"/>
        <v>0</v>
      </c>
      <c r="AL88" s="40">
        <f t="shared" si="50"/>
        <v>0</v>
      </c>
      <c r="AM88" s="40">
        <f t="shared" si="51"/>
        <v>0</v>
      </c>
      <c r="AN88" s="40">
        <f t="shared" si="52"/>
        <v>0</v>
      </c>
      <c r="AO88" s="40">
        <f t="shared" si="53"/>
        <v>0</v>
      </c>
      <c r="AP88" s="40">
        <f t="shared" si="54"/>
        <v>0</v>
      </c>
      <c r="AQ88" s="40">
        <f t="shared" si="55"/>
        <v>0</v>
      </c>
      <c r="AR88" s="40">
        <f t="shared" si="56"/>
        <v>0</v>
      </c>
      <c r="AS88" s="40">
        <f t="shared" si="57"/>
        <v>1</v>
      </c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</row>
    <row r="89" spans="2:110" s="2" customFormat="1" ht="14.4" customHeight="1" x14ac:dyDescent="0.25">
      <c r="B89" s="56" t="s">
        <v>20</v>
      </c>
      <c r="C89" s="57" t="s">
        <v>26</v>
      </c>
      <c r="D89" s="58" t="s">
        <v>22</v>
      </c>
      <c r="E89" s="62">
        <v>3.8300000000000014E-3</v>
      </c>
      <c r="F89" s="65">
        <f t="shared" si="58"/>
        <v>-5.5648904757895821</v>
      </c>
      <c r="G89" s="15"/>
      <c r="H89" s="15"/>
      <c r="I89" s="15"/>
      <c r="J89" s="15"/>
      <c r="K89" s="16"/>
      <c r="L89" s="17"/>
      <c r="M89" s="17"/>
      <c r="N89" s="17"/>
      <c r="O89" s="17"/>
      <c r="P89" s="5"/>
      <c r="Q89" s="5"/>
      <c r="R89" s="5"/>
      <c r="S89" s="40">
        <f t="shared" si="31"/>
        <v>0</v>
      </c>
      <c r="T89" s="40">
        <f t="shared" si="32"/>
        <v>0</v>
      </c>
      <c r="U89" s="40">
        <f t="shared" si="33"/>
        <v>1</v>
      </c>
      <c r="V89" s="40">
        <f t="shared" si="34"/>
        <v>0</v>
      </c>
      <c r="W89" s="40">
        <f t="shared" si="35"/>
        <v>0</v>
      </c>
      <c r="X89" s="40">
        <f t="shared" si="36"/>
        <v>0</v>
      </c>
      <c r="Y89" s="40">
        <f t="shared" si="37"/>
        <v>0</v>
      </c>
      <c r="Z89" s="40">
        <f t="shared" si="38"/>
        <v>0</v>
      </c>
      <c r="AA89" s="40">
        <f t="shared" si="39"/>
        <v>0</v>
      </c>
      <c r="AB89" s="40">
        <f t="shared" si="40"/>
        <v>1</v>
      </c>
      <c r="AC89" s="40">
        <f t="shared" si="41"/>
        <v>0</v>
      </c>
      <c r="AD89" s="40">
        <f t="shared" si="42"/>
        <v>0</v>
      </c>
      <c r="AE89" s="40">
        <f t="shared" si="43"/>
        <v>0</v>
      </c>
      <c r="AF89" s="40">
        <f t="shared" si="44"/>
        <v>0</v>
      </c>
      <c r="AG89" s="40">
        <f t="shared" si="45"/>
        <v>0</v>
      </c>
      <c r="AH89" s="40">
        <f t="shared" si="46"/>
        <v>0</v>
      </c>
      <c r="AI89" s="40">
        <f t="shared" si="47"/>
        <v>1</v>
      </c>
      <c r="AJ89" s="40">
        <f t="shared" si="48"/>
        <v>0</v>
      </c>
      <c r="AK89" s="40">
        <f t="shared" si="49"/>
        <v>0</v>
      </c>
      <c r="AL89" s="40">
        <f t="shared" si="50"/>
        <v>0</v>
      </c>
      <c r="AM89" s="40">
        <f t="shared" si="51"/>
        <v>0</v>
      </c>
      <c r="AN89" s="40">
        <f t="shared" si="52"/>
        <v>0</v>
      </c>
      <c r="AO89" s="40">
        <f t="shared" si="53"/>
        <v>0</v>
      </c>
      <c r="AP89" s="40">
        <f t="shared" si="54"/>
        <v>0</v>
      </c>
      <c r="AQ89" s="40">
        <f t="shared" si="55"/>
        <v>0</v>
      </c>
      <c r="AR89" s="40">
        <f t="shared" si="56"/>
        <v>0</v>
      </c>
      <c r="AS89" s="40">
        <f t="shared" si="57"/>
        <v>0</v>
      </c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</row>
    <row r="90" spans="2:110" s="2" customFormat="1" ht="14.4" customHeight="1" x14ac:dyDescent="0.25">
      <c r="B90" s="56" t="s">
        <v>20</v>
      </c>
      <c r="C90" s="57" t="s">
        <v>25</v>
      </c>
      <c r="D90" s="58" t="s">
        <v>28</v>
      </c>
      <c r="E90" s="62">
        <v>2.1899999999999997E-3</v>
      </c>
      <c r="F90" s="65">
        <f t="shared" si="58"/>
        <v>-6.1238537351537277</v>
      </c>
      <c r="G90" s="15"/>
      <c r="H90" s="15"/>
      <c r="I90" s="15"/>
      <c r="J90" s="15"/>
      <c r="K90" s="16"/>
      <c r="L90" s="17"/>
      <c r="M90" s="17"/>
      <c r="N90" s="17"/>
      <c r="O90" s="17"/>
      <c r="P90" s="5"/>
      <c r="Q90" s="5"/>
      <c r="R90" s="5"/>
      <c r="S90" s="40">
        <f t="shared" si="31"/>
        <v>0</v>
      </c>
      <c r="T90" s="40">
        <f t="shared" si="32"/>
        <v>0</v>
      </c>
      <c r="U90" s="40">
        <f t="shared" si="33"/>
        <v>1</v>
      </c>
      <c r="V90" s="40">
        <f t="shared" si="34"/>
        <v>0</v>
      </c>
      <c r="W90" s="40">
        <f t="shared" si="35"/>
        <v>0</v>
      </c>
      <c r="X90" s="40">
        <f t="shared" si="36"/>
        <v>0</v>
      </c>
      <c r="Y90" s="40">
        <f t="shared" si="37"/>
        <v>0</v>
      </c>
      <c r="Z90" s="40">
        <f t="shared" si="38"/>
        <v>0</v>
      </c>
      <c r="AA90" s="40">
        <f t="shared" si="39"/>
        <v>0</v>
      </c>
      <c r="AB90" s="40">
        <f t="shared" si="40"/>
        <v>0</v>
      </c>
      <c r="AC90" s="40">
        <f t="shared" si="41"/>
        <v>0</v>
      </c>
      <c r="AD90" s="40">
        <f t="shared" si="42"/>
        <v>0</v>
      </c>
      <c r="AE90" s="40">
        <f t="shared" si="43"/>
        <v>0</v>
      </c>
      <c r="AF90" s="40">
        <f t="shared" si="44"/>
        <v>1</v>
      </c>
      <c r="AG90" s="40">
        <f t="shared" si="45"/>
        <v>0</v>
      </c>
      <c r="AH90" s="40">
        <f t="shared" si="46"/>
        <v>0</v>
      </c>
      <c r="AI90" s="40">
        <f t="shared" si="47"/>
        <v>1</v>
      </c>
      <c r="AJ90" s="40">
        <f t="shared" si="48"/>
        <v>0</v>
      </c>
      <c r="AK90" s="40">
        <f t="shared" si="49"/>
        <v>0</v>
      </c>
      <c r="AL90" s="40">
        <f t="shared" si="50"/>
        <v>0</v>
      </c>
      <c r="AM90" s="40">
        <f t="shared" si="51"/>
        <v>0</v>
      </c>
      <c r="AN90" s="40">
        <f t="shared" si="52"/>
        <v>0</v>
      </c>
      <c r="AO90" s="40">
        <f t="shared" si="53"/>
        <v>0</v>
      </c>
      <c r="AP90" s="40">
        <f t="shared" si="54"/>
        <v>0</v>
      </c>
      <c r="AQ90" s="40">
        <f t="shared" si="55"/>
        <v>0</v>
      </c>
      <c r="AR90" s="40">
        <f t="shared" si="56"/>
        <v>0</v>
      </c>
      <c r="AS90" s="40">
        <f t="shared" si="57"/>
        <v>0</v>
      </c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</row>
    <row r="91" spans="2:110" s="2" customFormat="1" ht="14.4" customHeight="1" x14ac:dyDescent="0.25">
      <c r="B91" s="56" t="s">
        <v>20</v>
      </c>
      <c r="C91" s="57" t="s">
        <v>26</v>
      </c>
      <c r="D91" s="58" t="s">
        <v>28</v>
      </c>
      <c r="E91" s="62">
        <v>5.0399999999999993E-3</v>
      </c>
      <c r="F91" s="65">
        <f t="shared" si="58"/>
        <v>-5.2903491968988599</v>
      </c>
      <c r="G91" s="15"/>
      <c r="H91" s="15"/>
      <c r="I91" s="15"/>
      <c r="J91" s="15"/>
      <c r="K91" s="16"/>
      <c r="L91" s="17"/>
      <c r="M91" s="17"/>
      <c r="N91" s="17"/>
      <c r="O91" s="17"/>
      <c r="P91" s="5"/>
      <c r="Q91" s="5"/>
      <c r="R91" s="5"/>
      <c r="S91" s="40">
        <f t="shared" si="31"/>
        <v>0</v>
      </c>
      <c r="T91" s="40">
        <f t="shared" si="32"/>
        <v>0</v>
      </c>
      <c r="U91" s="40">
        <f t="shared" si="33"/>
        <v>1</v>
      </c>
      <c r="V91" s="40">
        <f t="shared" si="34"/>
        <v>0</v>
      </c>
      <c r="W91" s="40">
        <f t="shared" si="35"/>
        <v>0</v>
      </c>
      <c r="X91" s="40">
        <f t="shared" si="36"/>
        <v>0</v>
      </c>
      <c r="Y91" s="40">
        <f t="shared" si="37"/>
        <v>0</v>
      </c>
      <c r="Z91" s="40">
        <f t="shared" si="38"/>
        <v>0</v>
      </c>
      <c r="AA91" s="40">
        <f t="shared" si="39"/>
        <v>0</v>
      </c>
      <c r="AB91" s="40">
        <f t="shared" si="40"/>
        <v>0</v>
      </c>
      <c r="AC91" s="40">
        <f t="shared" si="41"/>
        <v>0</v>
      </c>
      <c r="AD91" s="40">
        <f t="shared" si="42"/>
        <v>0</v>
      </c>
      <c r="AE91" s="40">
        <f t="shared" si="43"/>
        <v>0</v>
      </c>
      <c r="AF91" s="40">
        <f t="shared" si="44"/>
        <v>1</v>
      </c>
      <c r="AG91" s="40">
        <f t="shared" si="45"/>
        <v>0</v>
      </c>
      <c r="AH91" s="40">
        <f t="shared" si="46"/>
        <v>0</v>
      </c>
      <c r="AI91" s="40">
        <f t="shared" si="47"/>
        <v>0</v>
      </c>
      <c r="AJ91" s="40">
        <f t="shared" si="48"/>
        <v>1</v>
      </c>
      <c r="AK91" s="40">
        <f t="shared" si="49"/>
        <v>0</v>
      </c>
      <c r="AL91" s="40">
        <f t="shared" si="50"/>
        <v>0</v>
      </c>
      <c r="AM91" s="40">
        <f t="shared" si="51"/>
        <v>0</v>
      </c>
      <c r="AN91" s="40">
        <f t="shared" si="52"/>
        <v>0</v>
      </c>
      <c r="AO91" s="40">
        <f t="shared" si="53"/>
        <v>0</v>
      </c>
      <c r="AP91" s="40">
        <f t="shared" si="54"/>
        <v>0</v>
      </c>
      <c r="AQ91" s="40">
        <f t="shared" si="55"/>
        <v>0</v>
      </c>
      <c r="AR91" s="40">
        <f t="shared" si="56"/>
        <v>0</v>
      </c>
      <c r="AS91" s="40">
        <f t="shared" si="57"/>
        <v>0</v>
      </c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</row>
    <row r="92" spans="2:110" s="2" customFormat="1" ht="14.4" customHeight="1" x14ac:dyDescent="0.25">
      <c r="B92" s="56" t="s">
        <v>20</v>
      </c>
      <c r="C92" s="57" t="s">
        <v>26</v>
      </c>
      <c r="D92" s="58" t="s">
        <v>37</v>
      </c>
      <c r="E92" s="62">
        <v>2.4899999999999987E-3</v>
      </c>
      <c r="F92" s="65">
        <f t="shared" si="58"/>
        <v>-5.9954725685055212</v>
      </c>
      <c r="G92" s="15"/>
      <c r="H92" s="15"/>
      <c r="I92" s="15"/>
      <c r="J92" s="15"/>
      <c r="K92" s="16"/>
      <c r="L92" s="17"/>
      <c r="M92" s="17"/>
      <c r="N92" s="17"/>
      <c r="O92" s="17"/>
      <c r="P92" s="5"/>
      <c r="Q92" s="5"/>
      <c r="R92" s="5"/>
      <c r="S92" s="40">
        <f t="shared" si="31"/>
        <v>0</v>
      </c>
      <c r="T92" s="40">
        <f t="shared" si="32"/>
        <v>0</v>
      </c>
      <c r="U92" s="40">
        <f t="shared" si="33"/>
        <v>1</v>
      </c>
      <c r="V92" s="40">
        <f t="shared" si="34"/>
        <v>0</v>
      </c>
      <c r="W92" s="40">
        <f t="shared" si="35"/>
        <v>0</v>
      </c>
      <c r="X92" s="40">
        <f t="shared" si="36"/>
        <v>0</v>
      </c>
      <c r="Y92" s="40">
        <f t="shared" si="37"/>
        <v>0</v>
      </c>
      <c r="Z92" s="40">
        <f t="shared" si="38"/>
        <v>0</v>
      </c>
      <c r="AA92" s="40">
        <f t="shared" si="39"/>
        <v>0</v>
      </c>
      <c r="AB92" s="40">
        <f t="shared" si="40"/>
        <v>0</v>
      </c>
      <c r="AC92" s="40">
        <f t="shared" si="41"/>
        <v>1</v>
      </c>
      <c r="AD92" s="40">
        <f t="shared" si="42"/>
        <v>0</v>
      </c>
      <c r="AE92" s="40">
        <f t="shared" si="43"/>
        <v>0</v>
      </c>
      <c r="AF92" s="40">
        <f t="shared" si="44"/>
        <v>0</v>
      </c>
      <c r="AG92" s="40">
        <f t="shared" si="45"/>
        <v>0</v>
      </c>
      <c r="AH92" s="40">
        <f t="shared" si="46"/>
        <v>0</v>
      </c>
      <c r="AI92" s="40">
        <f t="shared" si="47"/>
        <v>1</v>
      </c>
      <c r="AJ92" s="40">
        <f t="shared" si="48"/>
        <v>0</v>
      </c>
      <c r="AK92" s="40">
        <f t="shared" si="49"/>
        <v>0</v>
      </c>
      <c r="AL92" s="40">
        <f t="shared" si="50"/>
        <v>0</v>
      </c>
      <c r="AM92" s="40">
        <f t="shared" si="51"/>
        <v>0</v>
      </c>
      <c r="AN92" s="40">
        <f t="shared" si="52"/>
        <v>0</v>
      </c>
      <c r="AO92" s="40">
        <f t="shared" si="53"/>
        <v>0</v>
      </c>
      <c r="AP92" s="40">
        <f t="shared" si="54"/>
        <v>0</v>
      </c>
      <c r="AQ92" s="40">
        <f t="shared" si="55"/>
        <v>0</v>
      </c>
      <c r="AR92" s="40">
        <f t="shared" si="56"/>
        <v>0</v>
      </c>
      <c r="AS92" s="40">
        <f t="shared" si="57"/>
        <v>0</v>
      </c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</row>
    <row r="93" spans="2:110" s="2" customFormat="1" ht="14.4" customHeight="1" x14ac:dyDescent="0.25">
      <c r="B93" s="56" t="s">
        <v>20</v>
      </c>
      <c r="C93" s="57" t="s">
        <v>23</v>
      </c>
      <c r="D93" s="58" t="s">
        <v>28</v>
      </c>
      <c r="E93" s="62">
        <v>2.9900000000000009E-3</v>
      </c>
      <c r="F93" s="65">
        <f t="shared" si="58"/>
        <v>-5.8124818915795418</v>
      </c>
      <c r="G93" s="15"/>
      <c r="H93" s="15"/>
      <c r="I93" s="15"/>
      <c r="J93" s="15"/>
      <c r="K93" s="16"/>
      <c r="L93" s="17"/>
      <c r="M93" s="17"/>
      <c r="N93" s="17"/>
      <c r="O93" s="17"/>
      <c r="P93" s="5"/>
      <c r="Q93" s="5"/>
      <c r="R93" s="5"/>
      <c r="S93" s="40">
        <f t="shared" si="31"/>
        <v>0</v>
      </c>
      <c r="T93" s="40">
        <f t="shared" si="32"/>
        <v>0</v>
      </c>
      <c r="U93" s="40">
        <f t="shared" si="33"/>
        <v>1</v>
      </c>
      <c r="V93" s="40">
        <f t="shared" si="34"/>
        <v>0</v>
      </c>
      <c r="W93" s="40">
        <f t="shared" si="35"/>
        <v>0</v>
      </c>
      <c r="X93" s="40">
        <f t="shared" si="36"/>
        <v>0</v>
      </c>
      <c r="Y93" s="40">
        <f t="shared" si="37"/>
        <v>0</v>
      </c>
      <c r="Z93" s="40">
        <f t="shared" si="38"/>
        <v>0</v>
      </c>
      <c r="AA93" s="40">
        <f t="shared" si="39"/>
        <v>0</v>
      </c>
      <c r="AB93" s="40">
        <f t="shared" si="40"/>
        <v>0</v>
      </c>
      <c r="AC93" s="40">
        <f t="shared" si="41"/>
        <v>0</v>
      </c>
      <c r="AD93" s="40">
        <f t="shared" si="42"/>
        <v>0</v>
      </c>
      <c r="AE93" s="40">
        <f t="shared" si="43"/>
        <v>0</v>
      </c>
      <c r="AF93" s="40">
        <f t="shared" si="44"/>
        <v>1</v>
      </c>
      <c r="AG93" s="40">
        <f t="shared" si="45"/>
        <v>0</v>
      </c>
      <c r="AH93" s="40">
        <f t="shared" si="46"/>
        <v>0</v>
      </c>
      <c r="AI93" s="40">
        <f t="shared" si="47"/>
        <v>0</v>
      </c>
      <c r="AJ93" s="40">
        <f t="shared" si="48"/>
        <v>0</v>
      </c>
      <c r="AK93" s="40">
        <f t="shared" si="49"/>
        <v>0</v>
      </c>
      <c r="AL93" s="40">
        <f t="shared" si="50"/>
        <v>0</v>
      </c>
      <c r="AM93" s="40">
        <f t="shared" si="51"/>
        <v>0</v>
      </c>
      <c r="AN93" s="40">
        <f t="shared" si="52"/>
        <v>0</v>
      </c>
      <c r="AO93" s="40">
        <f t="shared" si="53"/>
        <v>1</v>
      </c>
      <c r="AP93" s="40">
        <f t="shared" si="54"/>
        <v>0</v>
      </c>
      <c r="AQ93" s="40">
        <f t="shared" si="55"/>
        <v>0</v>
      </c>
      <c r="AR93" s="40">
        <f t="shared" si="56"/>
        <v>0</v>
      </c>
      <c r="AS93" s="40">
        <f t="shared" si="57"/>
        <v>0</v>
      </c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</row>
    <row r="94" spans="2:110" s="2" customFormat="1" ht="14.4" customHeight="1" x14ac:dyDescent="0.25">
      <c r="B94" s="56" t="s">
        <v>20</v>
      </c>
      <c r="C94" s="57" t="s">
        <v>26</v>
      </c>
      <c r="D94" s="58" t="s">
        <v>31</v>
      </c>
      <c r="E94" s="62">
        <v>2.4400000000000003E-3</v>
      </c>
      <c r="F94" s="65">
        <f t="shared" si="58"/>
        <v>-6.0157572396770265</v>
      </c>
      <c r="G94" s="15"/>
      <c r="H94" s="15"/>
      <c r="I94" s="15"/>
      <c r="J94" s="15"/>
      <c r="K94" s="16"/>
      <c r="L94" s="17"/>
      <c r="M94" s="17"/>
      <c r="N94" s="17"/>
      <c r="O94" s="17"/>
      <c r="P94" s="5"/>
      <c r="Q94" s="5"/>
      <c r="R94" s="5"/>
      <c r="S94" s="40">
        <f t="shared" si="31"/>
        <v>0</v>
      </c>
      <c r="T94" s="40">
        <f t="shared" si="32"/>
        <v>0</v>
      </c>
      <c r="U94" s="40">
        <f t="shared" si="33"/>
        <v>1</v>
      </c>
      <c r="V94" s="40">
        <f t="shared" si="34"/>
        <v>0</v>
      </c>
      <c r="W94" s="40">
        <f t="shared" si="35"/>
        <v>0</v>
      </c>
      <c r="X94" s="40">
        <f t="shared" si="36"/>
        <v>0</v>
      </c>
      <c r="Y94" s="40">
        <f t="shared" si="37"/>
        <v>0</v>
      </c>
      <c r="Z94" s="40">
        <f t="shared" si="38"/>
        <v>1</v>
      </c>
      <c r="AA94" s="40">
        <f t="shared" si="39"/>
        <v>0</v>
      </c>
      <c r="AB94" s="40">
        <f t="shared" si="40"/>
        <v>0</v>
      </c>
      <c r="AC94" s="40">
        <f t="shared" si="41"/>
        <v>0</v>
      </c>
      <c r="AD94" s="40">
        <f t="shared" si="42"/>
        <v>0</v>
      </c>
      <c r="AE94" s="40">
        <f t="shared" si="43"/>
        <v>0</v>
      </c>
      <c r="AF94" s="40">
        <f t="shared" si="44"/>
        <v>0</v>
      </c>
      <c r="AG94" s="40">
        <f t="shared" si="45"/>
        <v>0</v>
      </c>
      <c r="AH94" s="40">
        <f t="shared" si="46"/>
        <v>0</v>
      </c>
      <c r="AI94" s="40">
        <f t="shared" si="47"/>
        <v>0</v>
      </c>
      <c r="AJ94" s="40">
        <f t="shared" si="48"/>
        <v>0</v>
      </c>
      <c r="AK94" s="40">
        <f t="shared" si="49"/>
        <v>0</v>
      </c>
      <c r="AL94" s="40">
        <f t="shared" si="50"/>
        <v>1</v>
      </c>
      <c r="AM94" s="40">
        <f t="shared" si="51"/>
        <v>0</v>
      </c>
      <c r="AN94" s="40">
        <f t="shared" si="52"/>
        <v>0</v>
      </c>
      <c r="AO94" s="40">
        <f t="shared" si="53"/>
        <v>0</v>
      </c>
      <c r="AP94" s="40">
        <f t="shared" si="54"/>
        <v>0</v>
      </c>
      <c r="AQ94" s="40">
        <f t="shared" si="55"/>
        <v>0</v>
      </c>
      <c r="AR94" s="40">
        <f t="shared" si="56"/>
        <v>0</v>
      </c>
      <c r="AS94" s="40">
        <f t="shared" si="57"/>
        <v>0</v>
      </c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</row>
    <row r="95" spans="2:110" s="2" customFormat="1" ht="14.4" customHeight="1" x14ac:dyDescent="0.25">
      <c r="B95" s="56" t="s">
        <v>20</v>
      </c>
      <c r="C95" s="57" t="s">
        <v>36</v>
      </c>
      <c r="D95" s="58" t="s">
        <v>24</v>
      </c>
      <c r="E95" s="62">
        <v>7.4600000000000022E-3</v>
      </c>
      <c r="F95" s="65">
        <f t="shared" si="58"/>
        <v>-4.8981998647664673</v>
      </c>
      <c r="G95" s="15"/>
      <c r="H95" s="15"/>
      <c r="I95" s="15"/>
      <c r="J95" s="15"/>
      <c r="K95" s="16"/>
      <c r="L95" s="17"/>
      <c r="M95" s="17"/>
      <c r="N95" s="17"/>
      <c r="O95" s="17"/>
      <c r="P95" s="5"/>
      <c r="Q95" s="5"/>
      <c r="R95" s="5"/>
      <c r="S95" s="40">
        <f t="shared" si="31"/>
        <v>0</v>
      </c>
      <c r="T95" s="40">
        <f t="shared" si="32"/>
        <v>0</v>
      </c>
      <c r="U95" s="40">
        <f t="shared" si="33"/>
        <v>1</v>
      </c>
      <c r="V95" s="40">
        <f t="shared" si="34"/>
        <v>0</v>
      </c>
      <c r="W95" s="40">
        <f t="shared" si="35"/>
        <v>0</v>
      </c>
      <c r="X95" s="40">
        <f t="shared" si="36"/>
        <v>0</v>
      </c>
      <c r="Y95" s="40">
        <f t="shared" si="37"/>
        <v>0</v>
      </c>
      <c r="Z95" s="40">
        <f t="shared" si="38"/>
        <v>1</v>
      </c>
      <c r="AA95" s="40">
        <f t="shared" si="39"/>
        <v>0</v>
      </c>
      <c r="AB95" s="40">
        <f t="shared" si="40"/>
        <v>0</v>
      </c>
      <c r="AC95" s="40">
        <f t="shared" si="41"/>
        <v>0</v>
      </c>
      <c r="AD95" s="40">
        <f t="shared" si="42"/>
        <v>0</v>
      </c>
      <c r="AE95" s="40">
        <f t="shared" si="43"/>
        <v>0</v>
      </c>
      <c r="AF95" s="40">
        <f t="shared" si="44"/>
        <v>0</v>
      </c>
      <c r="AG95" s="40">
        <f t="shared" si="45"/>
        <v>0</v>
      </c>
      <c r="AH95" s="40">
        <f t="shared" si="46"/>
        <v>0</v>
      </c>
      <c r="AI95" s="40">
        <f t="shared" si="47"/>
        <v>0</v>
      </c>
      <c r="AJ95" s="40">
        <f t="shared" si="48"/>
        <v>1</v>
      </c>
      <c r="AK95" s="40">
        <f t="shared" si="49"/>
        <v>0</v>
      </c>
      <c r="AL95" s="40">
        <f t="shared" si="50"/>
        <v>0</v>
      </c>
      <c r="AM95" s="40">
        <f t="shared" si="51"/>
        <v>0</v>
      </c>
      <c r="AN95" s="40">
        <f t="shared" si="52"/>
        <v>0</v>
      </c>
      <c r="AO95" s="40">
        <f t="shared" si="53"/>
        <v>0</v>
      </c>
      <c r="AP95" s="40">
        <f t="shared" si="54"/>
        <v>0</v>
      </c>
      <c r="AQ95" s="40">
        <f t="shared" si="55"/>
        <v>0</v>
      </c>
      <c r="AR95" s="40">
        <f t="shared" si="56"/>
        <v>0</v>
      </c>
      <c r="AS95" s="40">
        <f t="shared" si="57"/>
        <v>0</v>
      </c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</row>
    <row r="96" spans="2:110" s="2" customFormat="1" ht="14.4" customHeight="1" x14ac:dyDescent="0.25">
      <c r="B96" s="56" t="s">
        <v>20</v>
      </c>
      <c r="C96" s="57" t="s">
        <v>36</v>
      </c>
      <c r="D96" s="58" t="s">
        <v>37</v>
      </c>
      <c r="E96" s="62">
        <v>6.779999999999997E-3</v>
      </c>
      <c r="F96" s="65">
        <f t="shared" si="58"/>
        <v>-4.9937781770298333</v>
      </c>
      <c r="G96" s="15"/>
      <c r="H96" s="15"/>
      <c r="I96" s="15"/>
      <c r="J96" s="15"/>
      <c r="K96" s="16"/>
      <c r="L96" s="17"/>
      <c r="M96" s="17"/>
      <c r="N96" s="17"/>
      <c r="O96" s="17"/>
      <c r="P96" s="5"/>
      <c r="Q96" s="5"/>
      <c r="R96" s="5"/>
      <c r="S96" s="40">
        <f t="shared" si="31"/>
        <v>0</v>
      </c>
      <c r="T96" s="40">
        <f t="shared" si="32"/>
        <v>0</v>
      </c>
      <c r="U96" s="40">
        <f t="shared" si="33"/>
        <v>1</v>
      </c>
      <c r="V96" s="40">
        <f t="shared" si="34"/>
        <v>0</v>
      </c>
      <c r="W96" s="40">
        <f t="shared" si="35"/>
        <v>0</v>
      </c>
      <c r="X96" s="40">
        <f t="shared" si="36"/>
        <v>0</v>
      </c>
      <c r="Y96" s="40">
        <f t="shared" si="37"/>
        <v>0</v>
      </c>
      <c r="Z96" s="40">
        <f t="shared" si="38"/>
        <v>1</v>
      </c>
      <c r="AA96" s="40">
        <f t="shared" si="39"/>
        <v>0</v>
      </c>
      <c r="AB96" s="40">
        <f t="shared" si="40"/>
        <v>0</v>
      </c>
      <c r="AC96" s="40">
        <f t="shared" si="41"/>
        <v>0</v>
      </c>
      <c r="AD96" s="40">
        <f t="shared" si="42"/>
        <v>0</v>
      </c>
      <c r="AE96" s="40">
        <f t="shared" si="43"/>
        <v>0</v>
      </c>
      <c r="AF96" s="40">
        <f t="shared" si="44"/>
        <v>0</v>
      </c>
      <c r="AG96" s="40">
        <f t="shared" si="45"/>
        <v>0</v>
      </c>
      <c r="AH96" s="40">
        <f t="shared" si="46"/>
        <v>0</v>
      </c>
      <c r="AI96" s="40">
        <f t="shared" si="47"/>
        <v>0</v>
      </c>
      <c r="AJ96" s="40">
        <f t="shared" si="48"/>
        <v>0</v>
      </c>
      <c r="AK96" s="40">
        <f t="shared" si="49"/>
        <v>0</v>
      </c>
      <c r="AL96" s="40">
        <f t="shared" si="50"/>
        <v>1</v>
      </c>
      <c r="AM96" s="40">
        <f t="shared" si="51"/>
        <v>0</v>
      </c>
      <c r="AN96" s="40">
        <f t="shared" si="52"/>
        <v>0</v>
      </c>
      <c r="AO96" s="40">
        <f t="shared" si="53"/>
        <v>0</v>
      </c>
      <c r="AP96" s="40">
        <f t="shared" si="54"/>
        <v>0</v>
      </c>
      <c r="AQ96" s="40">
        <f t="shared" si="55"/>
        <v>0</v>
      </c>
      <c r="AR96" s="40">
        <f t="shared" si="56"/>
        <v>0</v>
      </c>
      <c r="AS96" s="40">
        <f t="shared" si="57"/>
        <v>0</v>
      </c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</row>
    <row r="97" spans="2:110" s="2" customFormat="1" ht="14.4" customHeight="1" x14ac:dyDescent="0.25">
      <c r="B97" s="56" t="s">
        <v>20</v>
      </c>
      <c r="C97" s="57" t="s">
        <v>36</v>
      </c>
      <c r="D97" s="58" t="s">
        <v>24</v>
      </c>
      <c r="E97" s="62">
        <v>7.9899999999999971E-3</v>
      </c>
      <c r="F97" s="65">
        <f t="shared" si="58"/>
        <v>-4.829564519203954</v>
      </c>
      <c r="G97" s="15"/>
      <c r="H97" s="15"/>
      <c r="I97" s="15"/>
      <c r="J97" s="15"/>
      <c r="K97" s="16"/>
      <c r="L97" s="17"/>
      <c r="M97" s="17"/>
      <c r="N97" s="17"/>
      <c r="O97" s="17"/>
      <c r="P97" s="5"/>
      <c r="Q97" s="5"/>
      <c r="R97" s="5"/>
      <c r="S97" s="40">
        <f t="shared" si="31"/>
        <v>0</v>
      </c>
      <c r="T97" s="40">
        <f t="shared" si="32"/>
        <v>0</v>
      </c>
      <c r="U97" s="40">
        <f t="shared" si="33"/>
        <v>1</v>
      </c>
      <c r="V97" s="40">
        <f t="shared" si="34"/>
        <v>0</v>
      </c>
      <c r="W97" s="40">
        <f t="shared" si="35"/>
        <v>0</v>
      </c>
      <c r="X97" s="40">
        <f t="shared" si="36"/>
        <v>0</v>
      </c>
      <c r="Y97" s="40">
        <f t="shared" si="37"/>
        <v>0</v>
      </c>
      <c r="Z97" s="40">
        <f t="shared" si="38"/>
        <v>0</v>
      </c>
      <c r="AA97" s="40">
        <f t="shared" si="39"/>
        <v>0</v>
      </c>
      <c r="AB97" s="40">
        <f t="shared" si="40"/>
        <v>1</v>
      </c>
      <c r="AC97" s="40">
        <f t="shared" si="41"/>
        <v>0</v>
      </c>
      <c r="AD97" s="40">
        <f t="shared" si="42"/>
        <v>0</v>
      </c>
      <c r="AE97" s="40">
        <f t="shared" si="43"/>
        <v>0</v>
      </c>
      <c r="AF97" s="40">
        <f t="shared" si="44"/>
        <v>0</v>
      </c>
      <c r="AG97" s="40">
        <f t="shared" si="45"/>
        <v>0</v>
      </c>
      <c r="AH97" s="40">
        <f t="shared" si="46"/>
        <v>0</v>
      </c>
      <c r="AI97" s="40">
        <f t="shared" si="47"/>
        <v>0</v>
      </c>
      <c r="AJ97" s="40">
        <f t="shared" si="48"/>
        <v>0</v>
      </c>
      <c r="AK97" s="40">
        <f t="shared" si="49"/>
        <v>0</v>
      </c>
      <c r="AL97" s="40">
        <f t="shared" si="50"/>
        <v>1</v>
      </c>
      <c r="AM97" s="40">
        <f t="shared" si="51"/>
        <v>0</v>
      </c>
      <c r="AN97" s="40">
        <f t="shared" si="52"/>
        <v>0</v>
      </c>
      <c r="AO97" s="40">
        <f t="shared" si="53"/>
        <v>0</v>
      </c>
      <c r="AP97" s="40">
        <f t="shared" si="54"/>
        <v>0</v>
      </c>
      <c r="AQ97" s="40">
        <f t="shared" si="55"/>
        <v>0</v>
      </c>
      <c r="AR97" s="40">
        <f t="shared" si="56"/>
        <v>0</v>
      </c>
      <c r="AS97" s="40">
        <f t="shared" si="57"/>
        <v>0</v>
      </c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</row>
    <row r="98" spans="2:110" s="2" customFormat="1" ht="14.4" customHeight="1" x14ac:dyDescent="0.25">
      <c r="B98" s="56" t="s">
        <v>20</v>
      </c>
      <c r="C98" s="57" t="s">
        <v>25</v>
      </c>
      <c r="D98" s="58" t="s">
        <v>24</v>
      </c>
      <c r="E98" s="62">
        <v>4.5600000000000007E-3</v>
      </c>
      <c r="F98" s="65">
        <f t="shared" si="58"/>
        <v>-5.3904326554558422</v>
      </c>
      <c r="G98" s="15"/>
      <c r="H98" s="15"/>
      <c r="I98" s="15"/>
      <c r="J98" s="15"/>
      <c r="K98" s="16"/>
      <c r="L98" s="17"/>
      <c r="M98" s="17"/>
      <c r="N98" s="17"/>
      <c r="O98" s="17"/>
      <c r="P98" s="5"/>
      <c r="Q98" s="5"/>
      <c r="R98" s="5"/>
      <c r="S98" s="40">
        <f t="shared" si="31"/>
        <v>0</v>
      </c>
      <c r="T98" s="40">
        <f t="shared" si="32"/>
        <v>0</v>
      </c>
      <c r="U98" s="40">
        <f t="shared" si="33"/>
        <v>1</v>
      </c>
      <c r="V98" s="40">
        <f t="shared" si="34"/>
        <v>0</v>
      </c>
      <c r="W98" s="40">
        <f t="shared" si="35"/>
        <v>0</v>
      </c>
      <c r="X98" s="40">
        <f t="shared" si="36"/>
        <v>0</v>
      </c>
      <c r="Y98" s="40">
        <f t="shared" si="37"/>
        <v>0</v>
      </c>
      <c r="Z98" s="40">
        <f t="shared" si="38"/>
        <v>0</v>
      </c>
      <c r="AA98" s="40">
        <f t="shared" si="39"/>
        <v>0</v>
      </c>
      <c r="AB98" s="40">
        <f t="shared" si="40"/>
        <v>0</v>
      </c>
      <c r="AC98" s="40">
        <f t="shared" si="41"/>
        <v>0</v>
      </c>
      <c r="AD98" s="40">
        <f t="shared" si="42"/>
        <v>0</v>
      </c>
      <c r="AE98" s="40">
        <f t="shared" si="43"/>
        <v>0</v>
      </c>
      <c r="AF98" s="40">
        <f t="shared" si="44"/>
        <v>1</v>
      </c>
      <c r="AG98" s="40">
        <f t="shared" si="45"/>
        <v>0</v>
      </c>
      <c r="AH98" s="40">
        <f t="shared" si="46"/>
        <v>0</v>
      </c>
      <c r="AI98" s="40">
        <f t="shared" si="47"/>
        <v>0</v>
      </c>
      <c r="AJ98" s="40">
        <f t="shared" si="48"/>
        <v>0</v>
      </c>
      <c r="AK98" s="40">
        <f t="shared" si="49"/>
        <v>0</v>
      </c>
      <c r="AL98" s="40">
        <f t="shared" si="50"/>
        <v>0</v>
      </c>
      <c r="AM98" s="40">
        <f t="shared" si="51"/>
        <v>0</v>
      </c>
      <c r="AN98" s="40">
        <f t="shared" si="52"/>
        <v>0</v>
      </c>
      <c r="AO98" s="40">
        <f t="shared" si="53"/>
        <v>0</v>
      </c>
      <c r="AP98" s="40">
        <f t="shared" si="54"/>
        <v>0</v>
      </c>
      <c r="AQ98" s="40">
        <f t="shared" si="55"/>
        <v>1</v>
      </c>
      <c r="AR98" s="40">
        <f t="shared" si="56"/>
        <v>0</v>
      </c>
      <c r="AS98" s="40">
        <f t="shared" si="57"/>
        <v>0</v>
      </c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</row>
    <row r="99" spans="2:110" s="2" customFormat="1" ht="14.4" customHeight="1" x14ac:dyDescent="0.25">
      <c r="B99" s="56" t="s">
        <v>20</v>
      </c>
      <c r="C99" s="57" t="s">
        <v>26</v>
      </c>
      <c r="D99" s="58" t="s">
        <v>30</v>
      </c>
      <c r="E99" s="62">
        <v>4.1999999999999989E-3</v>
      </c>
      <c r="F99" s="65">
        <f t="shared" si="58"/>
        <v>-5.4726707536928147</v>
      </c>
      <c r="G99" s="15"/>
      <c r="H99" s="15"/>
      <c r="I99" s="15"/>
      <c r="J99" s="15"/>
      <c r="K99" s="16"/>
      <c r="L99" s="17"/>
      <c r="M99" s="17"/>
      <c r="N99" s="17"/>
      <c r="O99" s="17"/>
      <c r="P99" s="5"/>
      <c r="Q99" s="5"/>
      <c r="R99" s="5"/>
      <c r="S99" s="40">
        <f t="shared" si="31"/>
        <v>0</v>
      </c>
      <c r="T99" s="40">
        <f t="shared" si="32"/>
        <v>0</v>
      </c>
      <c r="U99" s="40">
        <f t="shared" si="33"/>
        <v>1</v>
      </c>
      <c r="V99" s="40">
        <f t="shared" si="34"/>
        <v>0</v>
      </c>
      <c r="W99" s="40">
        <f t="shared" si="35"/>
        <v>0</v>
      </c>
      <c r="X99" s="40">
        <f t="shared" si="36"/>
        <v>0</v>
      </c>
      <c r="Y99" s="40">
        <f t="shared" si="37"/>
        <v>0</v>
      </c>
      <c r="Z99" s="40">
        <f t="shared" si="38"/>
        <v>0</v>
      </c>
      <c r="AA99" s="40">
        <f t="shared" si="39"/>
        <v>0</v>
      </c>
      <c r="AB99" s="40">
        <f t="shared" si="40"/>
        <v>0</v>
      </c>
      <c r="AC99" s="40">
        <f t="shared" si="41"/>
        <v>0</v>
      </c>
      <c r="AD99" s="40">
        <f t="shared" si="42"/>
        <v>0</v>
      </c>
      <c r="AE99" s="40">
        <f t="shared" si="43"/>
        <v>0</v>
      </c>
      <c r="AF99" s="40">
        <f t="shared" si="44"/>
        <v>1</v>
      </c>
      <c r="AG99" s="40">
        <f t="shared" si="45"/>
        <v>0</v>
      </c>
      <c r="AH99" s="40">
        <f t="shared" si="46"/>
        <v>0</v>
      </c>
      <c r="AI99" s="40">
        <f t="shared" si="47"/>
        <v>0</v>
      </c>
      <c r="AJ99" s="40">
        <f t="shared" si="48"/>
        <v>0</v>
      </c>
      <c r="AK99" s="40">
        <f t="shared" si="49"/>
        <v>0</v>
      </c>
      <c r="AL99" s="40">
        <f t="shared" si="50"/>
        <v>0</v>
      </c>
      <c r="AM99" s="40">
        <f t="shared" si="51"/>
        <v>0</v>
      </c>
      <c r="AN99" s="40">
        <f t="shared" si="52"/>
        <v>0</v>
      </c>
      <c r="AO99" s="40">
        <f t="shared" si="53"/>
        <v>0</v>
      </c>
      <c r="AP99" s="40">
        <f t="shared" si="54"/>
        <v>0</v>
      </c>
      <c r="AQ99" s="40">
        <f t="shared" si="55"/>
        <v>1</v>
      </c>
      <c r="AR99" s="40">
        <f t="shared" si="56"/>
        <v>0</v>
      </c>
      <c r="AS99" s="40">
        <f t="shared" si="57"/>
        <v>0</v>
      </c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</row>
    <row r="100" spans="2:110" s="2" customFormat="1" ht="14.4" customHeight="1" x14ac:dyDescent="0.25">
      <c r="B100" s="56" t="s">
        <v>20</v>
      </c>
      <c r="C100" s="57" t="s">
        <v>26</v>
      </c>
      <c r="D100" s="58" t="s">
        <v>30</v>
      </c>
      <c r="E100" s="62">
        <v>4.5700000000000011E-3</v>
      </c>
      <c r="F100" s="65">
        <f t="shared" si="58"/>
        <v>-5.3882420740760235</v>
      </c>
      <c r="G100" s="15"/>
      <c r="H100" s="15"/>
      <c r="I100" s="15"/>
      <c r="J100" s="15"/>
      <c r="K100" s="16"/>
      <c r="L100" s="17"/>
      <c r="M100" s="17"/>
      <c r="N100" s="17"/>
      <c r="O100" s="17"/>
      <c r="P100" s="5"/>
      <c r="Q100" s="5"/>
      <c r="R100" s="5"/>
      <c r="S100" s="40">
        <f t="shared" si="31"/>
        <v>0</v>
      </c>
      <c r="T100" s="40">
        <f t="shared" si="32"/>
        <v>0</v>
      </c>
      <c r="U100" s="40">
        <f t="shared" si="33"/>
        <v>1</v>
      </c>
      <c r="V100" s="40">
        <f t="shared" si="34"/>
        <v>0</v>
      </c>
      <c r="W100" s="40">
        <f t="shared" si="35"/>
        <v>0</v>
      </c>
      <c r="X100" s="40">
        <f t="shared" si="36"/>
        <v>0</v>
      </c>
      <c r="Y100" s="40">
        <f t="shared" si="37"/>
        <v>0</v>
      </c>
      <c r="Z100" s="40">
        <f t="shared" si="38"/>
        <v>0</v>
      </c>
      <c r="AA100" s="40">
        <f t="shared" si="39"/>
        <v>0</v>
      </c>
      <c r="AB100" s="40">
        <f t="shared" si="40"/>
        <v>0</v>
      </c>
      <c r="AC100" s="40">
        <f t="shared" si="41"/>
        <v>0</v>
      </c>
      <c r="AD100" s="40">
        <f t="shared" si="42"/>
        <v>0</v>
      </c>
      <c r="AE100" s="40">
        <f t="shared" si="43"/>
        <v>0</v>
      </c>
      <c r="AF100" s="40">
        <f t="shared" si="44"/>
        <v>1</v>
      </c>
      <c r="AG100" s="40">
        <f t="shared" si="45"/>
        <v>0</v>
      </c>
      <c r="AH100" s="40">
        <f t="shared" si="46"/>
        <v>0</v>
      </c>
      <c r="AI100" s="40">
        <f t="shared" si="47"/>
        <v>0</v>
      </c>
      <c r="AJ100" s="40">
        <f t="shared" si="48"/>
        <v>0</v>
      </c>
      <c r="AK100" s="40">
        <f t="shared" si="49"/>
        <v>0</v>
      </c>
      <c r="AL100" s="40">
        <f t="shared" si="50"/>
        <v>0</v>
      </c>
      <c r="AM100" s="40">
        <f t="shared" si="51"/>
        <v>0</v>
      </c>
      <c r="AN100" s="40">
        <f t="shared" si="52"/>
        <v>0</v>
      </c>
      <c r="AO100" s="40">
        <f t="shared" si="53"/>
        <v>0</v>
      </c>
      <c r="AP100" s="40">
        <f t="shared" si="54"/>
        <v>0</v>
      </c>
      <c r="AQ100" s="40">
        <f t="shared" si="55"/>
        <v>1</v>
      </c>
      <c r="AR100" s="40">
        <f t="shared" si="56"/>
        <v>0</v>
      </c>
      <c r="AS100" s="40">
        <f t="shared" si="57"/>
        <v>0</v>
      </c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</row>
    <row r="101" spans="2:110" s="2" customFormat="1" ht="14.4" customHeight="1" x14ac:dyDescent="0.25">
      <c r="B101" s="56" t="s">
        <v>20</v>
      </c>
      <c r="C101" s="57" t="s">
        <v>26</v>
      </c>
      <c r="D101" s="58" t="s">
        <v>30</v>
      </c>
      <c r="E101" s="62">
        <v>6.96E-3</v>
      </c>
      <c r="F101" s="65">
        <f t="shared" si="58"/>
        <v>-4.9675758046358087</v>
      </c>
      <c r="G101" s="15"/>
      <c r="H101" s="15"/>
      <c r="I101" s="15"/>
      <c r="J101" s="15"/>
      <c r="K101" s="16"/>
      <c r="L101" s="17"/>
      <c r="M101" s="17"/>
      <c r="N101" s="17"/>
      <c r="O101" s="17"/>
      <c r="P101" s="5"/>
      <c r="Q101" s="5"/>
      <c r="R101" s="5"/>
      <c r="S101" s="40">
        <f t="shared" si="31"/>
        <v>0</v>
      </c>
      <c r="T101" s="40">
        <f t="shared" si="32"/>
        <v>0</v>
      </c>
      <c r="U101" s="40">
        <f t="shared" si="33"/>
        <v>1</v>
      </c>
      <c r="V101" s="40">
        <f t="shared" si="34"/>
        <v>0</v>
      </c>
      <c r="W101" s="40">
        <f t="shared" si="35"/>
        <v>0</v>
      </c>
      <c r="X101" s="40">
        <f t="shared" si="36"/>
        <v>0</v>
      </c>
      <c r="Y101" s="40">
        <f t="shared" si="37"/>
        <v>0</v>
      </c>
      <c r="Z101" s="40">
        <f t="shared" si="38"/>
        <v>0</v>
      </c>
      <c r="AA101" s="40">
        <f t="shared" si="39"/>
        <v>0</v>
      </c>
      <c r="AB101" s="40">
        <f t="shared" si="40"/>
        <v>1</v>
      </c>
      <c r="AC101" s="40">
        <f t="shared" si="41"/>
        <v>0</v>
      </c>
      <c r="AD101" s="40">
        <f t="shared" si="42"/>
        <v>0</v>
      </c>
      <c r="AE101" s="40">
        <f t="shared" si="43"/>
        <v>0</v>
      </c>
      <c r="AF101" s="40">
        <f t="shared" si="44"/>
        <v>0</v>
      </c>
      <c r="AG101" s="40">
        <f t="shared" si="45"/>
        <v>0</v>
      </c>
      <c r="AH101" s="40">
        <f t="shared" si="46"/>
        <v>0</v>
      </c>
      <c r="AI101" s="40">
        <f t="shared" si="47"/>
        <v>0</v>
      </c>
      <c r="AJ101" s="40">
        <f t="shared" si="48"/>
        <v>0</v>
      </c>
      <c r="AK101" s="40">
        <f t="shared" si="49"/>
        <v>0</v>
      </c>
      <c r="AL101" s="40">
        <f t="shared" si="50"/>
        <v>0</v>
      </c>
      <c r="AM101" s="40">
        <f t="shared" si="51"/>
        <v>1</v>
      </c>
      <c r="AN101" s="40">
        <f t="shared" si="52"/>
        <v>0</v>
      </c>
      <c r="AO101" s="40">
        <f t="shared" si="53"/>
        <v>0</v>
      </c>
      <c r="AP101" s="40">
        <f t="shared" si="54"/>
        <v>0</v>
      </c>
      <c r="AQ101" s="40">
        <f t="shared" si="55"/>
        <v>0</v>
      </c>
      <c r="AR101" s="40">
        <f t="shared" si="56"/>
        <v>0</v>
      </c>
      <c r="AS101" s="40">
        <f t="shared" si="57"/>
        <v>0</v>
      </c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</row>
    <row r="102" spans="2:110" s="2" customFormat="1" ht="14.4" customHeight="1" x14ac:dyDescent="0.25">
      <c r="B102" s="56" t="s">
        <v>20</v>
      </c>
      <c r="C102" s="57" t="s">
        <v>25</v>
      </c>
      <c r="D102" s="58" t="s">
        <v>35</v>
      </c>
      <c r="E102" s="62">
        <v>3.2899999999999995E-3</v>
      </c>
      <c r="F102" s="65">
        <f t="shared" si="58"/>
        <v>-5.7168677142048567</v>
      </c>
      <c r="G102" s="15"/>
      <c r="H102" s="15"/>
      <c r="I102" s="15"/>
      <c r="J102" s="15"/>
      <c r="K102" s="16"/>
      <c r="L102" s="17"/>
      <c r="M102" s="17"/>
      <c r="N102" s="17"/>
      <c r="O102" s="17"/>
      <c r="P102" s="5"/>
      <c r="Q102" s="5"/>
      <c r="R102" s="5"/>
      <c r="S102" s="40">
        <f t="shared" si="31"/>
        <v>0</v>
      </c>
      <c r="T102" s="40">
        <f t="shared" si="32"/>
        <v>0</v>
      </c>
      <c r="U102" s="40">
        <f t="shared" si="33"/>
        <v>1</v>
      </c>
      <c r="V102" s="40">
        <f t="shared" si="34"/>
        <v>0</v>
      </c>
      <c r="W102" s="40">
        <f t="shared" si="35"/>
        <v>0</v>
      </c>
      <c r="X102" s="40">
        <f t="shared" si="36"/>
        <v>0</v>
      </c>
      <c r="Y102" s="40">
        <f t="shared" si="37"/>
        <v>0</v>
      </c>
      <c r="Z102" s="40">
        <f t="shared" si="38"/>
        <v>0</v>
      </c>
      <c r="AA102" s="40">
        <f t="shared" si="39"/>
        <v>0</v>
      </c>
      <c r="AB102" s="40">
        <f t="shared" si="40"/>
        <v>0</v>
      </c>
      <c r="AC102" s="40">
        <f t="shared" si="41"/>
        <v>0</v>
      </c>
      <c r="AD102" s="40">
        <f t="shared" si="42"/>
        <v>1</v>
      </c>
      <c r="AE102" s="40">
        <f t="shared" si="43"/>
        <v>0</v>
      </c>
      <c r="AF102" s="40">
        <f t="shared" si="44"/>
        <v>0</v>
      </c>
      <c r="AG102" s="40">
        <f t="shared" si="45"/>
        <v>0</v>
      </c>
      <c r="AH102" s="40">
        <f t="shared" si="46"/>
        <v>0</v>
      </c>
      <c r="AI102" s="40">
        <f t="shared" si="47"/>
        <v>0</v>
      </c>
      <c r="AJ102" s="40">
        <f t="shared" si="48"/>
        <v>0</v>
      </c>
      <c r="AK102" s="40">
        <f t="shared" si="49"/>
        <v>0</v>
      </c>
      <c r="AL102" s="40">
        <f t="shared" si="50"/>
        <v>0</v>
      </c>
      <c r="AM102" s="40">
        <f t="shared" si="51"/>
        <v>1</v>
      </c>
      <c r="AN102" s="40">
        <f t="shared" si="52"/>
        <v>0</v>
      </c>
      <c r="AO102" s="40">
        <f t="shared" si="53"/>
        <v>0</v>
      </c>
      <c r="AP102" s="40">
        <f t="shared" si="54"/>
        <v>0</v>
      </c>
      <c r="AQ102" s="40">
        <f t="shared" si="55"/>
        <v>0</v>
      </c>
      <c r="AR102" s="40">
        <f t="shared" si="56"/>
        <v>0</v>
      </c>
      <c r="AS102" s="40">
        <f t="shared" si="57"/>
        <v>0</v>
      </c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</row>
    <row r="103" spans="2:110" s="2" customFormat="1" ht="14.4" customHeight="1" x14ac:dyDescent="0.25">
      <c r="B103" s="56" t="s">
        <v>20</v>
      </c>
      <c r="C103" s="57" t="s">
        <v>21</v>
      </c>
      <c r="D103" s="58" t="s">
        <v>35</v>
      </c>
      <c r="E103" s="62">
        <v>4.8400000000000014E-3</v>
      </c>
      <c r="F103" s="65">
        <f t="shared" si="58"/>
        <v>-5.3308405582535965</v>
      </c>
      <c r="G103" s="15"/>
      <c r="H103" s="15"/>
      <c r="I103" s="15"/>
      <c r="J103" s="15"/>
      <c r="K103" s="16"/>
      <c r="L103" s="17"/>
      <c r="M103" s="17"/>
      <c r="N103" s="17"/>
      <c r="O103" s="17"/>
      <c r="P103" s="5"/>
      <c r="Q103" s="5"/>
      <c r="R103" s="5"/>
      <c r="S103" s="40">
        <f t="shared" si="31"/>
        <v>0</v>
      </c>
      <c r="T103" s="40">
        <f t="shared" si="32"/>
        <v>0</v>
      </c>
      <c r="U103" s="40">
        <f t="shared" si="33"/>
        <v>1</v>
      </c>
      <c r="V103" s="40">
        <f t="shared" si="34"/>
        <v>0</v>
      </c>
      <c r="W103" s="40">
        <f t="shared" si="35"/>
        <v>0</v>
      </c>
      <c r="X103" s="40">
        <f t="shared" si="36"/>
        <v>0</v>
      </c>
      <c r="Y103" s="40">
        <f t="shared" si="37"/>
        <v>0</v>
      </c>
      <c r="Z103" s="40">
        <f t="shared" si="38"/>
        <v>0</v>
      </c>
      <c r="AA103" s="40">
        <f t="shared" si="39"/>
        <v>0</v>
      </c>
      <c r="AB103" s="40">
        <f t="shared" si="40"/>
        <v>0</v>
      </c>
      <c r="AC103" s="40">
        <f t="shared" si="41"/>
        <v>1</v>
      </c>
      <c r="AD103" s="40">
        <f t="shared" si="42"/>
        <v>0</v>
      </c>
      <c r="AE103" s="40">
        <f t="shared" si="43"/>
        <v>0</v>
      </c>
      <c r="AF103" s="40">
        <f t="shared" si="44"/>
        <v>0</v>
      </c>
      <c r="AG103" s="40">
        <f t="shared" si="45"/>
        <v>0</v>
      </c>
      <c r="AH103" s="40">
        <f t="shared" si="46"/>
        <v>0</v>
      </c>
      <c r="AI103" s="40">
        <f t="shared" si="47"/>
        <v>0</v>
      </c>
      <c r="AJ103" s="40">
        <f t="shared" si="48"/>
        <v>0</v>
      </c>
      <c r="AK103" s="40">
        <f t="shared" si="49"/>
        <v>0</v>
      </c>
      <c r="AL103" s="40">
        <f t="shared" si="50"/>
        <v>0</v>
      </c>
      <c r="AM103" s="40">
        <f t="shared" si="51"/>
        <v>0</v>
      </c>
      <c r="AN103" s="40">
        <f t="shared" si="52"/>
        <v>0</v>
      </c>
      <c r="AO103" s="40">
        <f t="shared" si="53"/>
        <v>1</v>
      </c>
      <c r="AP103" s="40">
        <f t="shared" si="54"/>
        <v>0</v>
      </c>
      <c r="AQ103" s="40">
        <f t="shared" si="55"/>
        <v>0</v>
      </c>
      <c r="AR103" s="40">
        <f t="shared" si="56"/>
        <v>0</v>
      </c>
      <c r="AS103" s="40">
        <f t="shared" si="57"/>
        <v>0</v>
      </c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</row>
    <row r="104" spans="2:110" s="2" customFormat="1" ht="14.4" customHeight="1" x14ac:dyDescent="0.25">
      <c r="B104" s="56" t="s">
        <v>20</v>
      </c>
      <c r="C104" s="57" t="s">
        <v>23</v>
      </c>
      <c r="D104" s="58" t="s">
        <v>31</v>
      </c>
      <c r="E104" s="62">
        <v>3.340000000000001E-3</v>
      </c>
      <c r="F104" s="65">
        <f t="shared" si="58"/>
        <v>-5.7017844719935278</v>
      </c>
      <c r="G104" s="15"/>
      <c r="H104" s="15"/>
      <c r="I104" s="15"/>
      <c r="J104" s="15"/>
      <c r="K104" s="16"/>
      <c r="L104" s="17"/>
      <c r="M104" s="17"/>
      <c r="N104" s="17"/>
      <c r="O104" s="17"/>
      <c r="P104" s="5"/>
      <c r="Q104" s="5"/>
      <c r="R104" s="5"/>
      <c r="S104" s="40">
        <f t="shared" si="31"/>
        <v>0</v>
      </c>
      <c r="T104" s="40">
        <f t="shared" si="32"/>
        <v>0</v>
      </c>
      <c r="U104" s="40">
        <f t="shared" si="33"/>
        <v>1</v>
      </c>
      <c r="V104" s="40">
        <f t="shared" si="34"/>
        <v>0</v>
      </c>
      <c r="W104" s="40">
        <f t="shared" si="35"/>
        <v>0</v>
      </c>
      <c r="X104" s="40">
        <f t="shared" si="36"/>
        <v>0</v>
      </c>
      <c r="Y104" s="40">
        <f t="shared" si="37"/>
        <v>0</v>
      </c>
      <c r="Z104" s="40">
        <f t="shared" si="38"/>
        <v>0</v>
      </c>
      <c r="AA104" s="40">
        <f t="shared" si="39"/>
        <v>0</v>
      </c>
      <c r="AB104" s="40">
        <f t="shared" si="40"/>
        <v>0</v>
      </c>
      <c r="AC104" s="40">
        <f t="shared" si="41"/>
        <v>1</v>
      </c>
      <c r="AD104" s="40">
        <f t="shared" si="42"/>
        <v>0</v>
      </c>
      <c r="AE104" s="40">
        <f t="shared" si="43"/>
        <v>0</v>
      </c>
      <c r="AF104" s="40">
        <f t="shared" si="44"/>
        <v>0</v>
      </c>
      <c r="AG104" s="40">
        <f t="shared" si="45"/>
        <v>0</v>
      </c>
      <c r="AH104" s="40">
        <f t="shared" si="46"/>
        <v>0</v>
      </c>
      <c r="AI104" s="40">
        <f t="shared" si="47"/>
        <v>0</v>
      </c>
      <c r="AJ104" s="40">
        <f t="shared" si="48"/>
        <v>0</v>
      </c>
      <c r="AK104" s="40">
        <f t="shared" si="49"/>
        <v>0</v>
      </c>
      <c r="AL104" s="40">
        <f t="shared" si="50"/>
        <v>0</v>
      </c>
      <c r="AM104" s="40">
        <f t="shared" si="51"/>
        <v>1</v>
      </c>
      <c r="AN104" s="40">
        <f t="shared" si="52"/>
        <v>0</v>
      </c>
      <c r="AO104" s="40">
        <f t="shared" si="53"/>
        <v>0</v>
      </c>
      <c r="AP104" s="40">
        <f t="shared" si="54"/>
        <v>0</v>
      </c>
      <c r="AQ104" s="40">
        <f t="shared" si="55"/>
        <v>0</v>
      </c>
      <c r="AR104" s="40">
        <f t="shared" si="56"/>
        <v>0</v>
      </c>
      <c r="AS104" s="40">
        <f t="shared" si="57"/>
        <v>0</v>
      </c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</row>
    <row r="105" spans="2:110" s="2" customFormat="1" ht="14.4" customHeight="1" x14ac:dyDescent="0.25">
      <c r="B105" s="56" t="s">
        <v>20</v>
      </c>
      <c r="C105" s="57" t="s">
        <v>23</v>
      </c>
      <c r="D105" s="58" t="s">
        <v>35</v>
      </c>
      <c r="E105" s="62">
        <v>1.3899999999999993E-3</v>
      </c>
      <c r="F105" s="65">
        <f t="shared" si="58"/>
        <v>-6.5784515318395371</v>
      </c>
      <c r="G105" s="15"/>
      <c r="H105" s="15"/>
      <c r="I105" s="15"/>
      <c r="J105" s="15"/>
      <c r="K105" s="16"/>
      <c r="L105" s="17"/>
      <c r="M105" s="17"/>
      <c r="N105" s="17"/>
      <c r="O105" s="17"/>
      <c r="P105" s="5"/>
      <c r="Q105" s="5"/>
      <c r="R105" s="5"/>
      <c r="S105" s="40">
        <f t="shared" si="31"/>
        <v>0</v>
      </c>
      <c r="T105" s="40">
        <f t="shared" si="32"/>
        <v>0</v>
      </c>
      <c r="U105" s="40">
        <f t="shared" si="33"/>
        <v>1</v>
      </c>
      <c r="V105" s="40">
        <f t="shared" si="34"/>
        <v>0</v>
      </c>
      <c r="W105" s="40">
        <f t="shared" si="35"/>
        <v>0</v>
      </c>
      <c r="X105" s="40">
        <f t="shared" si="36"/>
        <v>0</v>
      </c>
      <c r="Y105" s="40">
        <f t="shared" si="37"/>
        <v>0</v>
      </c>
      <c r="Z105" s="40">
        <f t="shared" si="38"/>
        <v>0</v>
      </c>
      <c r="AA105" s="40">
        <f t="shared" si="39"/>
        <v>0</v>
      </c>
      <c r="AB105" s="40">
        <f t="shared" si="40"/>
        <v>0</v>
      </c>
      <c r="AC105" s="40">
        <f t="shared" si="41"/>
        <v>0</v>
      </c>
      <c r="AD105" s="40">
        <f t="shared" si="42"/>
        <v>0</v>
      </c>
      <c r="AE105" s="40">
        <f t="shared" si="43"/>
        <v>0</v>
      </c>
      <c r="AF105" s="40">
        <f t="shared" si="44"/>
        <v>1</v>
      </c>
      <c r="AG105" s="40">
        <f t="shared" si="45"/>
        <v>0</v>
      </c>
      <c r="AH105" s="40">
        <f t="shared" si="46"/>
        <v>0</v>
      </c>
      <c r="AI105" s="40">
        <f t="shared" si="47"/>
        <v>0</v>
      </c>
      <c r="AJ105" s="40">
        <f t="shared" si="48"/>
        <v>0</v>
      </c>
      <c r="AK105" s="40">
        <f t="shared" si="49"/>
        <v>0</v>
      </c>
      <c r="AL105" s="40">
        <f t="shared" si="50"/>
        <v>1</v>
      </c>
      <c r="AM105" s="40">
        <f t="shared" si="51"/>
        <v>0</v>
      </c>
      <c r="AN105" s="40">
        <f t="shared" si="52"/>
        <v>0</v>
      </c>
      <c r="AO105" s="40">
        <f t="shared" si="53"/>
        <v>0</v>
      </c>
      <c r="AP105" s="40">
        <f t="shared" si="54"/>
        <v>0</v>
      </c>
      <c r="AQ105" s="40">
        <f t="shared" si="55"/>
        <v>0</v>
      </c>
      <c r="AR105" s="40">
        <f t="shared" si="56"/>
        <v>0</v>
      </c>
      <c r="AS105" s="40">
        <f t="shared" si="57"/>
        <v>0</v>
      </c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</row>
    <row r="106" spans="2:110" s="2" customFormat="1" ht="14.4" customHeight="1" x14ac:dyDescent="0.25">
      <c r="B106" s="56" t="s">
        <v>20</v>
      </c>
      <c r="C106" s="57" t="s">
        <v>26</v>
      </c>
      <c r="D106" s="58" t="s">
        <v>24</v>
      </c>
      <c r="E106" s="62">
        <v>4.6199999999999982E-3</v>
      </c>
      <c r="F106" s="65">
        <f t="shared" si="58"/>
        <v>-5.37736057388849</v>
      </c>
      <c r="G106" s="15"/>
      <c r="H106" s="15"/>
      <c r="I106" s="15"/>
      <c r="J106" s="15"/>
      <c r="K106" s="16"/>
      <c r="L106" s="17"/>
      <c r="M106" s="17"/>
      <c r="N106" s="17"/>
      <c r="O106" s="17"/>
      <c r="P106" s="5"/>
      <c r="Q106" s="5"/>
      <c r="R106" s="5"/>
      <c r="S106" s="40">
        <f t="shared" si="31"/>
        <v>0</v>
      </c>
      <c r="T106" s="40">
        <f t="shared" si="32"/>
        <v>0</v>
      </c>
      <c r="U106" s="40">
        <f t="shared" si="33"/>
        <v>1</v>
      </c>
      <c r="V106" s="40">
        <f t="shared" si="34"/>
        <v>0</v>
      </c>
      <c r="W106" s="40">
        <f t="shared" si="35"/>
        <v>0</v>
      </c>
      <c r="X106" s="40">
        <f t="shared" si="36"/>
        <v>0</v>
      </c>
      <c r="Y106" s="40">
        <f t="shared" si="37"/>
        <v>0</v>
      </c>
      <c r="Z106" s="40">
        <f t="shared" si="38"/>
        <v>1</v>
      </c>
      <c r="AA106" s="40">
        <f t="shared" si="39"/>
        <v>0</v>
      </c>
      <c r="AB106" s="40">
        <f t="shared" si="40"/>
        <v>0</v>
      </c>
      <c r="AC106" s="40">
        <f t="shared" si="41"/>
        <v>0</v>
      </c>
      <c r="AD106" s="40">
        <f t="shared" si="42"/>
        <v>0</v>
      </c>
      <c r="AE106" s="40">
        <f t="shared" si="43"/>
        <v>0</v>
      </c>
      <c r="AF106" s="40">
        <f t="shared" si="44"/>
        <v>0</v>
      </c>
      <c r="AG106" s="40">
        <f t="shared" si="45"/>
        <v>0</v>
      </c>
      <c r="AH106" s="40">
        <f t="shared" si="46"/>
        <v>0</v>
      </c>
      <c r="AI106" s="40">
        <f t="shared" si="47"/>
        <v>0</v>
      </c>
      <c r="AJ106" s="40">
        <f t="shared" si="48"/>
        <v>0</v>
      </c>
      <c r="AK106" s="40">
        <f t="shared" si="49"/>
        <v>0</v>
      </c>
      <c r="AL106" s="40">
        <f t="shared" si="50"/>
        <v>0</v>
      </c>
      <c r="AM106" s="40">
        <f t="shared" si="51"/>
        <v>0</v>
      </c>
      <c r="AN106" s="40">
        <f t="shared" si="52"/>
        <v>0</v>
      </c>
      <c r="AO106" s="40">
        <f t="shared" si="53"/>
        <v>0</v>
      </c>
      <c r="AP106" s="40">
        <f t="shared" si="54"/>
        <v>0</v>
      </c>
      <c r="AQ106" s="40">
        <f t="shared" si="55"/>
        <v>0</v>
      </c>
      <c r="AR106" s="40">
        <f t="shared" si="56"/>
        <v>1</v>
      </c>
      <c r="AS106" s="40">
        <f t="shared" si="57"/>
        <v>0</v>
      </c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</row>
    <row r="107" spans="2:110" s="2" customFormat="1" ht="14.4" customHeight="1" x14ac:dyDescent="0.25">
      <c r="B107" s="56" t="s">
        <v>20</v>
      </c>
      <c r="C107" s="57" t="s">
        <v>36</v>
      </c>
      <c r="D107" s="58" t="s">
        <v>33</v>
      </c>
      <c r="E107" s="62">
        <v>3.9700000000000004E-3</v>
      </c>
      <c r="F107" s="65">
        <f t="shared" si="58"/>
        <v>-5.5289891842830379</v>
      </c>
      <c r="G107" s="15"/>
      <c r="H107" s="15"/>
      <c r="I107" s="15"/>
      <c r="J107" s="15"/>
      <c r="K107" s="16"/>
      <c r="L107" s="17"/>
      <c r="M107" s="17"/>
      <c r="N107" s="17"/>
      <c r="O107" s="17"/>
      <c r="P107" s="5"/>
      <c r="Q107" s="5"/>
      <c r="R107" s="5"/>
      <c r="S107" s="40">
        <f t="shared" si="31"/>
        <v>0</v>
      </c>
      <c r="T107" s="40">
        <f t="shared" si="32"/>
        <v>0</v>
      </c>
      <c r="U107" s="40">
        <f t="shared" si="33"/>
        <v>1</v>
      </c>
      <c r="V107" s="40">
        <f t="shared" si="34"/>
        <v>0</v>
      </c>
      <c r="W107" s="40">
        <f t="shared" si="35"/>
        <v>0</v>
      </c>
      <c r="X107" s="40">
        <f t="shared" si="36"/>
        <v>0</v>
      </c>
      <c r="Y107" s="40">
        <f t="shared" si="37"/>
        <v>0</v>
      </c>
      <c r="Z107" s="40">
        <f t="shared" si="38"/>
        <v>0</v>
      </c>
      <c r="AA107" s="40">
        <f t="shared" si="39"/>
        <v>0</v>
      </c>
      <c r="AB107" s="40">
        <f t="shared" si="40"/>
        <v>0</v>
      </c>
      <c r="AC107" s="40">
        <f t="shared" si="41"/>
        <v>1</v>
      </c>
      <c r="AD107" s="40">
        <f t="shared" si="42"/>
        <v>0</v>
      </c>
      <c r="AE107" s="40">
        <f t="shared" si="43"/>
        <v>0</v>
      </c>
      <c r="AF107" s="40">
        <f t="shared" si="44"/>
        <v>0</v>
      </c>
      <c r="AG107" s="40">
        <f t="shared" si="45"/>
        <v>0</v>
      </c>
      <c r="AH107" s="40">
        <f t="shared" si="46"/>
        <v>0</v>
      </c>
      <c r="AI107" s="40">
        <f t="shared" si="47"/>
        <v>0</v>
      </c>
      <c r="AJ107" s="40">
        <f t="shared" si="48"/>
        <v>0</v>
      </c>
      <c r="AK107" s="40">
        <f t="shared" si="49"/>
        <v>0</v>
      </c>
      <c r="AL107" s="40">
        <f t="shared" si="50"/>
        <v>0</v>
      </c>
      <c r="AM107" s="40">
        <f t="shared" si="51"/>
        <v>0</v>
      </c>
      <c r="AN107" s="40">
        <f t="shared" si="52"/>
        <v>0</v>
      </c>
      <c r="AO107" s="40">
        <f t="shared" si="53"/>
        <v>0</v>
      </c>
      <c r="AP107" s="40">
        <f t="shared" si="54"/>
        <v>0</v>
      </c>
      <c r="AQ107" s="40">
        <f t="shared" si="55"/>
        <v>0</v>
      </c>
      <c r="AR107" s="40">
        <f t="shared" si="56"/>
        <v>0</v>
      </c>
      <c r="AS107" s="40">
        <f t="shared" si="57"/>
        <v>1</v>
      </c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</row>
    <row r="108" spans="2:110" s="2" customFormat="1" ht="14.4" customHeight="1" x14ac:dyDescent="0.25">
      <c r="B108" s="56" t="s">
        <v>20</v>
      </c>
      <c r="C108" s="57" t="s">
        <v>23</v>
      </c>
      <c r="D108" s="58" t="s">
        <v>22</v>
      </c>
      <c r="E108" s="62">
        <v>3.7599999999999995E-3</v>
      </c>
      <c r="F108" s="65">
        <f t="shared" si="58"/>
        <v>-5.583336321580334</v>
      </c>
      <c r="G108" s="15"/>
      <c r="H108" s="15"/>
      <c r="I108" s="15"/>
      <c r="J108" s="15"/>
      <c r="K108" s="16"/>
      <c r="L108" s="17"/>
      <c r="M108" s="17"/>
      <c r="N108" s="17"/>
      <c r="O108" s="17"/>
      <c r="P108" s="5"/>
      <c r="Q108" s="5"/>
      <c r="R108" s="5"/>
      <c r="S108" s="40">
        <f t="shared" si="31"/>
        <v>0</v>
      </c>
      <c r="T108" s="40">
        <f t="shared" si="32"/>
        <v>0</v>
      </c>
      <c r="U108" s="40">
        <f t="shared" si="33"/>
        <v>1</v>
      </c>
      <c r="V108" s="40">
        <f t="shared" si="34"/>
        <v>0</v>
      </c>
      <c r="W108" s="40">
        <f t="shared" si="35"/>
        <v>0</v>
      </c>
      <c r="X108" s="40">
        <f t="shared" si="36"/>
        <v>0</v>
      </c>
      <c r="Y108" s="40">
        <f t="shared" si="37"/>
        <v>0</v>
      </c>
      <c r="Z108" s="40">
        <f t="shared" si="38"/>
        <v>0</v>
      </c>
      <c r="AA108" s="40">
        <f t="shared" si="39"/>
        <v>0</v>
      </c>
      <c r="AB108" s="40">
        <f t="shared" si="40"/>
        <v>0</v>
      </c>
      <c r="AC108" s="40">
        <f t="shared" si="41"/>
        <v>0</v>
      </c>
      <c r="AD108" s="40">
        <f t="shared" si="42"/>
        <v>0</v>
      </c>
      <c r="AE108" s="40">
        <f t="shared" si="43"/>
        <v>0</v>
      </c>
      <c r="AF108" s="40">
        <f t="shared" si="44"/>
        <v>1</v>
      </c>
      <c r="AG108" s="40">
        <f t="shared" si="45"/>
        <v>0</v>
      </c>
      <c r="AH108" s="40">
        <f t="shared" si="46"/>
        <v>0</v>
      </c>
      <c r="AI108" s="40">
        <f t="shared" si="47"/>
        <v>1</v>
      </c>
      <c r="AJ108" s="40">
        <f t="shared" si="48"/>
        <v>0</v>
      </c>
      <c r="AK108" s="40">
        <f t="shared" si="49"/>
        <v>0</v>
      </c>
      <c r="AL108" s="40">
        <f t="shared" si="50"/>
        <v>0</v>
      </c>
      <c r="AM108" s="40">
        <f t="shared" si="51"/>
        <v>0</v>
      </c>
      <c r="AN108" s="40">
        <f t="shared" si="52"/>
        <v>0</v>
      </c>
      <c r="AO108" s="40">
        <f t="shared" si="53"/>
        <v>0</v>
      </c>
      <c r="AP108" s="40">
        <f t="shared" si="54"/>
        <v>0</v>
      </c>
      <c r="AQ108" s="40">
        <f t="shared" si="55"/>
        <v>0</v>
      </c>
      <c r="AR108" s="40">
        <f t="shared" si="56"/>
        <v>0</v>
      </c>
      <c r="AS108" s="40">
        <f t="shared" si="57"/>
        <v>0</v>
      </c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</row>
    <row r="109" spans="2:110" s="2" customFormat="1" ht="14.4" customHeight="1" x14ac:dyDescent="0.25">
      <c r="B109" s="56" t="s">
        <v>20</v>
      </c>
      <c r="C109" s="57" t="s">
        <v>26</v>
      </c>
      <c r="D109" s="58" t="s">
        <v>28</v>
      </c>
      <c r="E109" s="62">
        <v>4.4599999999999996E-3</v>
      </c>
      <c r="F109" s="65">
        <f t="shared" si="58"/>
        <v>-5.4126065129501644</v>
      </c>
      <c r="G109" s="15"/>
      <c r="H109" s="15"/>
      <c r="I109" s="15"/>
      <c r="J109" s="15"/>
      <c r="K109" s="16"/>
      <c r="L109" s="17"/>
      <c r="M109" s="17"/>
      <c r="N109" s="17"/>
      <c r="O109" s="17"/>
      <c r="P109" s="5"/>
      <c r="Q109" s="5"/>
      <c r="R109" s="5"/>
      <c r="S109" s="40">
        <f t="shared" si="31"/>
        <v>0</v>
      </c>
      <c r="T109" s="40">
        <f t="shared" si="32"/>
        <v>0</v>
      </c>
      <c r="U109" s="40">
        <f t="shared" si="33"/>
        <v>1</v>
      </c>
      <c r="V109" s="40">
        <f t="shared" si="34"/>
        <v>0</v>
      </c>
      <c r="W109" s="40">
        <f t="shared" si="35"/>
        <v>0</v>
      </c>
      <c r="X109" s="40">
        <f t="shared" si="36"/>
        <v>0</v>
      </c>
      <c r="Y109" s="40">
        <f t="shared" si="37"/>
        <v>0</v>
      </c>
      <c r="Z109" s="40">
        <f t="shared" si="38"/>
        <v>0</v>
      </c>
      <c r="AA109" s="40">
        <f t="shared" si="39"/>
        <v>0</v>
      </c>
      <c r="AB109" s="40">
        <f t="shared" si="40"/>
        <v>1</v>
      </c>
      <c r="AC109" s="40">
        <f t="shared" si="41"/>
        <v>0</v>
      </c>
      <c r="AD109" s="40">
        <f t="shared" si="42"/>
        <v>0</v>
      </c>
      <c r="AE109" s="40">
        <f t="shared" si="43"/>
        <v>0</v>
      </c>
      <c r="AF109" s="40">
        <f t="shared" si="44"/>
        <v>0</v>
      </c>
      <c r="AG109" s="40">
        <f t="shared" si="45"/>
        <v>0</v>
      </c>
      <c r="AH109" s="40">
        <f t="shared" si="46"/>
        <v>0</v>
      </c>
      <c r="AI109" s="40">
        <f t="shared" si="47"/>
        <v>0</v>
      </c>
      <c r="AJ109" s="40">
        <f t="shared" si="48"/>
        <v>0</v>
      </c>
      <c r="AK109" s="40">
        <f t="shared" si="49"/>
        <v>0</v>
      </c>
      <c r="AL109" s="40">
        <f t="shared" si="50"/>
        <v>1</v>
      </c>
      <c r="AM109" s="40">
        <f t="shared" si="51"/>
        <v>0</v>
      </c>
      <c r="AN109" s="40">
        <f t="shared" si="52"/>
        <v>0</v>
      </c>
      <c r="AO109" s="40">
        <f t="shared" si="53"/>
        <v>0</v>
      </c>
      <c r="AP109" s="40">
        <f t="shared" si="54"/>
        <v>0</v>
      </c>
      <c r="AQ109" s="40">
        <f t="shared" si="55"/>
        <v>0</v>
      </c>
      <c r="AR109" s="40">
        <f t="shared" si="56"/>
        <v>0</v>
      </c>
      <c r="AS109" s="40">
        <f t="shared" si="57"/>
        <v>0</v>
      </c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</row>
    <row r="110" spans="2:110" s="2" customFormat="1" ht="14.4" customHeight="1" x14ac:dyDescent="0.25">
      <c r="B110" s="56" t="s">
        <v>20</v>
      </c>
      <c r="C110" s="57" t="s">
        <v>25</v>
      </c>
      <c r="D110" s="58" t="s">
        <v>24</v>
      </c>
      <c r="E110" s="62">
        <v>6.0200000000000028E-3</v>
      </c>
      <c r="F110" s="65">
        <f t="shared" si="58"/>
        <v>-5.1126680196614069</v>
      </c>
      <c r="G110" s="15"/>
      <c r="H110" s="15"/>
      <c r="I110" s="15"/>
      <c r="J110" s="15"/>
      <c r="K110" s="16"/>
      <c r="L110" s="17"/>
      <c r="M110" s="17"/>
      <c r="N110" s="17"/>
      <c r="O110" s="17"/>
      <c r="P110" s="5"/>
      <c r="Q110" s="5"/>
      <c r="R110" s="5"/>
      <c r="S110" s="40">
        <f t="shared" si="31"/>
        <v>0</v>
      </c>
      <c r="T110" s="40">
        <f t="shared" si="32"/>
        <v>0</v>
      </c>
      <c r="U110" s="40">
        <f t="shared" si="33"/>
        <v>1</v>
      </c>
      <c r="V110" s="40">
        <f t="shared" si="34"/>
        <v>0</v>
      </c>
      <c r="W110" s="40">
        <f t="shared" si="35"/>
        <v>0</v>
      </c>
      <c r="X110" s="40">
        <f t="shared" si="36"/>
        <v>0</v>
      </c>
      <c r="Y110" s="40">
        <f t="shared" si="37"/>
        <v>0</v>
      </c>
      <c r="Z110" s="40">
        <f t="shared" si="38"/>
        <v>0</v>
      </c>
      <c r="AA110" s="40">
        <f t="shared" si="39"/>
        <v>0</v>
      </c>
      <c r="AB110" s="40">
        <f t="shared" si="40"/>
        <v>1</v>
      </c>
      <c r="AC110" s="40">
        <f t="shared" si="41"/>
        <v>0</v>
      </c>
      <c r="AD110" s="40">
        <f t="shared" si="42"/>
        <v>0</v>
      </c>
      <c r="AE110" s="40">
        <f t="shared" si="43"/>
        <v>0</v>
      </c>
      <c r="AF110" s="40">
        <f t="shared" si="44"/>
        <v>0</v>
      </c>
      <c r="AG110" s="40">
        <f t="shared" si="45"/>
        <v>0</v>
      </c>
      <c r="AH110" s="40">
        <f t="shared" si="46"/>
        <v>0</v>
      </c>
      <c r="AI110" s="40">
        <f t="shared" si="47"/>
        <v>0</v>
      </c>
      <c r="AJ110" s="40">
        <f t="shared" si="48"/>
        <v>0</v>
      </c>
      <c r="AK110" s="40">
        <f t="shared" si="49"/>
        <v>0</v>
      </c>
      <c r="AL110" s="40">
        <f t="shared" si="50"/>
        <v>1</v>
      </c>
      <c r="AM110" s="40">
        <f t="shared" si="51"/>
        <v>0</v>
      </c>
      <c r="AN110" s="40">
        <f t="shared" si="52"/>
        <v>0</v>
      </c>
      <c r="AO110" s="40">
        <f t="shared" si="53"/>
        <v>0</v>
      </c>
      <c r="AP110" s="40">
        <f t="shared" si="54"/>
        <v>0</v>
      </c>
      <c r="AQ110" s="40">
        <f t="shared" si="55"/>
        <v>0</v>
      </c>
      <c r="AR110" s="40">
        <f t="shared" si="56"/>
        <v>0</v>
      </c>
      <c r="AS110" s="40">
        <f t="shared" si="57"/>
        <v>0</v>
      </c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</row>
    <row r="111" spans="2:110" s="2" customFormat="1" ht="14.4" customHeight="1" x14ac:dyDescent="0.25">
      <c r="B111" s="56" t="s">
        <v>20</v>
      </c>
      <c r="C111" s="57" t="s">
        <v>25</v>
      </c>
      <c r="D111" s="58" t="s">
        <v>24</v>
      </c>
      <c r="E111" s="62">
        <v>2.63E-3</v>
      </c>
      <c r="F111" s="65">
        <f t="shared" si="58"/>
        <v>-5.9407714327924639</v>
      </c>
      <c r="G111" s="15"/>
      <c r="H111" s="15"/>
      <c r="I111" s="15"/>
      <c r="J111" s="15"/>
      <c r="K111" s="16"/>
      <c r="L111" s="17"/>
      <c r="M111" s="17"/>
      <c r="N111" s="17"/>
      <c r="O111" s="17"/>
      <c r="P111" s="5"/>
      <c r="Q111" s="5"/>
      <c r="R111" s="5"/>
      <c r="S111" s="40">
        <f t="shared" si="31"/>
        <v>0</v>
      </c>
      <c r="T111" s="40">
        <f t="shared" si="32"/>
        <v>0</v>
      </c>
      <c r="U111" s="40">
        <f t="shared" si="33"/>
        <v>1</v>
      </c>
      <c r="V111" s="40">
        <f t="shared" si="34"/>
        <v>0</v>
      </c>
      <c r="W111" s="40">
        <f t="shared" si="35"/>
        <v>0</v>
      </c>
      <c r="X111" s="40">
        <f t="shared" si="36"/>
        <v>0</v>
      </c>
      <c r="Y111" s="40">
        <f t="shared" si="37"/>
        <v>0</v>
      </c>
      <c r="Z111" s="40">
        <f t="shared" si="38"/>
        <v>0</v>
      </c>
      <c r="AA111" s="40">
        <f t="shared" si="39"/>
        <v>0</v>
      </c>
      <c r="AB111" s="40">
        <f t="shared" si="40"/>
        <v>1</v>
      </c>
      <c r="AC111" s="40">
        <f t="shared" si="41"/>
        <v>0</v>
      </c>
      <c r="AD111" s="40">
        <f t="shared" si="42"/>
        <v>0</v>
      </c>
      <c r="AE111" s="40">
        <f t="shared" si="43"/>
        <v>0</v>
      </c>
      <c r="AF111" s="40">
        <f t="shared" si="44"/>
        <v>0</v>
      </c>
      <c r="AG111" s="40">
        <f t="shared" si="45"/>
        <v>0</v>
      </c>
      <c r="AH111" s="40">
        <f t="shared" si="46"/>
        <v>0</v>
      </c>
      <c r="AI111" s="40">
        <f t="shared" si="47"/>
        <v>0</v>
      </c>
      <c r="AJ111" s="40">
        <f t="shared" si="48"/>
        <v>0</v>
      </c>
      <c r="AK111" s="40">
        <f t="shared" si="49"/>
        <v>0</v>
      </c>
      <c r="AL111" s="40">
        <f t="shared" si="50"/>
        <v>1</v>
      </c>
      <c r="AM111" s="40">
        <f t="shared" si="51"/>
        <v>0</v>
      </c>
      <c r="AN111" s="40">
        <f t="shared" si="52"/>
        <v>0</v>
      </c>
      <c r="AO111" s="40">
        <f t="shared" si="53"/>
        <v>0</v>
      </c>
      <c r="AP111" s="40">
        <f t="shared" si="54"/>
        <v>0</v>
      </c>
      <c r="AQ111" s="40">
        <f t="shared" si="55"/>
        <v>0</v>
      </c>
      <c r="AR111" s="40">
        <f t="shared" si="56"/>
        <v>0</v>
      </c>
      <c r="AS111" s="40">
        <f t="shared" si="57"/>
        <v>0</v>
      </c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</row>
    <row r="112" spans="2:110" s="2" customFormat="1" ht="14.4" customHeight="1" x14ac:dyDescent="0.25">
      <c r="B112" s="56" t="s">
        <v>20</v>
      </c>
      <c r="C112" s="57" t="s">
        <v>25</v>
      </c>
      <c r="D112" s="58" t="s">
        <v>24</v>
      </c>
      <c r="E112" s="62">
        <v>5.7000000000000011E-3</v>
      </c>
      <c r="F112" s="65">
        <f t="shared" si="58"/>
        <v>-5.1672891041416324</v>
      </c>
      <c r="G112" s="15"/>
      <c r="H112" s="15"/>
      <c r="I112" s="15"/>
      <c r="J112" s="15"/>
      <c r="K112" s="16"/>
      <c r="L112" s="17"/>
      <c r="M112" s="17"/>
      <c r="N112" s="17"/>
      <c r="O112" s="17"/>
      <c r="P112" s="5"/>
      <c r="Q112" s="5"/>
      <c r="R112" s="5"/>
      <c r="S112" s="40">
        <f t="shared" si="31"/>
        <v>0</v>
      </c>
      <c r="T112" s="40">
        <f t="shared" si="32"/>
        <v>0</v>
      </c>
      <c r="U112" s="40">
        <f t="shared" si="33"/>
        <v>1</v>
      </c>
      <c r="V112" s="40">
        <f t="shared" si="34"/>
        <v>0</v>
      </c>
      <c r="W112" s="40">
        <f t="shared" si="35"/>
        <v>0</v>
      </c>
      <c r="X112" s="40">
        <f t="shared" si="36"/>
        <v>0</v>
      </c>
      <c r="Y112" s="40">
        <f t="shared" si="37"/>
        <v>0</v>
      </c>
      <c r="Z112" s="40">
        <f t="shared" si="38"/>
        <v>0</v>
      </c>
      <c r="AA112" s="40">
        <f t="shared" si="39"/>
        <v>0</v>
      </c>
      <c r="AB112" s="40">
        <f t="shared" si="40"/>
        <v>0</v>
      </c>
      <c r="AC112" s="40">
        <f t="shared" si="41"/>
        <v>1</v>
      </c>
      <c r="AD112" s="40">
        <f t="shared" si="42"/>
        <v>0</v>
      </c>
      <c r="AE112" s="40">
        <f t="shared" si="43"/>
        <v>0</v>
      </c>
      <c r="AF112" s="40">
        <f t="shared" si="44"/>
        <v>0</v>
      </c>
      <c r="AG112" s="40">
        <f t="shared" si="45"/>
        <v>0</v>
      </c>
      <c r="AH112" s="40">
        <f t="shared" si="46"/>
        <v>0</v>
      </c>
      <c r="AI112" s="40">
        <f t="shared" si="47"/>
        <v>0</v>
      </c>
      <c r="AJ112" s="40">
        <f t="shared" si="48"/>
        <v>0</v>
      </c>
      <c r="AK112" s="40">
        <f t="shared" si="49"/>
        <v>0</v>
      </c>
      <c r="AL112" s="40">
        <f t="shared" si="50"/>
        <v>0</v>
      </c>
      <c r="AM112" s="40">
        <f t="shared" si="51"/>
        <v>0</v>
      </c>
      <c r="AN112" s="40">
        <f t="shared" si="52"/>
        <v>0</v>
      </c>
      <c r="AO112" s="40">
        <f t="shared" si="53"/>
        <v>1</v>
      </c>
      <c r="AP112" s="40">
        <f t="shared" si="54"/>
        <v>0</v>
      </c>
      <c r="AQ112" s="40">
        <f t="shared" si="55"/>
        <v>0</v>
      </c>
      <c r="AR112" s="40">
        <f t="shared" si="56"/>
        <v>0</v>
      </c>
      <c r="AS112" s="40">
        <f t="shared" si="57"/>
        <v>0</v>
      </c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</row>
    <row r="113" spans="2:110" s="2" customFormat="1" ht="14.4" customHeight="1" x14ac:dyDescent="0.25">
      <c r="B113" s="56" t="s">
        <v>20</v>
      </c>
      <c r="C113" s="57" t="s">
        <v>23</v>
      </c>
      <c r="D113" s="58" t="s">
        <v>31</v>
      </c>
      <c r="E113" s="62">
        <v>3.0199999999999997E-3</v>
      </c>
      <c r="F113" s="65">
        <f t="shared" si="58"/>
        <v>-5.8024984475953589</v>
      </c>
      <c r="G113" s="15"/>
      <c r="H113" s="15"/>
      <c r="I113" s="15"/>
      <c r="J113" s="15"/>
      <c r="K113" s="16"/>
      <c r="L113" s="17"/>
      <c r="M113" s="17"/>
      <c r="N113" s="17"/>
      <c r="O113" s="17"/>
      <c r="P113" s="5"/>
      <c r="Q113" s="5"/>
      <c r="R113" s="5"/>
      <c r="S113" s="40">
        <f t="shared" si="31"/>
        <v>0</v>
      </c>
      <c r="T113" s="40">
        <f t="shared" si="32"/>
        <v>0</v>
      </c>
      <c r="U113" s="40">
        <f t="shared" si="33"/>
        <v>1</v>
      </c>
      <c r="V113" s="40">
        <f t="shared" si="34"/>
        <v>0</v>
      </c>
      <c r="W113" s="40">
        <f t="shared" si="35"/>
        <v>0</v>
      </c>
      <c r="X113" s="40">
        <f t="shared" si="36"/>
        <v>0</v>
      </c>
      <c r="Y113" s="40">
        <f t="shared" si="37"/>
        <v>0</v>
      </c>
      <c r="Z113" s="40">
        <f t="shared" si="38"/>
        <v>0</v>
      </c>
      <c r="AA113" s="40">
        <f t="shared" si="39"/>
        <v>0</v>
      </c>
      <c r="AB113" s="40">
        <f t="shared" si="40"/>
        <v>0</v>
      </c>
      <c r="AC113" s="40">
        <f t="shared" si="41"/>
        <v>0</v>
      </c>
      <c r="AD113" s="40">
        <f t="shared" si="42"/>
        <v>0</v>
      </c>
      <c r="AE113" s="40">
        <f t="shared" si="43"/>
        <v>0</v>
      </c>
      <c r="AF113" s="40">
        <f t="shared" si="44"/>
        <v>1</v>
      </c>
      <c r="AG113" s="40">
        <f t="shared" si="45"/>
        <v>0</v>
      </c>
      <c r="AH113" s="40">
        <f t="shared" si="46"/>
        <v>0</v>
      </c>
      <c r="AI113" s="40">
        <f t="shared" si="47"/>
        <v>0</v>
      </c>
      <c r="AJ113" s="40">
        <f t="shared" si="48"/>
        <v>0</v>
      </c>
      <c r="AK113" s="40">
        <f t="shared" si="49"/>
        <v>0</v>
      </c>
      <c r="AL113" s="40">
        <f t="shared" si="50"/>
        <v>0</v>
      </c>
      <c r="AM113" s="40">
        <f t="shared" si="51"/>
        <v>0</v>
      </c>
      <c r="AN113" s="40">
        <f t="shared" si="52"/>
        <v>0</v>
      </c>
      <c r="AO113" s="40">
        <f t="shared" si="53"/>
        <v>1</v>
      </c>
      <c r="AP113" s="40">
        <f t="shared" si="54"/>
        <v>0</v>
      </c>
      <c r="AQ113" s="40">
        <f t="shared" si="55"/>
        <v>0</v>
      </c>
      <c r="AR113" s="40">
        <f t="shared" si="56"/>
        <v>0</v>
      </c>
      <c r="AS113" s="40">
        <f t="shared" si="57"/>
        <v>0</v>
      </c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</row>
    <row r="114" spans="2:110" s="2" customFormat="1" ht="14.4" customHeight="1" x14ac:dyDescent="0.25">
      <c r="B114" s="56" t="s">
        <v>20</v>
      </c>
      <c r="C114" s="57" t="s">
        <v>26</v>
      </c>
      <c r="D114" s="58" t="s">
        <v>31</v>
      </c>
      <c r="E114" s="62">
        <v>4.6299999999999996E-3</v>
      </c>
      <c r="F114" s="65">
        <f t="shared" si="58"/>
        <v>-5.3751984108839945</v>
      </c>
      <c r="G114" s="15"/>
      <c r="H114" s="15"/>
      <c r="I114" s="15"/>
      <c r="J114" s="15"/>
      <c r="K114" s="16"/>
      <c r="L114" s="17"/>
      <c r="M114" s="17"/>
      <c r="N114" s="17"/>
      <c r="O114" s="17"/>
      <c r="P114" s="5"/>
      <c r="Q114" s="5"/>
      <c r="R114" s="5"/>
      <c r="S114" s="40">
        <f t="shared" si="31"/>
        <v>0</v>
      </c>
      <c r="T114" s="40">
        <f t="shared" si="32"/>
        <v>0</v>
      </c>
      <c r="U114" s="40">
        <f t="shared" si="33"/>
        <v>1</v>
      </c>
      <c r="V114" s="40">
        <f t="shared" si="34"/>
        <v>0</v>
      </c>
      <c r="W114" s="40">
        <f t="shared" si="35"/>
        <v>0</v>
      </c>
      <c r="X114" s="40">
        <f t="shared" si="36"/>
        <v>0</v>
      </c>
      <c r="Y114" s="40">
        <f t="shared" si="37"/>
        <v>0</v>
      </c>
      <c r="Z114" s="40">
        <f t="shared" si="38"/>
        <v>0</v>
      </c>
      <c r="AA114" s="40">
        <f t="shared" si="39"/>
        <v>0</v>
      </c>
      <c r="AB114" s="40">
        <f t="shared" si="40"/>
        <v>1</v>
      </c>
      <c r="AC114" s="40">
        <f t="shared" si="41"/>
        <v>0</v>
      </c>
      <c r="AD114" s="40">
        <f t="shared" si="42"/>
        <v>0</v>
      </c>
      <c r="AE114" s="40">
        <f t="shared" si="43"/>
        <v>0</v>
      </c>
      <c r="AF114" s="40">
        <f t="shared" si="44"/>
        <v>0</v>
      </c>
      <c r="AG114" s="40">
        <f t="shared" si="45"/>
        <v>0</v>
      </c>
      <c r="AH114" s="40">
        <f t="shared" si="46"/>
        <v>0</v>
      </c>
      <c r="AI114" s="40">
        <f t="shared" si="47"/>
        <v>0</v>
      </c>
      <c r="AJ114" s="40">
        <f t="shared" si="48"/>
        <v>0</v>
      </c>
      <c r="AK114" s="40">
        <f t="shared" si="49"/>
        <v>0</v>
      </c>
      <c r="AL114" s="40">
        <f t="shared" si="50"/>
        <v>1</v>
      </c>
      <c r="AM114" s="40">
        <f t="shared" si="51"/>
        <v>0</v>
      </c>
      <c r="AN114" s="40">
        <f t="shared" si="52"/>
        <v>0</v>
      </c>
      <c r="AO114" s="40">
        <f t="shared" si="53"/>
        <v>0</v>
      </c>
      <c r="AP114" s="40">
        <f t="shared" si="54"/>
        <v>0</v>
      </c>
      <c r="AQ114" s="40">
        <f t="shared" si="55"/>
        <v>0</v>
      </c>
      <c r="AR114" s="40">
        <f t="shared" si="56"/>
        <v>0</v>
      </c>
      <c r="AS114" s="40">
        <f t="shared" si="57"/>
        <v>0</v>
      </c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</row>
    <row r="115" spans="2:110" s="2" customFormat="1" ht="14.4" customHeight="1" x14ac:dyDescent="0.25">
      <c r="B115" s="56" t="s">
        <v>20</v>
      </c>
      <c r="C115" s="57" t="s">
        <v>25</v>
      </c>
      <c r="D115" s="58" t="s">
        <v>24</v>
      </c>
      <c r="E115" s="62">
        <v>4.7900000000000017E-3</v>
      </c>
      <c r="F115" s="65">
        <f t="shared" si="58"/>
        <v>-5.3412248675593128</v>
      </c>
      <c r="G115" s="15"/>
      <c r="H115" s="15"/>
      <c r="I115" s="15"/>
      <c r="J115" s="15"/>
      <c r="K115" s="16"/>
      <c r="L115" s="17"/>
      <c r="M115" s="17"/>
      <c r="N115" s="17"/>
      <c r="O115" s="17"/>
      <c r="P115" s="5"/>
      <c r="Q115" s="5"/>
      <c r="R115" s="5"/>
      <c r="S115" s="40">
        <f t="shared" si="31"/>
        <v>0</v>
      </c>
      <c r="T115" s="40">
        <f t="shared" si="32"/>
        <v>0</v>
      </c>
      <c r="U115" s="40">
        <f t="shared" si="33"/>
        <v>1</v>
      </c>
      <c r="V115" s="40">
        <f t="shared" si="34"/>
        <v>0</v>
      </c>
      <c r="W115" s="40">
        <f t="shared" si="35"/>
        <v>0</v>
      </c>
      <c r="X115" s="40">
        <f t="shared" si="36"/>
        <v>0</v>
      </c>
      <c r="Y115" s="40">
        <f t="shared" si="37"/>
        <v>0</v>
      </c>
      <c r="Z115" s="40">
        <f t="shared" si="38"/>
        <v>0</v>
      </c>
      <c r="AA115" s="40">
        <f t="shared" si="39"/>
        <v>0</v>
      </c>
      <c r="AB115" s="40">
        <f t="shared" si="40"/>
        <v>1</v>
      </c>
      <c r="AC115" s="40">
        <f t="shared" si="41"/>
        <v>0</v>
      </c>
      <c r="AD115" s="40">
        <f t="shared" si="42"/>
        <v>0</v>
      </c>
      <c r="AE115" s="40">
        <f t="shared" si="43"/>
        <v>0</v>
      </c>
      <c r="AF115" s="40">
        <f t="shared" si="44"/>
        <v>0</v>
      </c>
      <c r="AG115" s="40">
        <f t="shared" si="45"/>
        <v>0</v>
      </c>
      <c r="AH115" s="40">
        <f t="shared" si="46"/>
        <v>0</v>
      </c>
      <c r="AI115" s="40">
        <f t="shared" si="47"/>
        <v>0</v>
      </c>
      <c r="AJ115" s="40">
        <f t="shared" si="48"/>
        <v>0</v>
      </c>
      <c r="AK115" s="40">
        <f t="shared" si="49"/>
        <v>0</v>
      </c>
      <c r="AL115" s="40">
        <f t="shared" si="50"/>
        <v>1</v>
      </c>
      <c r="AM115" s="40">
        <f t="shared" si="51"/>
        <v>0</v>
      </c>
      <c r="AN115" s="40">
        <f t="shared" si="52"/>
        <v>0</v>
      </c>
      <c r="AO115" s="40">
        <f t="shared" si="53"/>
        <v>0</v>
      </c>
      <c r="AP115" s="40">
        <f t="shared" si="54"/>
        <v>0</v>
      </c>
      <c r="AQ115" s="40">
        <f t="shared" si="55"/>
        <v>0</v>
      </c>
      <c r="AR115" s="40">
        <f t="shared" si="56"/>
        <v>0</v>
      </c>
      <c r="AS115" s="40">
        <f t="shared" si="57"/>
        <v>0</v>
      </c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</row>
    <row r="116" spans="2:110" s="2" customFormat="1" ht="14.4" customHeight="1" x14ac:dyDescent="0.25">
      <c r="B116" s="56" t="s">
        <v>20</v>
      </c>
      <c r="C116" s="57" t="s">
        <v>25</v>
      </c>
      <c r="D116" s="58" t="s">
        <v>24</v>
      </c>
      <c r="E116" s="62">
        <v>6.8600000000000024E-3</v>
      </c>
      <c r="F116" s="65">
        <f t="shared" si="58"/>
        <v>-4.9820478372443429</v>
      </c>
      <c r="G116" s="15"/>
      <c r="H116" s="15"/>
      <c r="I116" s="15"/>
      <c r="J116" s="15"/>
      <c r="K116" s="16"/>
      <c r="L116" s="17"/>
      <c r="M116" s="17"/>
      <c r="N116" s="17"/>
      <c r="O116" s="17"/>
      <c r="P116" s="5"/>
      <c r="Q116" s="5"/>
      <c r="R116" s="5"/>
      <c r="S116" s="40">
        <f t="shared" si="31"/>
        <v>0</v>
      </c>
      <c r="T116" s="40">
        <f t="shared" si="32"/>
        <v>0</v>
      </c>
      <c r="U116" s="40">
        <f t="shared" si="33"/>
        <v>1</v>
      </c>
      <c r="V116" s="40">
        <f t="shared" si="34"/>
        <v>0</v>
      </c>
      <c r="W116" s="40">
        <f t="shared" si="35"/>
        <v>0</v>
      </c>
      <c r="X116" s="40">
        <f t="shared" si="36"/>
        <v>0</v>
      </c>
      <c r="Y116" s="40">
        <f t="shared" si="37"/>
        <v>0</v>
      </c>
      <c r="Z116" s="40">
        <f t="shared" si="38"/>
        <v>0</v>
      </c>
      <c r="AA116" s="40">
        <f t="shared" si="39"/>
        <v>0</v>
      </c>
      <c r="AB116" s="40">
        <f t="shared" si="40"/>
        <v>0</v>
      </c>
      <c r="AC116" s="40">
        <f t="shared" si="41"/>
        <v>0</v>
      </c>
      <c r="AD116" s="40">
        <f t="shared" si="42"/>
        <v>0</v>
      </c>
      <c r="AE116" s="40">
        <f t="shared" si="43"/>
        <v>0</v>
      </c>
      <c r="AF116" s="40">
        <f t="shared" si="44"/>
        <v>1</v>
      </c>
      <c r="AG116" s="40">
        <f t="shared" si="45"/>
        <v>0</v>
      </c>
      <c r="AH116" s="40">
        <f t="shared" si="46"/>
        <v>0</v>
      </c>
      <c r="AI116" s="40">
        <f t="shared" si="47"/>
        <v>0</v>
      </c>
      <c r="AJ116" s="40">
        <f t="shared" si="48"/>
        <v>0</v>
      </c>
      <c r="AK116" s="40">
        <f t="shared" si="49"/>
        <v>0</v>
      </c>
      <c r="AL116" s="40">
        <f t="shared" si="50"/>
        <v>0</v>
      </c>
      <c r="AM116" s="40">
        <f t="shared" si="51"/>
        <v>0</v>
      </c>
      <c r="AN116" s="40">
        <f t="shared" si="52"/>
        <v>0</v>
      </c>
      <c r="AO116" s="40">
        <f t="shared" si="53"/>
        <v>1</v>
      </c>
      <c r="AP116" s="40">
        <f t="shared" si="54"/>
        <v>0</v>
      </c>
      <c r="AQ116" s="40">
        <f t="shared" si="55"/>
        <v>0</v>
      </c>
      <c r="AR116" s="40">
        <f t="shared" si="56"/>
        <v>0</v>
      </c>
      <c r="AS116" s="40">
        <f t="shared" si="57"/>
        <v>0</v>
      </c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</row>
    <row r="117" spans="2:110" s="2" customFormat="1" ht="14.4" customHeight="1" x14ac:dyDescent="0.25">
      <c r="B117" s="56" t="s">
        <v>20</v>
      </c>
      <c r="C117" s="57" t="s">
        <v>26</v>
      </c>
      <c r="D117" s="58" t="s">
        <v>31</v>
      </c>
      <c r="E117" s="62">
        <v>2.8100000000000009E-3</v>
      </c>
      <c r="F117" s="65">
        <f t="shared" si="58"/>
        <v>-5.8745707956364823</v>
      </c>
      <c r="G117" s="15"/>
      <c r="H117" s="15"/>
      <c r="I117" s="15"/>
      <c r="J117" s="15"/>
      <c r="K117" s="16"/>
      <c r="L117" s="17"/>
      <c r="M117" s="17"/>
      <c r="N117" s="17"/>
      <c r="O117" s="17"/>
      <c r="P117" s="5"/>
      <c r="Q117" s="5"/>
      <c r="R117" s="5"/>
      <c r="S117" s="40">
        <f t="shared" si="31"/>
        <v>0</v>
      </c>
      <c r="T117" s="40">
        <f t="shared" si="32"/>
        <v>0</v>
      </c>
      <c r="U117" s="40">
        <f t="shared" si="33"/>
        <v>1</v>
      </c>
      <c r="V117" s="40">
        <f t="shared" si="34"/>
        <v>0</v>
      </c>
      <c r="W117" s="40">
        <f t="shared" si="35"/>
        <v>0</v>
      </c>
      <c r="X117" s="40">
        <f t="shared" si="36"/>
        <v>0</v>
      </c>
      <c r="Y117" s="40">
        <f t="shared" si="37"/>
        <v>0</v>
      </c>
      <c r="Z117" s="40">
        <f t="shared" si="38"/>
        <v>0</v>
      </c>
      <c r="AA117" s="40">
        <f t="shared" si="39"/>
        <v>0</v>
      </c>
      <c r="AB117" s="40">
        <f t="shared" si="40"/>
        <v>0</v>
      </c>
      <c r="AC117" s="40">
        <f t="shared" si="41"/>
        <v>0</v>
      </c>
      <c r="AD117" s="40">
        <f t="shared" si="42"/>
        <v>0</v>
      </c>
      <c r="AE117" s="40">
        <f t="shared" si="43"/>
        <v>0</v>
      </c>
      <c r="AF117" s="40">
        <f t="shared" si="44"/>
        <v>0</v>
      </c>
      <c r="AG117" s="40">
        <f t="shared" si="45"/>
        <v>1</v>
      </c>
      <c r="AH117" s="40">
        <f t="shared" si="46"/>
        <v>0</v>
      </c>
      <c r="AI117" s="40">
        <f t="shared" si="47"/>
        <v>0</v>
      </c>
      <c r="AJ117" s="40">
        <f t="shared" si="48"/>
        <v>0</v>
      </c>
      <c r="AK117" s="40">
        <f t="shared" si="49"/>
        <v>0</v>
      </c>
      <c r="AL117" s="40">
        <f t="shared" si="50"/>
        <v>1</v>
      </c>
      <c r="AM117" s="40">
        <f t="shared" si="51"/>
        <v>0</v>
      </c>
      <c r="AN117" s="40">
        <f t="shared" si="52"/>
        <v>0</v>
      </c>
      <c r="AO117" s="40">
        <f t="shared" si="53"/>
        <v>0</v>
      </c>
      <c r="AP117" s="40">
        <f t="shared" si="54"/>
        <v>0</v>
      </c>
      <c r="AQ117" s="40">
        <f t="shared" si="55"/>
        <v>0</v>
      </c>
      <c r="AR117" s="40">
        <f t="shared" si="56"/>
        <v>0</v>
      </c>
      <c r="AS117" s="40">
        <f t="shared" si="57"/>
        <v>0</v>
      </c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</row>
    <row r="118" spans="2:110" s="2" customFormat="1" ht="14.4" customHeight="1" x14ac:dyDescent="0.25">
      <c r="B118" s="56" t="s">
        <v>20</v>
      </c>
      <c r="C118" s="57" t="s">
        <v>38</v>
      </c>
      <c r="D118" s="58" t="s">
        <v>24</v>
      </c>
      <c r="E118" s="62">
        <v>4.3899999999999998E-3</v>
      </c>
      <c r="F118" s="65">
        <f t="shared" si="58"/>
        <v>-5.4284260518950571</v>
      </c>
      <c r="G118" s="15"/>
      <c r="H118" s="15"/>
      <c r="I118" s="15"/>
      <c r="J118" s="15"/>
      <c r="K118" s="16"/>
      <c r="L118" s="17"/>
      <c r="M118" s="17"/>
      <c r="N118" s="17"/>
      <c r="O118" s="17"/>
      <c r="P118" s="5"/>
      <c r="Q118" s="5"/>
      <c r="R118" s="5"/>
      <c r="S118" s="40">
        <f t="shared" si="31"/>
        <v>0</v>
      </c>
      <c r="T118" s="40">
        <f t="shared" si="32"/>
        <v>0</v>
      </c>
      <c r="U118" s="40">
        <f t="shared" si="33"/>
        <v>1</v>
      </c>
      <c r="V118" s="40">
        <f t="shared" si="34"/>
        <v>0</v>
      </c>
      <c r="W118" s="40">
        <f t="shared" si="35"/>
        <v>0</v>
      </c>
      <c r="X118" s="40">
        <f t="shared" si="36"/>
        <v>0</v>
      </c>
      <c r="Y118" s="40">
        <f t="shared" si="37"/>
        <v>0</v>
      </c>
      <c r="Z118" s="40">
        <f t="shared" si="38"/>
        <v>1</v>
      </c>
      <c r="AA118" s="40">
        <f t="shared" si="39"/>
        <v>0</v>
      </c>
      <c r="AB118" s="40">
        <f t="shared" si="40"/>
        <v>0</v>
      </c>
      <c r="AC118" s="40">
        <f t="shared" si="41"/>
        <v>0</v>
      </c>
      <c r="AD118" s="40">
        <f t="shared" si="42"/>
        <v>0</v>
      </c>
      <c r="AE118" s="40">
        <f t="shared" si="43"/>
        <v>0</v>
      </c>
      <c r="AF118" s="40">
        <f t="shared" si="44"/>
        <v>0</v>
      </c>
      <c r="AG118" s="40">
        <f t="shared" si="45"/>
        <v>0</v>
      </c>
      <c r="AH118" s="40">
        <f t="shared" si="46"/>
        <v>0</v>
      </c>
      <c r="AI118" s="40">
        <f t="shared" si="47"/>
        <v>0</v>
      </c>
      <c r="AJ118" s="40">
        <f t="shared" si="48"/>
        <v>0</v>
      </c>
      <c r="AK118" s="40">
        <f t="shared" si="49"/>
        <v>0</v>
      </c>
      <c r="AL118" s="40">
        <f t="shared" si="50"/>
        <v>0</v>
      </c>
      <c r="AM118" s="40">
        <f t="shared" si="51"/>
        <v>1</v>
      </c>
      <c r="AN118" s="40">
        <f t="shared" si="52"/>
        <v>0</v>
      </c>
      <c r="AO118" s="40">
        <f t="shared" si="53"/>
        <v>0</v>
      </c>
      <c r="AP118" s="40">
        <f t="shared" si="54"/>
        <v>0</v>
      </c>
      <c r="AQ118" s="40">
        <f t="shared" si="55"/>
        <v>0</v>
      </c>
      <c r="AR118" s="40">
        <f t="shared" si="56"/>
        <v>0</v>
      </c>
      <c r="AS118" s="40">
        <f t="shared" si="57"/>
        <v>0</v>
      </c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</row>
    <row r="119" spans="2:110" s="2" customFormat="1" ht="14.4" customHeight="1" x14ac:dyDescent="0.25">
      <c r="B119" s="56" t="s">
        <v>20</v>
      </c>
      <c r="C119" s="57" t="s">
        <v>36</v>
      </c>
      <c r="D119" s="58" t="s">
        <v>35</v>
      </c>
      <c r="E119" s="62">
        <v>6.1199999999999987E-3</v>
      </c>
      <c r="F119" s="65">
        <f t="shared" si="58"/>
        <v>-5.0961931824579025</v>
      </c>
      <c r="G119" s="15"/>
      <c r="H119" s="15"/>
      <c r="I119" s="15"/>
      <c r="J119" s="15"/>
      <c r="K119" s="16"/>
      <c r="L119" s="17"/>
      <c r="M119" s="17"/>
      <c r="N119" s="17"/>
      <c r="O119" s="17"/>
      <c r="P119" s="5"/>
      <c r="Q119" s="5"/>
      <c r="R119" s="5"/>
      <c r="S119" s="40">
        <f t="shared" si="31"/>
        <v>0</v>
      </c>
      <c r="T119" s="40">
        <f t="shared" si="32"/>
        <v>0</v>
      </c>
      <c r="U119" s="40">
        <f t="shared" si="33"/>
        <v>1</v>
      </c>
      <c r="V119" s="40">
        <f t="shared" si="34"/>
        <v>0</v>
      </c>
      <c r="W119" s="40">
        <f t="shared" si="35"/>
        <v>0</v>
      </c>
      <c r="X119" s="40">
        <f t="shared" si="36"/>
        <v>0</v>
      </c>
      <c r="Y119" s="40">
        <f t="shared" si="37"/>
        <v>0</v>
      </c>
      <c r="Z119" s="40">
        <f t="shared" si="38"/>
        <v>0</v>
      </c>
      <c r="AA119" s="40">
        <f t="shared" si="39"/>
        <v>0</v>
      </c>
      <c r="AB119" s="40">
        <f t="shared" si="40"/>
        <v>0</v>
      </c>
      <c r="AC119" s="40">
        <f t="shared" si="41"/>
        <v>0</v>
      </c>
      <c r="AD119" s="40">
        <f t="shared" si="42"/>
        <v>0</v>
      </c>
      <c r="AE119" s="40">
        <f t="shared" si="43"/>
        <v>0</v>
      </c>
      <c r="AF119" s="40">
        <f t="shared" si="44"/>
        <v>1</v>
      </c>
      <c r="AG119" s="40">
        <f t="shared" si="45"/>
        <v>0</v>
      </c>
      <c r="AH119" s="40">
        <f t="shared" si="46"/>
        <v>0</v>
      </c>
      <c r="AI119" s="40">
        <f t="shared" si="47"/>
        <v>0</v>
      </c>
      <c r="AJ119" s="40">
        <f t="shared" si="48"/>
        <v>0</v>
      </c>
      <c r="AK119" s="40">
        <f t="shared" si="49"/>
        <v>0</v>
      </c>
      <c r="AL119" s="40">
        <f t="shared" si="50"/>
        <v>1</v>
      </c>
      <c r="AM119" s="40">
        <f t="shared" si="51"/>
        <v>0</v>
      </c>
      <c r="AN119" s="40">
        <f t="shared" si="52"/>
        <v>0</v>
      </c>
      <c r="AO119" s="40">
        <f t="shared" si="53"/>
        <v>0</v>
      </c>
      <c r="AP119" s="40">
        <f t="shared" si="54"/>
        <v>0</v>
      </c>
      <c r="AQ119" s="40">
        <f t="shared" si="55"/>
        <v>0</v>
      </c>
      <c r="AR119" s="40">
        <f t="shared" si="56"/>
        <v>0</v>
      </c>
      <c r="AS119" s="40">
        <f t="shared" si="57"/>
        <v>0</v>
      </c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</row>
    <row r="120" spans="2:110" s="2" customFormat="1" ht="14.4" customHeight="1" x14ac:dyDescent="0.25">
      <c r="B120" s="56" t="s">
        <v>20</v>
      </c>
      <c r="C120" s="57" t="s">
        <v>26</v>
      </c>
      <c r="D120" s="58" t="s">
        <v>24</v>
      </c>
      <c r="E120" s="62">
        <v>2.82E-3</v>
      </c>
      <c r="F120" s="65">
        <f t="shared" si="58"/>
        <v>-5.8710183940321148</v>
      </c>
      <c r="G120" s="15"/>
      <c r="H120" s="15"/>
      <c r="I120" s="15"/>
      <c r="J120" s="15"/>
      <c r="K120" s="16"/>
      <c r="L120" s="17"/>
      <c r="M120" s="17"/>
      <c r="N120" s="17"/>
      <c r="O120" s="17"/>
      <c r="P120" s="5"/>
      <c r="Q120" s="5"/>
      <c r="R120" s="5"/>
      <c r="S120" s="40">
        <f t="shared" si="31"/>
        <v>0</v>
      </c>
      <c r="T120" s="40">
        <f t="shared" si="32"/>
        <v>0</v>
      </c>
      <c r="U120" s="40">
        <f t="shared" si="33"/>
        <v>1</v>
      </c>
      <c r="V120" s="40">
        <f t="shared" si="34"/>
        <v>0</v>
      </c>
      <c r="W120" s="40">
        <f t="shared" si="35"/>
        <v>0</v>
      </c>
      <c r="X120" s="40">
        <f t="shared" si="36"/>
        <v>0</v>
      </c>
      <c r="Y120" s="40">
        <f t="shared" si="37"/>
        <v>0</v>
      </c>
      <c r="Z120" s="40">
        <f t="shared" si="38"/>
        <v>0</v>
      </c>
      <c r="AA120" s="40">
        <f t="shared" si="39"/>
        <v>0</v>
      </c>
      <c r="AB120" s="40">
        <f t="shared" si="40"/>
        <v>0</v>
      </c>
      <c r="AC120" s="40">
        <f t="shared" si="41"/>
        <v>0</v>
      </c>
      <c r="AD120" s="40">
        <f t="shared" si="42"/>
        <v>0</v>
      </c>
      <c r="AE120" s="40">
        <f t="shared" si="43"/>
        <v>0</v>
      </c>
      <c r="AF120" s="40">
        <f t="shared" si="44"/>
        <v>1</v>
      </c>
      <c r="AG120" s="40">
        <f t="shared" si="45"/>
        <v>0</v>
      </c>
      <c r="AH120" s="40">
        <f t="shared" si="46"/>
        <v>0</v>
      </c>
      <c r="AI120" s="40">
        <f t="shared" si="47"/>
        <v>0</v>
      </c>
      <c r="AJ120" s="40">
        <f t="shared" si="48"/>
        <v>0</v>
      </c>
      <c r="AK120" s="40">
        <f t="shared" si="49"/>
        <v>0</v>
      </c>
      <c r="AL120" s="40">
        <f t="shared" si="50"/>
        <v>0</v>
      </c>
      <c r="AM120" s="40">
        <f t="shared" si="51"/>
        <v>0</v>
      </c>
      <c r="AN120" s="40">
        <f t="shared" si="52"/>
        <v>1</v>
      </c>
      <c r="AO120" s="40">
        <f t="shared" si="53"/>
        <v>0</v>
      </c>
      <c r="AP120" s="40">
        <f t="shared" si="54"/>
        <v>0</v>
      </c>
      <c r="AQ120" s="40">
        <f t="shared" si="55"/>
        <v>0</v>
      </c>
      <c r="AR120" s="40">
        <f t="shared" si="56"/>
        <v>0</v>
      </c>
      <c r="AS120" s="40">
        <f t="shared" si="57"/>
        <v>0</v>
      </c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</row>
    <row r="121" spans="2:110" s="2" customFormat="1" ht="14.4" customHeight="1" x14ac:dyDescent="0.25">
      <c r="B121" s="56" t="s">
        <v>20</v>
      </c>
      <c r="C121" s="57" t="s">
        <v>26</v>
      </c>
      <c r="D121" s="58" t="s">
        <v>29</v>
      </c>
      <c r="E121" s="62">
        <v>3.1099999999999986E-3</v>
      </c>
      <c r="F121" s="65">
        <f t="shared" si="58"/>
        <v>-5.7731325527909947</v>
      </c>
      <c r="G121" s="15"/>
      <c r="H121" s="15"/>
      <c r="I121" s="15"/>
      <c r="J121" s="15"/>
      <c r="K121" s="16"/>
      <c r="L121" s="17"/>
      <c r="M121" s="17"/>
      <c r="N121" s="17"/>
      <c r="O121" s="17"/>
      <c r="P121" s="5"/>
      <c r="Q121" s="5"/>
      <c r="R121" s="5"/>
      <c r="S121" s="40">
        <f t="shared" si="31"/>
        <v>0</v>
      </c>
      <c r="T121" s="40">
        <f t="shared" si="32"/>
        <v>0</v>
      </c>
      <c r="U121" s="40">
        <f t="shared" si="33"/>
        <v>1</v>
      </c>
      <c r="V121" s="40">
        <f t="shared" si="34"/>
        <v>0</v>
      </c>
      <c r="W121" s="40">
        <f t="shared" si="35"/>
        <v>0</v>
      </c>
      <c r="X121" s="40">
        <f t="shared" si="36"/>
        <v>0</v>
      </c>
      <c r="Y121" s="40">
        <f t="shared" si="37"/>
        <v>0</v>
      </c>
      <c r="Z121" s="40">
        <f t="shared" si="38"/>
        <v>0</v>
      </c>
      <c r="AA121" s="40">
        <f t="shared" si="39"/>
        <v>0</v>
      </c>
      <c r="AB121" s="40">
        <f t="shared" si="40"/>
        <v>0</v>
      </c>
      <c r="AC121" s="40">
        <f t="shared" si="41"/>
        <v>0</v>
      </c>
      <c r="AD121" s="40">
        <f t="shared" si="42"/>
        <v>0</v>
      </c>
      <c r="AE121" s="40">
        <f t="shared" si="43"/>
        <v>0</v>
      </c>
      <c r="AF121" s="40">
        <f t="shared" si="44"/>
        <v>1</v>
      </c>
      <c r="AG121" s="40">
        <f t="shared" si="45"/>
        <v>0</v>
      </c>
      <c r="AH121" s="40">
        <f t="shared" si="46"/>
        <v>0</v>
      </c>
      <c r="AI121" s="40">
        <f t="shared" si="47"/>
        <v>0</v>
      </c>
      <c r="AJ121" s="40">
        <f t="shared" si="48"/>
        <v>0</v>
      </c>
      <c r="AK121" s="40">
        <f t="shared" si="49"/>
        <v>0</v>
      </c>
      <c r="AL121" s="40">
        <f t="shared" si="50"/>
        <v>0</v>
      </c>
      <c r="AM121" s="40">
        <f t="shared" si="51"/>
        <v>0</v>
      </c>
      <c r="AN121" s="40">
        <f t="shared" si="52"/>
        <v>1</v>
      </c>
      <c r="AO121" s="40">
        <f t="shared" si="53"/>
        <v>0</v>
      </c>
      <c r="AP121" s="40">
        <f t="shared" si="54"/>
        <v>0</v>
      </c>
      <c r="AQ121" s="40">
        <f t="shared" si="55"/>
        <v>0</v>
      </c>
      <c r="AR121" s="40">
        <f t="shared" si="56"/>
        <v>0</v>
      </c>
      <c r="AS121" s="40">
        <f t="shared" si="57"/>
        <v>0</v>
      </c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</row>
    <row r="122" spans="2:110" s="2" customFormat="1" ht="14.4" customHeight="1" x14ac:dyDescent="0.25">
      <c r="B122" s="56" t="s">
        <v>20</v>
      </c>
      <c r="C122" s="57" t="s">
        <v>26</v>
      </c>
      <c r="D122" s="58" t="s">
        <v>29</v>
      </c>
      <c r="E122" s="62">
        <v>1.6400000000000002E-3</v>
      </c>
      <c r="F122" s="65">
        <f t="shared" si="58"/>
        <v>-6.4130590371460299</v>
      </c>
      <c r="G122" s="15"/>
      <c r="H122" s="15"/>
      <c r="I122" s="15"/>
      <c r="J122" s="15"/>
      <c r="K122" s="16"/>
      <c r="L122" s="17"/>
      <c r="M122" s="17"/>
      <c r="N122" s="17"/>
      <c r="O122" s="17"/>
      <c r="P122" s="5"/>
      <c r="Q122" s="5"/>
      <c r="R122" s="5"/>
      <c r="S122" s="40">
        <f t="shared" si="31"/>
        <v>0</v>
      </c>
      <c r="T122" s="40">
        <f t="shared" si="32"/>
        <v>0</v>
      </c>
      <c r="U122" s="40">
        <f t="shared" si="33"/>
        <v>1</v>
      </c>
      <c r="V122" s="40">
        <f t="shared" si="34"/>
        <v>0</v>
      </c>
      <c r="W122" s="40">
        <f t="shared" si="35"/>
        <v>0</v>
      </c>
      <c r="X122" s="40">
        <f t="shared" si="36"/>
        <v>0</v>
      </c>
      <c r="Y122" s="40">
        <f t="shared" si="37"/>
        <v>0</v>
      </c>
      <c r="Z122" s="40">
        <f t="shared" si="38"/>
        <v>0</v>
      </c>
      <c r="AA122" s="40">
        <f t="shared" si="39"/>
        <v>0</v>
      </c>
      <c r="AB122" s="40">
        <f t="shared" si="40"/>
        <v>0</v>
      </c>
      <c r="AC122" s="40">
        <f t="shared" si="41"/>
        <v>0</v>
      </c>
      <c r="AD122" s="40">
        <f t="shared" si="42"/>
        <v>0</v>
      </c>
      <c r="AE122" s="40">
        <f t="shared" si="43"/>
        <v>0</v>
      </c>
      <c r="AF122" s="40">
        <f t="shared" si="44"/>
        <v>1</v>
      </c>
      <c r="AG122" s="40">
        <f t="shared" si="45"/>
        <v>0</v>
      </c>
      <c r="AH122" s="40">
        <f t="shared" si="46"/>
        <v>0</v>
      </c>
      <c r="AI122" s="40">
        <f t="shared" si="47"/>
        <v>0</v>
      </c>
      <c r="AJ122" s="40">
        <f t="shared" si="48"/>
        <v>0</v>
      </c>
      <c r="AK122" s="40">
        <f t="shared" si="49"/>
        <v>0</v>
      </c>
      <c r="AL122" s="40">
        <f t="shared" si="50"/>
        <v>1</v>
      </c>
      <c r="AM122" s="40">
        <f t="shared" si="51"/>
        <v>0</v>
      </c>
      <c r="AN122" s="40">
        <f t="shared" si="52"/>
        <v>0</v>
      </c>
      <c r="AO122" s="40">
        <f t="shared" si="53"/>
        <v>0</v>
      </c>
      <c r="AP122" s="40">
        <f t="shared" si="54"/>
        <v>0</v>
      </c>
      <c r="AQ122" s="40">
        <f t="shared" si="55"/>
        <v>0</v>
      </c>
      <c r="AR122" s="40">
        <f t="shared" si="56"/>
        <v>0</v>
      </c>
      <c r="AS122" s="40">
        <f t="shared" si="57"/>
        <v>0</v>
      </c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</row>
    <row r="123" spans="2:110" s="2" customFormat="1" ht="14.4" customHeight="1" x14ac:dyDescent="0.25">
      <c r="B123" s="56" t="s">
        <v>20</v>
      </c>
      <c r="C123" s="57" t="s">
        <v>26</v>
      </c>
      <c r="D123" s="58" t="s">
        <v>24</v>
      </c>
      <c r="E123" s="62">
        <v>6.5700000000000021E-3</v>
      </c>
      <c r="F123" s="65">
        <f t="shared" si="58"/>
        <v>-5.0252414464856177</v>
      </c>
      <c r="G123" s="15"/>
      <c r="H123" s="15"/>
      <c r="I123" s="15"/>
      <c r="J123" s="15"/>
      <c r="K123" s="16"/>
      <c r="L123" s="17"/>
      <c r="M123" s="17"/>
      <c r="N123" s="17"/>
      <c r="O123" s="17"/>
      <c r="P123" s="5"/>
      <c r="Q123" s="5"/>
      <c r="R123" s="5"/>
      <c r="S123" s="40">
        <f t="shared" si="31"/>
        <v>0</v>
      </c>
      <c r="T123" s="40">
        <f t="shared" si="32"/>
        <v>0</v>
      </c>
      <c r="U123" s="40">
        <f t="shared" si="33"/>
        <v>1</v>
      </c>
      <c r="V123" s="40">
        <f t="shared" si="34"/>
        <v>0</v>
      </c>
      <c r="W123" s="40">
        <f t="shared" si="35"/>
        <v>0</v>
      </c>
      <c r="X123" s="40">
        <f t="shared" si="36"/>
        <v>0</v>
      </c>
      <c r="Y123" s="40">
        <f t="shared" si="37"/>
        <v>0</v>
      </c>
      <c r="Z123" s="40">
        <f t="shared" si="38"/>
        <v>0</v>
      </c>
      <c r="AA123" s="40">
        <f t="shared" si="39"/>
        <v>0</v>
      </c>
      <c r="AB123" s="40">
        <f t="shared" si="40"/>
        <v>0</v>
      </c>
      <c r="AC123" s="40">
        <f t="shared" si="41"/>
        <v>1</v>
      </c>
      <c r="AD123" s="40">
        <f t="shared" si="42"/>
        <v>0</v>
      </c>
      <c r="AE123" s="40">
        <f t="shared" si="43"/>
        <v>0</v>
      </c>
      <c r="AF123" s="40">
        <f t="shared" si="44"/>
        <v>0</v>
      </c>
      <c r="AG123" s="40">
        <f t="shared" si="45"/>
        <v>0</v>
      </c>
      <c r="AH123" s="40">
        <f t="shared" si="46"/>
        <v>0</v>
      </c>
      <c r="AI123" s="40">
        <f t="shared" si="47"/>
        <v>0</v>
      </c>
      <c r="AJ123" s="40">
        <f t="shared" si="48"/>
        <v>0</v>
      </c>
      <c r="AK123" s="40">
        <f t="shared" si="49"/>
        <v>0</v>
      </c>
      <c r="AL123" s="40">
        <f t="shared" si="50"/>
        <v>0</v>
      </c>
      <c r="AM123" s="40">
        <f t="shared" si="51"/>
        <v>0</v>
      </c>
      <c r="AN123" s="40">
        <f t="shared" si="52"/>
        <v>0</v>
      </c>
      <c r="AO123" s="40">
        <f t="shared" si="53"/>
        <v>1</v>
      </c>
      <c r="AP123" s="40">
        <f t="shared" si="54"/>
        <v>0</v>
      </c>
      <c r="AQ123" s="40">
        <f t="shared" si="55"/>
        <v>0</v>
      </c>
      <c r="AR123" s="40">
        <f t="shared" si="56"/>
        <v>0</v>
      </c>
      <c r="AS123" s="40">
        <f t="shared" si="57"/>
        <v>0</v>
      </c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</row>
    <row r="124" spans="2:110" s="2" customFormat="1" ht="14.4" customHeight="1" x14ac:dyDescent="0.25">
      <c r="B124" s="56" t="s">
        <v>20</v>
      </c>
      <c r="C124" s="57" t="s">
        <v>23</v>
      </c>
      <c r="D124" s="58" t="s">
        <v>31</v>
      </c>
      <c r="E124" s="62">
        <v>3.0500000000000002E-3</v>
      </c>
      <c r="F124" s="65">
        <f t="shared" si="58"/>
        <v>-5.7926136883628168</v>
      </c>
      <c r="G124" s="15"/>
      <c r="H124" s="15"/>
      <c r="I124" s="15"/>
      <c r="J124" s="15"/>
      <c r="K124" s="16"/>
      <c r="L124" s="17"/>
      <c r="M124" s="17"/>
      <c r="N124" s="17"/>
      <c r="O124" s="17"/>
      <c r="P124" s="5"/>
      <c r="Q124" s="5"/>
      <c r="R124" s="5"/>
      <c r="S124" s="40">
        <f t="shared" si="31"/>
        <v>0</v>
      </c>
      <c r="T124" s="40">
        <f t="shared" si="32"/>
        <v>0</v>
      </c>
      <c r="U124" s="40">
        <f t="shared" si="33"/>
        <v>1</v>
      </c>
      <c r="V124" s="40">
        <f t="shared" si="34"/>
        <v>0</v>
      </c>
      <c r="W124" s="40">
        <f t="shared" si="35"/>
        <v>0</v>
      </c>
      <c r="X124" s="40">
        <f t="shared" si="36"/>
        <v>0</v>
      </c>
      <c r="Y124" s="40">
        <f t="shared" si="37"/>
        <v>0</v>
      </c>
      <c r="Z124" s="40">
        <f t="shared" si="38"/>
        <v>1</v>
      </c>
      <c r="AA124" s="40">
        <f t="shared" si="39"/>
        <v>0</v>
      </c>
      <c r="AB124" s="40">
        <f t="shared" si="40"/>
        <v>0</v>
      </c>
      <c r="AC124" s="40">
        <f t="shared" si="41"/>
        <v>0</v>
      </c>
      <c r="AD124" s="40">
        <f t="shared" si="42"/>
        <v>0</v>
      </c>
      <c r="AE124" s="40">
        <f t="shared" si="43"/>
        <v>0</v>
      </c>
      <c r="AF124" s="40">
        <f t="shared" si="44"/>
        <v>0</v>
      </c>
      <c r="AG124" s="40">
        <f t="shared" si="45"/>
        <v>0</v>
      </c>
      <c r="AH124" s="40">
        <f t="shared" si="46"/>
        <v>0</v>
      </c>
      <c r="AI124" s="40">
        <f t="shared" si="47"/>
        <v>0</v>
      </c>
      <c r="AJ124" s="40">
        <f t="shared" si="48"/>
        <v>0</v>
      </c>
      <c r="AK124" s="40">
        <f t="shared" si="49"/>
        <v>0</v>
      </c>
      <c r="AL124" s="40">
        <f t="shared" si="50"/>
        <v>1</v>
      </c>
      <c r="AM124" s="40">
        <f t="shared" si="51"/>
        <v>0</v>
      </c>
      <c r="AN124" s="40">
        <f t="shared" si="52"/>
        <v>0</v>
      </c>
      <c r="AO124" s="40">
        <f t="shared" si="53"/>
        <v>0</v>
      </c>
      <c r="AP124" s="40">
        <f t="shared" si="54"/>
        <v>0</v>
      </c>
      <c r="AQ124" s="40">
        <f t="shared" si="55"/>
        <v>0</v>
      </c>
      <c r="AR124" s="40">
        <f t="shared" si="56"/>
        <v>0</v>
      </c>
      <c r="AS124" s="40">
        <f t="shared" si="57"/>
        <v>0</v>
      </c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</row>
    <row r="125" spans="2:110" s="2" customFormat="1" ht="14.4" customHeight="1" x14ac:dyDescent="0.25">
      <c r="B125" s="56" t="s">
        <v>20</v>
      </c>
      <c r="C125" s="57" t="s">
        <v>36</v>
      </c>
      <c r="D125" s="58" t="s">
        <v>24</v>
      </c>
      <c r="E125" s="62">
        <v>4.0400000000000011E-3</v>
      </c>
      <c r="F125" s="65">
        <f t="shared" si="58"/>
        <v>-5.5115105870090781</v>
      </c>
      <c r="G125" s="15"/>
      <c r="H125" s="15"/>
      <c r="I125" s="15"/>
      <c r="J125" s="15"/>
      <c r="K125" s="16"/>
      <c r="L125" s="17"/>
      <c r="M125" s="17"/>
      <c r="N125" s="17"/>
      <c r="O125" s="17"/>
      <c r="P125" s="5"/>
      <c r="Q125" s="5"/>
      <c r="R125" s="5"/>
      <c r="S125" s="40">
        <f t="shared" si="31"/>
        <v>0</v>
      </c>
      <c r="T125" s="40">
        <f t="shared" si="32"/>
        <v>0</v>
      </c>
      <c r="U125" s="40">
        <f t="shared" si="33"/>
        <v>1</v>
      </c>
      <c r="V125" s="40">
        <f t="shared" si="34"/>
        <v>0</v>
      </c>
      <c r="W125" s="40">
        <f t="shared" si="35"/>
        <v>0</v>
      </c>
      <c r="X125" s="40">
        <f t="shared" si="36"/>
        <v>0</v>
      </c>
      <c r="Y125" s="40">
        <f t="shared" si="37"/>
        <v>0</v>
      </c>
      <c r="Z125" s="40">
        <f t="shared" si="38"/>
        <v>0</v>
      </c>
      <c r="AA125" s="40">
        <f t="shared" si="39"/>
        <v>0</v>
      </c>
      <c r="AB125" s="40">
        <f t="shared" si="40"/>
        <v>0</v>
      </c>
      <c r="AC125" s="40">
        <f t="shared" si="41"/>
        <v>1</v>
      </c>
      <c r="AD125" s="40">
        <f t="shared" si="42"/>
        <v>0</v>
      </c>
      <c r="AE125" s="40">
        <f t="shared" si="43"/>
        <v>0</v>
      </c>
      <c r="AF125" s="40">
        <f t="shared" si="44"/>
        <v>0</v>
      </c>
      <c r="AG125" s="40">
        <f t="shared" si="45"/>
        <v>0</v>
      </c>
      <c r="AH125" s="40">
        <f t="shared" si="46"/>
        <v>0</v>
      </c>
      <c r="AI125" s="40">
        <f t="shared" si="47"/>
        <v>0</v>
      </c>
      <c r="AJ125" s="40">
        <f t="shared" si="48"/>
        <v>0</v>
      </c>
      <c r="AK125" s="40">
        <f t="shared" si="49"/>
        <v>0</v>
      </c>
      <c r="AL125" s="40">
        <f t="shared" si="50"/>
        <v>0</v>
      </c>
      <c r="AM125" s="40">
        <f t="shared" si="51"/>
        <v>0</v>
      </c>
      <c r="AN125" s="40">
        <f t="shared" si="52"/>
        <v>0</v>
      </c>
      <c r="AO125" s="40">
        <f t="shared" si="53"/>
        <v>0</v>
      </c>
      <c r="AP125" s="40">
        <f t="shared" si="54"/>
        <v>0</v>
      </c>
      <c r="AQ125" s="40">
        <f t="shared" si="55"/>
        <v>0</v>
      </c>
      <c r="AR125" s="40">
        <f t="shared" si="56"/>
        <v>0</v>
      </c>
      <c r="AS125" s="40">
        <f t="shared" si="57"/>
        <v>1</v>
      </c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</row>
    <row r="126" spans="2:110" s="2" customFormat="1" ht="14.4" customHeight="1" x14ac:dyDescent="0.25">
      <c r="B126" s="56" t="s">
        <v>20</v>
      </c>
      <c r="C126" s="57" t="s">
        <v>23</v>
      </c>
      <c r="D126" s="58" t="s">
        <v>22</v>
      </c>
      <c r="E126" s="62">
        <v>2.7099999999999997E-3</v>
      </c>
      <c r="F126" s="65">
        <f t="shared" si="58"/>
        <v>-5.9108066440905276</v>
      </c>
      <c r="G126" s="15"/>
      <c r="H126" s="15"/>
      <c r="I126" s="15"/>
      <c r="J126" s="15"/>
      <c r="K126" s="16"/>
      <c r="L126" s="17"/>
      <c r="M126" s="17"/>
      <c r="N126" s="17"/>
      <c r="O126" s="17"/>
      <c r="P126" s="5"/>
      <c r="Q126" s="5"/>
      <c r="R126" s="5"/>
      <c r="S126" s="40">
        <f t="shared" si="31"/>
        <v>0</v>
      </c>
      <c r="T126" s="40">
        <f t="shared" si="32"/>
        <v>0</v>
      </c>
      <c r="U126" s="40">
        <f t="shared" si="33"/>
        <v>1</v>
      </c>
      <c r="V126" s="40">
        <f t="shared" si="34"/>
        <v>0</v>
      </c>
      <c r="W126" s="40">
        <f t="shared" si="35"/>
        <v>0</v>
      </c>
      <c r="X126" s="40">
        <f t="shared" si="36"/>
        <v>0</v>
      </c>
      <c r="Y126" s="40">
        <f t="shared" si="37"/>
        <v>0</v>
      </c>
      <c r="Z126" s="40">
        <f t="shared" si="38"/>
        <v>0</v>
      </c>
      <c r="AA126" s="40">
        <f t="shared" si="39"/>
        <v>0</v>
      </c>
      <c r="AB126" s="40">
        <f t="shared" si="40"/>
        <v>1</v>
      </c>
      <c r="AC126" s="40">
        <f t="shared" si="41"/>
        <v>0</v>
      </c>
      <c r="AD126" s="40">
        <f t="shared" si="42"/>
        <v>0</v>
      </c>
      <c r="AE126" s="40">
        <f t="shared" si="43"/>
        <v>0</v>
      </c>
      <c r="AF126" s="40">
        <f t="shared" si="44"/>
        <v>0</v>
      </c>
      <c r="AG126" s="40">
        <f t="shared" si="45"/>
        <v>0</v>
      </c>
      <c r="AH126" s="40">
        <f t="shared" si="46"/>
        <v>0</v>
      </c>
      <c r="AI126" s="40">
        <f t="shared" si="47"/>
        <v>1</v>
      </c>
      <c r="AJ126" s="40">
        <f t="shared" si="48"/>
        <v>0</v>
      </c>
      <c r="AK126" s="40">
        <f t="shared" si="49"/>
        <v>0</v>
      </c>
      <c r="AL126" s="40">
        <f t="shared" si="50"/>
        <v>0</v>
      </c>
      <c r="AM126" s="40">
        <f t="shared" si="51"/>
        <v>0</v>
      </c>
      <c r="AN126" s="40">
        <f t="shared" si="52"/>
        <v>0</v>
      </c>
      <c r="AO126" s="40">
        <f t="shared" si="53"/>
        <v>0</v>
      </c>
      <c r="AP126" s="40">
        <f t="shared" si="54"/>
        <v>0</v>
      </c>
      <c r="AQ126" s="40">
        <f t="shared" si="55"/>
        <v>0</v>
      </c>
      <c r="AR126" s="40">
        <f t="shared" si="56"/>
        <v>0</v>
      </c>
      <c r="AS126" s="40">
        <f t="shared" si="57"/>
        <v>0</v>
      </c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</row>
    <row r="127" spans="2:110" s="2" customFormat="1" ht="14.4" customHeight="1" x14ac:dyDescent="0.25">
      <c r="B127" s="56" t="s">
        <v>20</v>
      </c>
      <c r="C127" s="57" t="s">
        <v>25</v>
      </c>
      <c r="D127" s="58" t="s">
        <v>28</v>
      </c>
      <c r="E127" s="62">
        <v>1.4199999999999998E-3</v>
      </c>
      <c r="F127" s="65">
        <f t="shared" si="58"/>
        <v>-6.5570984073689678</v>
      </c>
      <c r="G127" s="15"/>
      <c r="H127" s="15"/>
      <c r="I127" s="15"/>
      <c r="J127" s="15"/>
      <c r="K127" s="16"/>
      <c r="L127" s="17"/>
      <c r="M127" s="17"/>
      <c r="N127" s="17"/>
      <c r="O127" s="17"/>
      <c r="P127" s="5"/>
      <c r="Q127" s="5"/>
      <c r="R127" s="5"/>
      <c r="S127" s="40">
        <f t="shared" si="31"/>
        <v>0</v>
      </c>
      <c r="T127" s="40">
        <f t="shared" si="32"/>
        <v>0</v>
      </c>
      <c r="U127" s="40">
        <f t="shared" si="33"/>
        <v>1</v>
      </c>
      <c r="V127" s="40">
        <f t="shared" si="34"/>
        <v>0</v>
      </c>
      <c r="W127" s="40">
        <f t="shared" si="35"/>
        <v>0</v>
      </c>
      <c r="X127" s="40">
        <f t="shared" si="36"/>
        <v>0</v>
      </c>
      <c r="Y127" s="40">
        <f t="shared" si="37"/>
        <v>0</v>
      </c>
      <c r="Z127" s="40">
        <f t="shared" si="38"/>
        <v>0</v>
      </c>
      <c r="AA127" s="40">
        <f t="shared" si="39"/>
        <v>0</v>
      </c>
      <c r="AB127" s="40">
        <f t="shared" si="40"/>
        <v>0</v>
      </c>
      <c r="AC127" s="40">
        <f t="shared" si="41"/>
        <v>0</v>
      </c>
      <c r="AD127" s="40">
        <f t="shared" si="42"/>
        <v>0</v>
      </c>
      <c r="AE127" s="40">
        <f t="shared" si="43"/>
        <v>0</v>
      </c>
      <c r="AF127" s="40">
        <f t="shared" si="44"/>
        <v>1</v>
      </c>
      <c r="AG127" s="40">
        <f t="shared" si="45"/>
        <v>0</v>
      </c>
      <c r="AH127" s="40">
        <f t="shared" si="46"/>
        <v>0</v>
      </c>
      <c r="AI127" s="40">
        <f t="shared" si="47"/>
        <v>0</v>
      </c>
      <c r="AJ127" s="40">
        <f t="shared" si="48"/>
        <v>0</v>
      </c>
      <c r="AK127" s="40">
        <f t="shared" si="49"/>
        <v>0</v>
      </c>
      <c r="AL127" s="40">
        <f t="shared" si="50"/>
        <v>0</v>
      </c>
      <c r="AM127" s="40">
        <f t="shared" si="51"/>
        <v>0</v>
      </c>
      <c r="AN127" s="40">
        <f t="shared" si="52"/>
        <v>1</v>
      </c>
      <c r="AO127" s="40">
        <f t="shared" si="53"/>
        <v>0</v>
      </c>
      <c r="AP127" s="40">
        <f t="shared" si="54"/>
        <v>0</v>
      </c>
      <c r="AQ127" s="40">
        <f t="shared" si="55"/>
        <v>0</v>
      </c>
      <c r="AR127" s="40">
        <f t="shared" si="56"/>
        <v>0</v>
      </c>
      <c r="AS127" s="40">
        <f t="shared" si="57"/>
        <v>0</v>
      </c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</row>
    <row r="128" spans="2:110" s="2" customFormat="1" ht="14.4" customHeight="1" x14ac:dyDescent="0.25">
      <c r="B128" s="56" t="s">
        <v>20</v>
      </c>
      <c r="C128" s="57" t="s">
        <v>26</v>
      </c>
      <c r="D128" s="58" t="s">
        <v>29</v>
      </c>
      <c r="E128" s="62">
        <v>3.010000000000001E-3</v>
      </c>
      <c r="F128" s="65">
        <f t="shared" si="58"/>
        <v>-5.8058152002213523</v>
      </c>
      <c r="G128" s="15"/>
      <c r="H128" s="15"/>
      <c r="I128" s="15"/>
      <c r="J128" s="15"/>
      <c r="K128" s="16"/>
      <c r="L128" s="17"/>
      <c r="M128" s="17"/>
      <c r="N128" s="17"/>
      <c r="O128" s="17"/>
      <c r="P128" s="5"/>
      <c r="Q128" s="5"/>
      <c r="R128" s="5"/>
      <c r="S128" s="40">
        <f t="shared" si="31"/>
        <v>0</v>
      </c>
      <c r="T128" s="40">
        <f t="shared" si="32"/>
        <v>0</v>
      </c>
      <c r="U128" s="40">
        <f t="shared" si="33"/>
        <v>1</v>
      </c>
      <c r="V128" s="40">
        <f t="shared" si="34"/>
        <v>0</v>
      </c>
      <c r="W128" s="40">
        <f t="shared" si="35"/>
        <v>0</v>
      </c>
      <c r="X128" s="40">
        <f t="shared" si="36"/>
        <v>0</v>
      </c>
      <c r="Y128" s="40">
        <f t="shared" si="37"/>
        <v>0</v>
      </c>
      <c r="Z128" s="40">
        <f t="shared" si="38"/>
        <v>0</v>
      </c>
      <c r="AA128" s="40">
        <f t="shared" si="39"/>
        <v>0</v>
      </c>
      <c r="AB128" s="40">
        <f t="shared" si="40"/>
        <v>0</v>
      </c>
      <c r="AC128" s="40">
        <f t="shared" si="41"/>
        <v>0</v>
      </c>
      <c r="AD128" s="40">
        <f t="shared" si="42"/>
        <v>0</v>
      </c>
      <c r="AE128" s="40">
        <f t="shared" si="43"/>
        <v>0</v>
      </c>
      <c r="AF128" s="40">
        <f t="shared" si="44"/>
        <v>1</v>
      </c>
      <c r="AG128" s="40">
        <f t="shared" si="45"/>
        <v>0</v>
      </c>
      <c r="AH128" s="40">
        <f t="shared" si="46"/>
        <v>0</v>
      </c>
      <c r="AI128" s="40">
        <f t="shared" si="47"/>
        <v>0</v>
      </c>
      <c r="AJ128" s="40">
        <f t="shared" si="48"/>
        <v>0</v>
      </c>
      <c r="AK128" s="40">
        <f t="shared" si="49"/>
        <v>0</v>
      </c>
      <c r="AL128" s="40">
        <f t="shared" si="50"/>
        <v>1</v>
      </c>
      <c r="AM128" s="40">
        <f t="shared" si="51"/>
        <v>0</v>
      </c>
      <c r="AN128" s="40">
        <f t="shared" si="52"/>
        <v>0</v>
      </c>
      <c r="AO128" s="40">
        <f t="shared" si="53"/>
        <v>0</v>
      </c>
      <c r="AP128" s="40">
        <f t="shared" si="54"/>
        <v>0</v>
      </c>
      <c r="AQ128" s="40">
        <f t="shared" si="55"/>
        <v>0</v>
      </c>
      <c r="AR128" s="40">
        <f t="shared" si="56"/>
        <v>0</v>
      </c>
      <c r="AS128" s="40">
        <f t="shared" si="57"/>
        <v>0</v>
      </c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</row>
    <row r="129" spans="2:110" s="2" customFormat="1" ht="14.4" customHeight="1" x14ac:dyDescent="0.25">
      <c r="B129" s="56" t="s">
        <v>20</v>
      </c>
      <c r="C129" s="57" t="s">
        <v>26</v>
      </c>
      <c r="D129" s="58" t="s">
        <v>24</v>
      </c>
      <c r="E129" s="62">
        <v>3.4899999999999987E-3</v>
      </c>
      <c r="F129" s="65">
        <f t="shared" si="58"/>
        <v>-5.6578535427678016</v>
      </c>
      <c r="G129" s="15"/>
      <c r="H129" s="15"/>
      <c r="I129" s="15"/>
      <c r="J129" s="15"/>
      <c r="K129" s="16"/>
      <c r="L129" s="17"/>
      <c r="M129" s="17"/>
      <c r="N129" s="17"/>
      <c r="O129" s="17"/>
      <c r="P129" s="5"/>
      <c r="Q129" s="5"/>
      <c r="R129" s="5"/>
      <c r="S129" s="40">
        <f t="shared" si="31"/>
        <v>0</v>
      </c>
      <c r="T129" s="40">
        <f t="shared" si="32"/>
        <v>0</v>
      </c>
      <c r="U129" s="40">
        <f t="shared" si="33"/>
        <v>1</v>
      </c>
      <c r="V129" s="40">
        <f t="shared" si="34"/>
        <v>0</v>
      </c>
      <c r="W129" s="40">
        <f t="shared" si="35"/>
        <v>0</v>
      </c>
      <c r="X129" s="40">
        <f t="shared" si="36"/>
        <v>0</v>
      </c>
      <c r="Y129" s="40">
        <f t="shared" si="37"/>
        <v>0</v>
      </c>
      <c r="Z129" s="40">
        <f t="shared" si="38"/>
        <v>0</v>
      </c>
      <c r="AA129" s="40">
        <f t="shared" si="39"/>
        <v>0</v>
      </c>
      <c r="AB129" s="40">
        <f t="shared" si="40"/>
        <v>0</v>
      </c>
      <c r="AC129" s="40">
        <f t="shared" si="41"/>
        <v>0</v>
      </c>
      <c r="AD129" s="40">
        <f t="shared" si="42"/>
        <v>0</v>
      </c>
      <c r="AE129" s="40">
        <f t="shared" si="43"/>
        <v>0</v>
      </c>
      <c r="AF129" s="40">
        <f t="shared" si="44"/>
        <v>1</v>
      </c>
      <c r="AG129" s="40">
        <f t="shared" si="45"/>
        <v>0</v>
      </c>
      <c r="AH129" s="40">
        <f t="shared" si="46"/>
        <v>0</v>
      </c>
      <c r="AI129" s="40">
        <f t="shared" si="47"/>
        <v>0</v>
      </c>
      <c r="AJ129" s="40">
        <f t="shared" si="48"/>
        <v>0</v>
      </c>
      <c r="AK129" s="40">
        <f t="shared" si="49"/>
        <v>0</v>
      </c>
      <c r="AL129" s="40">
        <f t="shared" si="50"/>
        <v>0</v>
      </c>
      <c r="AM129" s="40">
        <f t="shared" si="51"/>
        <v>0</v>
      </c>
      <c r="AN129" s="40">
        <f t="shared" si="52"/>
        <v>0</v>
      </c>
      <c r="AO129" s="40">
        <f t="shared" si="53"/>
        <v>0</v>
      </c>
      <c r="AP129" s="40">
        <f t="shared" si="54"/>
        <v>0</v>
      </c>
      <c r="AQ129" s="40">
        <f t="shared" si="55"/>
        <v>0</v>
      </c>
      <c r="AR129" s="40">
        <f t="shared" si="56"/>
        <v>0</v>
      </c>
      <c r="AS129" s="40">
        <f t="shared" si="57"/>
        <v>1</v>
      </c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</row>
    <row r="130" spans="2:110" s="2" customFormat="1" ht="14.4" customHeight="1" x14ac:dyDescent="0.25">
      <c r="B130" s="56" t="s">
        <v>20</v>
      </c>
      <c r="C130" s="57" t="s">
        <v>26</v>
      </c>
      <c r="D130" s="58" t="s">
        <v>22</v>
      </c>
      <c r="E130" s="62">
        <v>6.5600000000000016E-3</v>
      </c>
      <c r="F130" s="65">
        <f t="shared" si="58"/>
        <v>-5.0267646760261391</v>
      </c>
      <c r="G130" s="15"/>
      <c r="H130" s="15"/>
      <c r="I130" s="15"/>
      <c r="J130" s="15"/>
      <c r="K130" s="16"/>
      <c r="L130" s="17"/>
      <c r="M130" s="17"/>
      <c r="N130" s="17"/>
      <c r="O130" s="17"/>
      <c r="P130" s="5"/>
      <c r="Q130" s="5"/>
      <c r="R130" s="5"/>
      <c r="S130" s="40">
        <f t="shared" si="31"/>
        <v>0</v>
      </c>
      <c r="T130" s="40">
        <f t="shared" si="32"/>
        <v>0</v>
      </c>
      <c r="U130" s="40">
        <f t="shared" si="33"/>
        <v>1</v>
      </c>
      <c r="V130" s="40">
        <f t="shared" si="34"/>
        <v>0</v>
      </c>
      <c r="W130" s="40">
        <f t="shared" si="35"/>
        <v>0</v>
      </c>
      <c r="X130" s="40">
        <f t="shared" si="36"/>
        <v>0</v>
      </c>
      <c r="Y130" s="40">
        <f t="shared" si="37"/>
        <v>0</v>
      </c>
      <c r="Z130" s="40">
        <f t="shared" si="38"/>
        <v>0</v>
      </c>
      <c r="AA130" s="40">
        <f t="shared" si="39"/>
        <v>0</v>
      </c>
      <c r="AB130" s="40">
        <f t="shared" si="40"/>
        <v>0</v>
      </c>
      <c r="AC130" s="40">
        <f t="shared" si="41"/>
        <v>1</v>
      </c>
      <c r="AD130" s="40">
        <f t="shared" si="42"/>
        <v>0</v>
      </c>
      <c r="AE130" s="40">
        <f t="shared" si="43"/>
        <v>0</v>
      </c>
      <c r="AF130" s="40">
        <f t="shared" si="44"/>
        <v>0</v>
      </c>
      <c r="AG130" s="40">
        <f t="shared" si="45"/>
        <v>0</v>
      </c>
      <c r="AH130" s="40">
        <f t="shared" si="46"/>
        <v>1</v>
      </c>
      <c r="AI130" s="40">
        <f t="shared" si="47"/>
        <v>0</v>
      </c>
      <c r="AJ130" s="40">
        <f t="shared" si="48"/>
        <v>0</v>
      </c>
      <c r="AK130" s="40">
        <f t="shared" si="49"/>
        <v>0</v>
      </c>
      <c r="AL130" s="40">
        <f t="shared" si="50"/>
        <v>0</v>
      </c>
      <c r="AM130" s="40">
        <f t="shared" si="51"/>
        <v>0</v>
      </c>
      <c r="AN130" s="40">
        <f t="shared" si="52"/>
        <v>0</v>
      </c>
      <c r="AO130" s="40">
        <f t="shared" si="53"/>
        <v>0</v>
      </c>
      <c r="AP130" s="40">
        <f t="shared" si="54"/>
        <v>0</v>
      </c>
      <c r="AQ130" s="40">
        <f t="shared" si="55"/>
        <v>0</v>
      </c>
      <c r="AR130" s="40">
        <f t="shared" si="56"/>
        <v>0</v>
      </c>
      <c r="AS130" s="40">
        <f t="shared" si="57"/>
        <v>0</v>
      </c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</row>
    <row r="131" spans="2:110" s="2" customFormat="1" ht="14.4" customHeight="1" x14ac:dyDescent="0.25">
      <c r="B131" s="56" t="s">
        <v>20</v>
      </c>
      <c r="C131" s="57" t="s">
        <v>23</v>
      </c>
      <c r="D131" s="58" t="s">
        <v>27</v>
      </c>
      <c r="E131" s="62">
        <v>2.6200000000000012E-3</v>
      </c>
      <c r="F131" s="65">
        <f t="shared" si="58"/>
        <v>-5.9445809612091312</v>
      </c>
      <c r="G131" s="15"/>
      <c r="H131" s="15"/>
      <c r="I131" s="15"/>
      <c r="J131" s="15"/>
      <c r="K131" s="16"/>
      <c r="L131" s="17"/>
      <c r="M131" s="17"/>
      <c r="N131" s="17"/>
      <c r="O131" s="17"/>
      <c r="P131" s="5"/>
      <c r="Q131" s="5"/>
      <c r="R131" s="5"/>
      <c r="S131" s="40">
        <f t="shared" si="31"/>
        <v>0</v>
      </c>
      <c r="T131" s="40">
        <f t="shared" si="32"/>
        <v>0</v>
      </c>
      <c r="U131" s="40">
        <f t="shared" si="33"/>
        <v>1</v>
      </c>
      <c r="V131" s="40">
        <f t="shared" si="34"/>
        <v>0</v>
      </c>
      <c r="W131" s="40">
        <f t="shared" si="35"/>
        <v>0</v>
      </c>
      <c r="X131" s="40">
        <f t="shared" si="36"/>
        <v>0</v>
      </c>
      <c r="Y131" s="40">
        <f t="shared" si="37"/>
        <v>0</v>
      </c>
      <c r="Z131" s="40">
        <f t="shared" si="38"/>
        <v>0</v>
      </c>
      <c r="AA131" s="40">
        <f t="shared" si="39"/>
        <v>0</v>
      </c>
      <c r="AB131" s="40">
        <f t="shared" si="40"/>
        <v>0</v>
      </c>
      <c r="AC131" s="40">
        <f t="shared" si="41"/>
        <v>1</v>
      </c>
      <c r="AD131" s="40">
        <f t="shared" si="42"/>
        <v>0</v>
      </c>
      <c r="AE131" s="40">
        <f t="shared" si="43"/>
        <v>0</v>
      </c>
      <c r="AF131" s="40">
        <f t="shared" si="44"/>
        <v>0</v>
      </c>
      <c r="AG131" s="40">
        <f t="shared" si="45"/>
        <v>0</v>
      </c>
      <c r="AH131" s="40">
        <f t="shared" si="46"/>
        <v>0</v>
      </c>
      <c r="AI131" s="40">
        <f t="shared" si="47"/>
        <v>0</v>
      </c>
      <c r="AJ131" s="40">
        <f t="shared" si="48"/>
        <v>0</v>
      </c>
      <c r="AK131" s="40">
        <f t="shared" si="49"/>
        <v>0</v>
      </c>
      <c r="AL131" s="40">
        <f t="shared" si="50"/>
        <v>0</v>
      </c>
      <c r="AM131" s="40">
        <f t="shared" si="51"/>
        <v>0</v>
      </c>
      <c r="AN131" s="40">
        <f t="shared" si="52"/>
        <v>0</v>
      </c>
      <c r="AO131" s="40">
        <f t="shared" si="53"/>
        <v>1</v>
      </c>
      <c r="AP131" s="40">
        <f t="shared" si="54"/>
        <v>0</v>
      </c>
      <c r="AQ131" s="40">
        <f t="shared" si="55"/>
        <v>0</v>
      </c>
      <c r="AR131" s="40">
        <f t="shared" si="56"/>
        <v>0</v>
      </c>
      <c r="AS131" s="40">
        <f t="shared" si="57"/>
        <v>0</v>
      </c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</row>
    <row r="132" spans="2:110" s="2" customFormat="1" ht="14.4" customHeight="1" x14ac:dyDescent="0.25">
      <c r="B132" s="56" t="s">
        <v>20</v>
      </c>
      <c r="C132" s="57" t="s">
        <v>23</v>
      </c>
      <c r="D132" s="58" t="s">
        <v>31</v>
      </c>
      <c r="E132" s="62">
        <v>3.2999999999999987E-3</v>
      </c>
      <c r="F132" s="65">
        <f t="shared" si="58"/>
        <v>-5.7138328105097029</v>
      </c>
      <c r="G132" s="15"/>
      <c r="H132" s="15"/>
      <c r="I132" s="15"/>
      <c r="J132" s="15"/>
      <c r="K132" s="16"/>
      <c r="L132" s="17"/>
      <c r="M132" s="17"/>
      <c r="N132" s="17"/>
      <c r="O132" s="17"/>
      <c r="P132" s="5"/>
      <c r="Q132" s="5"/>
      <c r="R132" s="5"/>
      <c r="S132" s="40">
        <f t="shared" si="31"/>
        <v>0</v>
      </c>
      <c r="T132" s="40">
        <f t="shared" si="32"/>
        <v>0</v>
      </c>
      <c r="U132" s="40">
        <f t="shared" si="33"/>
        <v>1</v>
      </c>
      <c r="V132" s="40">
        <f t="shared" si="34"/>
        <v>0</v>
      </c>
      <c r="W132" s="40">
        <f t="shared" si="35"/>
        <v>0</v>
      </c>
      <c r="X132" s="40">
        <f t="shared" si="36"/>
        <v>0</v>
      </c>
      <c r="Y132" s="40">
        <f t="shared" si="37"/>
        <v>0</v>
      </c>
      <c r="Z132" s="40">
        <f t="shared" si="38"/>
        <v>0</v>
      </c>
      <c r="AA132" s="40">
        <f t="shared" si="39"/>
        <v>0</v>
      </c>
      <c r="AB132" s="40">
        <f t="shared" si="40"/>
        <v>0</v>
      </c>
      <c r="AC132" s="40">
        <f t="shared" si="41"/>
        <v>1</v>
      </c>
      <c r="AD132" s="40">
        <f t="shared" si="42"/>
        <v>0</v>
      </c>
      <c r="AE132" s="40">
        <f t="shared" si="43"/>
        <v>0</v>
      </c>
      <c r="AF132" s="40">
        <f t="shared" si="44"/>
        <v>0</v>
      </c>
      <c r="AG132" s="40">
        <f t="shared" si="45"/>
        <v>0</v>
      </c>
      <c r="AH132" s="40">
        <f t="shared" si="46"/>
        <v>0</v>
      </c>
      <c r="AI132" s="40">
        <f t="shared" si="47"/>
        <v>0</v>
      </c>
      <c r="AJ132" s="40">
        <f t="shared" si="48"/>
        <v>0</v>
      </c>
      <c r="AK132" s="40">
        <f t="shared" si="49"/>
        <v>0</v>
      </c>
      <c r="AL132" s="40">
        <f t="shared" si="50"/>
        <v>1</v>
      </c>
      <c r="AM132" s="40">
        <f t="shared" si="51"/>
        <v>0</v>
      </c>
      <c r="AN132" s="40">
        <f t="shared" si="52"/>
        <v>0</v>
      </c>
      <c r="AO132" s="40">
        <f t="shared" si="53"/>
        <v>0</v>
      </c>
      <c r="AP132" s="40">
        <f t="shared" si="54"/>
        <v>0</v>
      </c>
      <c r="AQ132" s="40">
        <f t="shared" si="55"/>
        <v>0</v>
      </c>
      <c r="AR132" s="40">
        <f t="shared" si="56"/>
        <v>0</v>
      </c>
      <c r="AS132" s="40">
        <f t="shared" si="57"/>
        <v>0</v>
      </c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</row>
    <row r="133" spans="2:110" s="2" customFormat="1" ht="14.4" customHeight="1" x14ac:dyDescent="0.25">
      <c r="B133" s="56" t="s">
        <v>20</v>
      </c>
      <c r="C133" s="57" t="s">
        <v>23</v>
      </c>
      <c r="D133" s="58" t="s">
        <v>24</v>
      </c>
      <c r="E133" s="62">
        <v>2.429999999999999E-3</v>
      </c>
      <c r="F133" s="65">
        <f t="shared" si="58"/>
        <v>-6.0198640216296804</v>
      </c>
      <c r="G133" s="15"/>
      <c r="H133" s="15"/>
      <c r="I133" s="15"/>
      <c r="J133" s="15"/>
      <c r="K133" s="16"/>
      <c r="L133" s="17"/>
      <c r="M133" s="17"/>
      <c r="N133" s="17"/>
      <c r="O133" s="17"/>
      <c r="P133" s="5"/>
      <c r="Q133" s="5"/>
      <c r="R133" s="5"/>
      <c r="S133" s="40">
        <f t="shared" si="31"/>
        <v>0</v>
      </c>
      <c r="T133" s="40">
        <f t="shared" si="32"/>
        <v>0</v>
      </c>
      <c r="U133" s="40">
        <f t="shared" si="33"/>
        <v>1</v>
      </c>
      <c r="V133" s="40">
        <f t="shared" si="34"/>
        <v>0</v>
      </c>
      <c r="W133" s="40">
        <f t="shared" si="35"/>
        <v>0</v>
      </c>
      <c r="X133" s="40">
        <f t="shared" si="36"/>
        <v>0</v>
      </c>
      <c r="Y133" s="40">
        <f t="shared" si="37"/>
        <v>0</v>
      </c>
      <c r="Z133" s="40">
        <f t="shared" si="38"/>
        <v>0</v>
      </c>
      <c r="AA133" s="40">
        <f t="shared" si="39"/>
        <v>0</v>
      </c>
      <c r="AB133" s="40">
        <f t="shared" si="40"/>
        <v>0</v>
      </c>
      <c r="AC133" s="40">
        <f t="shared" si="41"/>
        <v>1</v>
      </c>
      <c r="AD133" s="40">
        <f t="shared" si="42"/>
        <v>0</v>
      </c>
      <c r="AE133" s="40">
        <f t="shared" si="43"/>
        <v>0</v>
      </c>
      <c r="AF133" s="40">
        <f t="shared" si="44"/>
        <v>0</v>
      </c>
      <c r="AG133" s="40">
        <f t="shared" si="45"/>
        <v>0</v>
      </c>
      <c r="AH133" s="40">
        <f t="shared" si="46"/>
        <v>0</v>
      </c>
      <c r="AI133" s="40">
        <f t="shared" si="47"/>
        <v>0</v>
      </c>
      <c r="AJ133" s="40">
        <f t="shared" si="48"/>
        <v>0</v>
      </c>
      <c r="AK133" s="40">
        <f t="shared" si="49"/>
        <v>0</v>
      </c>
      <c r="AL133" s="40">
        <f t="shared" si="50"/>
        <v>0</v>
      </c>
      <c r="AM133" s="40">
        <f t="shared" si="51"/>
        <v>0</v>
      </c>
      <c r="AN133" s="40">
        <f t="shared" si="52"/>
        <v>0</v>
      </c>
      <c r="AO133" s="40">
        <f t="shared" si="53"/>
        <v>1</v>
      </c>
      <c r="AP133" s="40">
        <f t="shared" si="54"/>
        <v>0</v>
      </c>
      <c r="AQ133" s="40">
        <f t="shared" si="55"/>
        <v>0</v>
      </c>
      <c r="AR133" s="40">
        <f t="shared" si="56"/>
        <v>0</v>
      </c>
      <c r="AS133" s="40">
        <f t="shared" si="57"/>
        <v>0</v>
      </c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</row>
    <row r="134" spans="2:110" s="2" customFormat="1" ht="14.4" customHeight="1" x14ac:dyDescent="0.25">
      <c r="B134" s="56" t="s">
        <v>20</v>
      </c>
      <c r="C134" s="57" t="s">
        <v>23</v>
      </c>
      <c r="D134" s="58" t="s">
        <v>31</v>
      </c>
      <c r="E134" s="62">
        <v>3.2400000000000011E-3</v>
      </c>
      <c r="F134" s="65">
        <f t="shared" si="58"/>
        <v>-5.7321819491778987</v>
      </c>
      <c r="K134" s="3"/>
      <c r="L134" s="5"/>
      <c r="M134" s="5"/>
      <c r="N134" s="5"/>
      <c r="O134" s="5"/>
      <c r="P134" s="5"/>
      <c r="Q134" s="5"/>
      <c r="R134" s="5"/>
      <c r="S134" s="40">
        <f t="shared" si="31"/>
        <v>0</v>
      </c>
      <c r="T134" s="40">
        <f t="shared" si="32"/>
        <v>0</v>
      </c>
      <c r="U134" s="40">
        <f t="shared" si="33"/>
        <v>1</v>
      </c>
      <c r="V134" s="40">
        <f t="shared" si="34"/>
        <v>0</v>
      </c>
      <c r="W134" s="40">
        <f t="shared" si="35"/>
        <v>0</v>
      </c>
      <c r="X134" s="40">
        <f t="shared" si="36"/>
        <v>0</v>
      </c>
      <c r="Y134" s="40">
        <f t="shared" si="37"/>
        <v>0</v>
      </c>
      <c r="Z134" s="40">
        <f t="shared" si="38"/>
        <v>0</v>
      </c>
      <c r="AA134" s="40">
        <f t="shared" si="39"/>
        <v>0</v>
      </c>
      <c r="AB134" s="40">
        <f t="shared" si="40"/>
        <v>0</v>
      </c>
      <c r="AC134" s="40">
        <f t="shared" si="41"/>
        <v>1</v>
      </c>
      <c r="AD134" s="40">
        <f t="shared" si="42"/>
        <v>0</v>
      </c>
      <c r="AE134" s="40">
        <f t="shared" si="43"/>
        <v>0</v>
      </c>
      <c r="AF134" s="40">
        <f t="shared" si="44"/>
        <v>0</v>
      </c>
      <c r="AG134" s="40">
        <f t="shared" si="45"/>
        <v>0</v>
      </c>
      <c r="AH134" s="40">
        <f t="shared" si="46"/>
        <v>0</v>
      </c>
      <c r="AI134" s="40">
        <f t="shared" si="47"/>
        <v>0</v>
      </c>
      <c r="AJ134" s="40">
        <f t="shared" si="48"/>
        <v>0</v>
      </c>
      <c r="AK134" s="40">
        <f t="shared" si="49"/>
        <v>1</v>
      </c>
      <c r="AL134" s="40">
        <f t="shared" si="50"/>
        <v>0</v>
      </c>
      <c r="AM134" s="40">
        <f t="shared" si="51"/>
        <v>0</v>
      </c>
      <c r="AN134" s="40">
        <f t="shared" si="52"/>
        <v>0</v>
      </c>
      <c r="AO134" s="40">
        <f t="shared" si="53"/>
        <v>0</v>
      </c>
      <c r="AP134" s="40">
        <f t="shared" si="54"/>
        <v>0</v>
      </c>
      <c r="AQ134" s="40">
        <f t="shared" si="55"/>
        <v>0</v>
      </c>
      <c r="AR134" s="40">
        <f t="shared" si="56"/>
        <v>0</v>
      </c>
      <c r="AS134" s="40">
        <f t="shared" si="57"/>
        <v>0</v>
      </c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</row>
    <row r="135" spans="2:110" s="2" customFormat="1" ht="14.4" customHeight="1" x14ac:dyDescent="0.25">
      <c r="B135" s="56" t="s">
        <v>20</v>
      </c>
      <c r="C135" s="57" t="s">
        <v>23</v>
      </c>
      <c r="D135" s="58" t="s">
        <v>32</v>
      </c>
      <c r="E135" s="62">
        <v>2.8600000000000014E-3</v>
      </c>
      <c r="F135" s="65">
        <f t="shared" si="58"/>
        <v>-5.8569336541503754</v>
      </c>
      <c r="K135" s="3"/>
      <c r="L135" s="5"/>
      <c r="M135" s="5"/>
      <c r="N135" s="5"/>
      <c r="O135" s="5"/>
      <c r="P135" s="5"/>
      <c r="Q135" s="5"/>
      <c r="R135" s="5"/>
      <c r="S135" s="40">
        <f t="shared" si="31"/>
        <v>0</v>
      </c>
      <c r="T135" s="40">
        <f t="shared" si="32"/>
        <v>0</v>
      </c>
      <c r="U135" s="40">
        <f t="shared" si="33"/>
        <v>1</v>
      </c>
      <c r="V135" s="40">
        <f t="shared" si="34"/>
        <v>0</v>
      </c>
      <c r="W135" s="40">
        <f t="shared" si="35"/>
        <v>0</v>
      </c>
      <c r="X135" s="40">
        <f t="shared" si="36"/>
        <v>0</v>
      </c>
      <c r="Y135" s="40">
        <f t="shared" si="37"/>
        <v>0</v>
      </c>
      <c r="Z135" s="40">
        <f t="shared" si="38"/>
        <v>0</v>
      </c>
      <c r="AA135" s="40">
        <f t="shared" si="39"/>
        <v>0</v>
      </c>
      <c r="AB135" s="40">
        <f t="shared" si="40"/>
        <v>0</v>
      </c>
      <c r="AC135" s="40">
        <f t="shared" si="41"/>
        <v>1</v>
      </c>
      <c r="AD135" s="40">
        <f t="shared" si="42"/>
        <v>0</v>
      </c>
      <c r="AE135" s="40">
        <f t="shared" si="43"/>
        <v>0</v>
      </c>
      <c r="AF135" s="40">
        <f t="shared" si="44"/>
        <v>0</v>
      </c>
      <c r="AG135" s="40">
        <f t="shared" si="45"/>
        <v>0</v>
      </c>
      <c r="AH135" s="40">
        <f t="shared" si="46"/>
        <v>0</v>
      </c>
      <c r="AI135" s="40">
        <f t="shared" si="47"/>
        <v>0</v>
      </c>
      <c r="AJ135" s="40">
        <f t="shared" si="48"/>
        <v>0</v>
      </c>
      <c r="AK135" s="40">
        <f t="shared" si="49"/>
        <v>0</v>
      </c>
      <c r="AL135" s="40">
        <f t="shared" si="50"/>
        <v>1</v>
      </c>
      <c r="AM135" s="40">
        <f t="shared" si="51"/>
        <v>0</v>
      </c>
      <c r="AN135" s="40">
        <f t="shared" si="52"/>
        <v>0</v>
      </c>
      <c r="AO135" s="40">
        <f t="shared" si="53"/>
        <v>0</v>
      </c>
      <c r="AP135" s="40">
        <f t="shared" si="54"/>
        <v>0</v>
      </c>
      <c r="AQ135" s="40">
        <f t="shared" si="55"/>
        <v>0</v>
      </c>
      <c r="AR135" s="40">
        <f t="shared" si="56"/>
        <v>0</v>
      </c>
      <c r="AS135" s="40">
        <f t="shared" si="57"/>
        <v>0</v>
      </c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</row>
    <row r="136" spans="2:110" s="2" customFormat="1" ht="14.4" customHeight="1" x14ac:dyDescent="0.25">
      <c r="B136" s="56" t="s">
        <v>20</v>
      </c>
      <c r="C136" s="57" t="s">
        <v>23</v>
      </c>
      <c r="D136" s="58" t="s">
        <v>24</v>
      </c>
      <c r="E136" s="62">
        <v>3.0599999999999989E-3</v>
      </c>
      <c r="F136" s="65">
        <f t="shared" si="58"/>
        <v>-5.7893403630178479</v>
      </c>
      <c r="K136" s="3"/>
      <c r="L136" s="5"/>
      <c r="M136" s="5"/>
      <c r="N136" s="5"/>
      <c r="O136" s="5"/>
      <c r="P136" s="5"/>
      <c r="Q136" s="5"/>
      <c r="R136" s="5"/>
      <c r="S136" s="40">
        <f t="shared" si="31"/>
        <v>0</v>
      </c>
      <c r="T136" s="40">
        <f t="shared" si="32"/>
        <v>0</v>
      </c>
      <c r="U136" s="40">
        <f t="shared" si="33"/>
        <v>1</v>
      </c>
      <c r="V136" s="40">
        <f t="shared" si="34"/>
        <v>0</v>
      </c>
      <c r="W136" s="40">
        <f t="shared" si="35"/>
        <v>0</v>
      </c>
      <c r="X136" s="40">
        <f t="shared" si="36"/>
        <v>0</v>
      </c>
      <c r="Y136" s="40">
        <f t="shared" si="37"/>
        <v>0</v>
      </c>
      <c r="Z136" s="40">
        <f t="shared" si="38"/>
        <v>0</v>
      </c>
      <c r="AA136" s="40">
        <f t="shared" si="39"/>
        <v>0</v>
      </c>
      <c r="AB136" s="40">
        <f t="shared" si="40"/>
        <v>0</v>
      </c>
      <c r="AC136" s="40">
        <f t="shared" si="41"/>
        <v>0</v>
      </c>
      <c r="AD136" s="40">
        <f t="shared" si="42"/>
        <v>0</v>
      </c>
      <c r="AE136" s="40">
        <f t="shared" si="43"/>
        <v>0</v>
      </c>
      <c r="AF136" s="40">
        <f t="shared" si="44"/>
        <v>1</v>
      </c>
      <c r="AG136" s="40">
        <f t="shared" si="45"/>
        <v>0</v>
      </c>
      <c r="AH136" s="40">
        <f t="shared" si="46"/>
        <v>0</v>
      </c>
      <c r="AI136" s="40">
        <f t="shared" si="47"/>
        <v>0</v>
      </c>
      <c r="AJ136" s="40">
        <f t="shared" si="48"/>
        <v>0</v>
      </c>
      <c r="AK136" s="40">
        <f t="shared" si="49"/>
        <v>0</v>
      </c>
      <c r="AL136" s="40">
        <f t="shared" si="50"/>
        <v>1</v>
      </c>
      <c r="AM136" s="40">
        <f t="shared" si="51"/>
        <v>0</v>
      </c>
      <c r="AN136" s="40">
        <f t="shared" si="52"/>
        <v>0</v>
      </c>
      <c r="AO136" s="40">
        <f t="shared" si="53"/>
        <v>0</v>
      </c>
      <c r="AP136" s="40">
        <f t="shared" si="54"/>
        <v>0</v>
      </c>
      <c r="AQ136" s="40">
        <f t="shared" si="55"/>
        <v>0</v>
      </c>
      <c r="AR136" s="40">
        <f t="shared" si="56"/>
        <v>0</v>
      </c>
      <c r="AS136" s="40">
        <f t="shared" si="57"/>
        <v>0</v>
      </c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</row>
    <row r="137" spans="2:110" s="2" customFormat="1" ht="14.4" customHeight="1" x14ac:dyDescent="0.25">
      <c r="B137" s="56" t="s">
        <v>20</v>
      </c>
      <c r="C137" s="57" t="s">
        <v>26</v>
      </c>
      <c r="D137" s="58" t="s">
        <v>24</v>
      </c>
      <c r="E137" s="62">
        <v>6.5999999999999974E-3</v>
      </c>
      <c r="F137" s="65">
        <f t="shared" si="58"/>
        <v>-5.0206856299497575</v>
      </c>
      <c r="K137" s="3"/>
      <c r="L137" s="5"/>
      <c r="M137" s="5"/>
      <c r="N137" s="5"/>
      <c r="O137" s="5"/>
      <c r="P137" s="5"/>
      <c r="Q137" s="5"/>
      <c r="R137" s="5"/>
      <c r="S137" s="40">
        <f t="shared" si="31"/>
        <v>0</v>
      </c>
      <c r="T137" s="40">
        <f t="shared" si="32"/>
        <v>0</v>
      </c>
      <c r="U137" s="40">
        <f t="shared" si="33"/>
        <v>1</v>
      </c>
      <c r="V137" s="40">
        <f t="shared" si="34"/>
        <v>0</v>
      </c>
      <c r="W137" s="40">
        <f t="shared" si="35"/>
        <v>0</v>
      </c>
      <c r="X137" s="40">
        <f t="shared" si="36"/>
        <v>0</v>
      </c>
      <c r="Y137" s="40">
        <f t="shared" si="37"/>
        <v>0</v>
      </c>
      <c r="Z137" s="40">
        <f t="shared" si="38"/>
        <v>0</v>
      </c>
      <c r="AA137" s="40">
        <f t="shared" si="39"/>
        <v>0</v>
      </c>
      <c r="AB137" s="40">
        <f t="shared" si="40"/>
        <v>0</v>
      </c>
      <c r="AC137" s="40">
        <f t="shared" si="41"/>
        <v>0</v>
      </c>
      <c r="AD137" s="40">
        <f t="shared" si="42"/>
        <v>0</v>
      </c>
      <c r="AE137" s="40">
        <f t="shared" si="43"/>
        <v>0</v>
      </c>
      <c r="AF137" s="40">
        <f t="shared" si="44"/>
        <v>1</v>
      </c>
      <c r="AG137" s="40">
        <f t="shared" si="45"/>
        <v>0</v>
      </c>
      <c r="AH137" s="40">
        <f t="shared" si="46"/>
        <v>0</v>
      </c>
      <c r="AI137" s="40">
        <f t="shared" si="47"/>
        <v>0</v>
      </c>
      <c r="AJ137" s="40">
        <f t="shared" si="48"/>
        <v>0</v>
      </c>
      <c r="AK137" s="40">
        <f t="shared" si="49"/>
        <v>0</v>
      </c>
      <c r="AL137" s="40">
        <f t="shared" si="50"/>
        <v>1</v>
      </c>
      <c r="AM137" s="40">
        <f t="shared" si="51"/>
        <v>0</v>
      </c>
      <c r="AN137" s="40">
        <f t="shared" si="52"/>
        <v>0</v>
      </c>
      <c r="AO137" s="40">
        <f t="shared" si="53"/>
        <v>0</v>
      </c>
      <c r="AP137" s="40">
        <f t="shared" si="54"/>
        <v>0</v>
      </c>
      <c r="AQ137" s="40">
        <f t="shared" si="55"/>
        <v>0</v>
      </c>
      <c r="AR137" s="40">
        <f t="shared" si="56"/>
        <v>0</v>
      </c>
      <c r="AS137" s="40">
        <f t="shared" si="57"/>
        <v>0</v>
      </c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</row>
    <row r="138" spans="2:110" s="2" customFormat="1" ht="14.4" customHeight="1" x14ac:dyDescent="0.25">
      <c r="B138" s="56" t="s">
        <v>20</v>
      </c>
      <c r="C138" s="57" t="s">
        <v>26</v>
      </c>
      <c r="D138" s="58" t="s">
        <v>24</v>
      </c>
      <c r="E138" s="62">
        <v>3.81E-3</v>
      </c>
      <c r="F138" s="65">
        <f t="shared" si="58"/>
        <v>-5.5701260898435274</v>
      </c>
      <c r="K138" s="3"/>
      <c r="L138" s="5"/>
      <c r="M138" s="5"/>
      <c r="N138" s="5"/>
      <c r="O138" s="5"/>
      <c r="P138" s="5"/>
      <c r="Q138" s="5"/>
      <c r="R138" s="5"/>
      <c r="S138" s="40">
        <f t="shared" ref="S138:S201" si="59">IF($B139=S$9,1,0)</f>
        <v>0</v>
      </c>
      <c r="T138" s="40">
        <f t="shared" ref="T138:T201" si="60">IF($B139=T$9,1,0)</f>
        <v>0</v>
      </c>
      <c r="U138" s="40">
        <f t="shared" ref="U138:U201" si="61">IF($B139=U$9,1,0)</f>
        <v>1</v>
      </c>
      <c r="V138" s="40">
        <f t="shared" ref="V138:V201" si="62">IF($B139=V$9,1,0)</f>
        <v>0</v>
      </c>
      <c r="W138" s="40">
        <f t="shared" ref="W138:W201" si="63">IF($B139=W$9,1,0)</f>
        <v>0</v>
      </c>
      <c r="X138" s="40">
        <f t="shared" ref="X138:X201" si="64">IF($B139=X$9,1,0)</f>
        <v>0</v>
      </c>
      <c r="Y138" s="40">
        <f t="shared" ref="Y138:Y201" si="65">IF($B139=Y$9,1,0)</f>
        <v>0</v>
      </c>
      <c r="Z138" s="40">
        <f t="shared" ref="Z138:Z201" si="66">IF($C139=Z$9,1,0)</f>
        <v>0</v>
      </c>
      <c r="AA138" s="40">
        <f t="shared" ref="AA138:AA201" si="67">IF($C139=AA$9,1,0)</f>
        <v>0</v>
      </c>
      <c r="AB138" s="40">
        <f t="shared" ref="AB138:AB201" si="68">IF($C139=AB$9,1,0)</f>
        <v>0</v>
      </c>
      <c r="AC138" s="40">
        <f t="shared" ref="AC138:AC201" si="69">IF($C139=AC$9,1,0)</f>
        <v>0</v>
      </c>
      <c r="AD138" s="40">
        <f t="shared" ref="AD138:AD201" si="70">IF($C139=AD$9,1,0)</f>
        <v>0</v>
      </c>
      <c r="AE138" s="40">
        <f t="shared" ref="AE138:AE201" si="71">IF($C139=AE$9,1,0)</f>
        <v>0</v>
      </c>
      <c r="AF138" s="40">
        <f t="shared" ref="AF138:AF201" si="72">IF($C139=AF$9,1,0)</f>
        <v>1</v>
      </c>
      <c r="AG138" s="40">
        <f t="shared" ref="AG138:AG201" si="73">IF($C139=AG$9,1,0)</f>
        <v>0</v>
      </c>
      <c r="AH138" s="40">
        <f t="shared" ref="AH138:AH201" si="74">IF($D139=AH$9,1,0)</f>
        <v>0</v>
      </c>
      <c r="AI138" s="40">
        <f t="shared" ref="AI138:AI201" si="75">IF($D139=AI$9,1,0)</f>
        <v>0</v>
      </c>
      <c r="AJ138" s="40">
        <f t="shared" ref="AJ138:AJ201" si="76">IF($D139=AJ$9,1,0)</f>
        <v>0</v>
      </c>
      <c r="AK138" s="40">
        <f t="shared" ref="AK138:AK201" si="77">IF($D139=AK$9,1,0)</f>
        <v>0</v>
      </c>
      <c r="AL138" s="40">
        <f t="shared" ref="AL138:AL201" si="78">IF($D139=AL$9,1,0)</f>
        <v>0</v>
      </c>
      <c r="AM138" s="40">
        <f t="shared" ref="AM138:AM201" si="79">IF($D139=AM$9,1,0)</f>
        <v>0</v>
      </c>
      <c r="AN138" s="40">
        <f t="shared" ref="AN138:AN201" si="80">IF($D139=AN$9,1,0)</f>
        <v>0</v>
      </c>
      <c r="AO138" s="40">
        <f t="shared" ref="AO138:AO201" si="81">IF($D139=AO$9,1,0)</f>
        <v>0</v>
      </c>
      <c r="AP138" s="40">
        <f t="shared" ref="AP138:AP201" si="82">IF($D139=AP$9,1,0)</f>
        <v>0</v>
      </c>
      <c r="AQ138" s="40">
        <f t="shared" ref="AQ138:AQ201" si="83">IF($D139=AQ$9,1,0)</f>
        <v>0</v>
      </c>
      <c r="AR138" s="40">
        <f t="shared" ref="AR138:AR201" si="84">IF($D139=AR$9,1,0)</f>
        <v>1</v>
      </c>
      <c r="AS138" s="40">
        <f t="shared" ref="AS138:AS201" si="85">IF($D139=AS$9,1,0)</f>
        <v>0</v>
      </c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</row>
    <row r="139" spans="2:110" s="2" customFormat="1" ht="14.4" customHeight="1" x14ac:dyDescent="0.25">
      <c r="B139" s="56" t="s">
        <v>20</v>
      </c>
      <c r="C139" s="57" t="s">
        <v>26</v>
      </c>
      <c r="D139" s="58" t="s">
        <v>33</v>
      </c>
      <c r="E139" s="62">
        <v>3.1700000000000014E-3</v>
      </c>
      <c r="F139" s="65">
        <f t="shared" si="58"/>
        <v>-5.7540236910929474</v>
      </c>
      <c r="K139" s="3"/>
      <c r="L139" s="5"/>
      <c r="M139" s="5"/>
      <c r="N139" s="5"/>
      <c r="O139" s="5"/>
      <c r="P139" s="5"/>
      <c r="Q139" s="5"/>
      <c r="R139" s="5"/>
      <c r="S139" s="40">
        <f t="shared" si="59"/>
        <v>0</v>
      </c>
      <c r="T139" s="40">
        <f t="shared" si="60"/>
        <v>0</v>
      </c>
      <c r="U139" s="40">
        <f t="shared" si="61"/>
        <v>1</v>
      </c>
      <c r="V139" s="40">
        <f t="shared" si="62"/>
        <v>0</v>
      </c>
      <c r="W139" s="40">
        <f t="shared" si="63"/>
        <v>0</v>
      </c>
      <c r="X139" s="40">
        <f t="shared" si="64"/>
        <v>0</v>
      </c>
      <c r="Y139" s="40">
        <f t="shared" si="65"/>
        <v>0</v>
      </c>
      <c r="Z139" s="40">
        <f t="shared" si="66"/>
        <v>0</v>
      </c>
      <c r="AA139" s="40">
        <f t="shared" si="67"/>
        <v>0</v>
      </c>
      <c r="AB139" s="40">
        <f t="shared" si="68"/>
        <v>0</v>
      </c>
      <c r="AC139" s="40">
        <f t="shared" si="69"/>
        <v>0</v>
      </c>
      <c r="AD139" s="40">
        <f t="shared" si="70"/>
        <v>0</v>
      </c>
      <c r="AE139" s="40">
        <f t="shared" si="71"/>
        <v>0</v>
      </c>
      <c r="AF139" s="40">
        <f t="shared" si="72"/>
        <v>1</v>
      </c>
      <c r="AG139" s="40">
        <f t="shared" si="73"/>
        <v>0</v>
      </c>
      <c r="AH139" s="40">
        <f t="shared" si="74"/>
        <v>0</v>
      </c>
      <c r="AI139" s="40">
        <f t="shared" si="75"/>
        <v>0</v>
      </c>
      <c r="AJ139" s="40">
        <f t="shared" si="76"/>
        <v>0</v>
      </c>
      <c r="AK139" s="40">
        <f t="shared" si="77"/>
        <v>0</v>
      </c>
      <c r="AL139" s="40">
        <f t="shared" si="78"/>
        <v>0</v>
      </c>
      <c r="AM139" s="40">
        <f t="shared" si="79"/>
        <v>0</v>
      </c>
      <c r="AN139" s="40">
        <f t="shared" si="80"/>
        <v>0</v>
      </c>
      <c r="AO139" s="40">
        <f t="shared" si="81"/>
        <v>0</v>
      </c>
      <c r="AP139" s="40">
        <f t="shared" si="82"/>
        <v>0</v>
      </c>
      <c r="AQ139" s="40">
        <f t="shared" si="83"/>
        <v>0</v>
      </c>
      <c r="AR139" s="40">
        <f t="shared" si="84"/>
        <v>0</v>
      </c>
      <c r="AS139" s="40">
        <f t="shared" si="85"/>
        <v>1</v>
      </c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</row>
    <row r="140" spans="2:110" s="2" customFormat="1" ht="14.4" customHeight="1" x14ac:dyDescent="0.25">
      <c r="B140" s="56" t="s">
        <v>20</v>
      </c>
      <c r="C140" s="57" t="s">
        <v>26</v>
      </c>
      <c r="D140" s="58" t="s">
        <v>22</v>
      </c>
      <c r="E140" s="62">
        <v>6.5700000000000021E-3</v>
      </c>
      <c r="F140" s="65">
        <f t="shared" ref="F140:F203" si="86">LN(E140)</f>
        <v>-5.0252414464856177</v>
      </c>
      <c r="K140" s="3"/>
      <c r="L140" s="5"/>
      <c r="M140" s="5"/>
      <c r="N140" s="5"/>
      <c r="O140" s="5"/>
      <c r="P140" s="5"/>
      <c r="Q140" s="5"/>
      <c r="R140" s="5"/>
      <c r="S140" s="40">
        <f t="shared" si="59"/>
        <v>0</v>
      </c>
      <c r="T140" s="40">
        <f t="shared" si="60"/>
        <v>0</v>
      </c>
      <c r="U140" s="40">
        <f t="shared" si="61"/>
        <v>1</v>
      </c>
      <c r="V140" s="40">
        <f t="shared" si="62"/>
        <v>0</v>
      </c>
      <c r="W140" s="40">
        <f t="shared" si="63"/>
        <v>0</v>
      </c>
      <c r="X140" s="40">
        <f t="shared" si="64"/>
        <v>0</v>
      </c>
      <c r="Y140" s="40">
        <f t="shared" si="65"/>
        <v>0</v>
      </c>
      <c r="Z140" s="40">
        <f t="shared" si="66"/>
        <v>0</v>
      </c>
      <c r="AA140" s="40">
        <f t="shared" si="67"/>
        <v>0</v>
      </c>
      <c r="AB140" s="40">
        <f t="shared" si="68"/>
        <v>0</v>
      </c>
      <c r="AC140" s="40">
        <f t="shared" si="69"/>
        <v>0</v>
      </c>
      <c r="AD140" s="40">
        <f t="shared" si="70"/>
        <v>0</v>
      </c>
      <c r="AE140" s="40">
        <f t="shared" si="71"/>
        <v>0</v>
      </c>
      <c r="AF140" s="40">
        <f t="shared" si="72"/>
        <v>1</v>
      </c>
      <c r="AG140" s="40">
        <f t="shared" si="73"/>
        <v>0</v>
      </c>
      <c r="AH140" s="40">
        <f t="shared" si="74"/>
        <v>0</v>
      </c>
      <c r="AI140" s="40">
        <f t="shared" si="75"/>
        <v>0</v>
      </c>
      <c r="AJ140" s="40">
        <f t="shared" si="76"/>
        <v>0</v>
      </c>
      <c r="AK140" s="40">
        <f t="shared" si="77"/>
        <v>1</v>
      </c>
      <c r="AL140" s="40">
        <f t="shared" si="78"/>
        <v>0</v>
      </c>
      <c r="AM140" s="40">
        <f t="shared" si="79"/>
        <v>0</v>
      </c>
      <c r="AN140" s="40">
        <f t="shared" si="80"/>
        <v>0</v>
      </c>
      <c r="AO140" s="40">
        <f t="shared" si="81"/>
        <v>0</v>
      </c>
      <c r="AP140" s="40">
        <f t="shared" si="82"/>
        <v>0</v>
      </c>
      <c r="AQ140" s="40">
        <f t="shared" si="83"/>
        <v>0</v>
      </c>
      <c r="AR140" s="40">
        <f t="shared" si="84"/>
        <v>0</v>
      </c>
      <c r="AS140" s="40">
        <f t="shared" si="85"/>
        <v>0</v>
      </c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</row>
    <row r="141" spans="2:110" s="2" customFormat="1" ht="14.4" customHeight="1" x14ac:dyDescent="0.25">
      <c r="B141" s="56" t="s">
        <v>20</v>
      </c>
      <c r="C141" s="57" t="s">
        <v>26</v>
      </c>
      <c r="D141" s="58" t="s">
        <v>32</v>
      </c>
      <c r="E141" s="62">
        <v>5.1299999999999983E-3</v>
      </c>
      <c r="F141" s="65">
        <f t="shared" si="86"/>
        <v>-5.2726496197994592</v>
      </c>
      <c r="K141" s="3"/>
      <c r="L141" s="5"/>
      <c r="M141" s="5"/>
      <c r="N141" s="5"/>
      <c r="O141" s="5"/>
      <c r="P141" s="5"/>
      <c r="Q141" s="5"/>
      <c r="R141" s="5"/>
      <c r="S141" s="40">
        <f t="shared" si="59"/>
        <v>0</v>
      </c>
      <c r="T141" s="40">
        <f t="shared" si="60"/>
        <v>0</v>
      </c>
      <c r="U141" s="40">
        <f t="shared" si="61"/>
        <v>1</v>
      </c>
      <c r="V141" s="40">
        <f t="shared" si="62"/>
        <v>0</v>
      </c>
      <c r="W141" s="40">
        <f t="shared" si="63"/>
        <v>0</v>
      </c>
      <c r="X141" s="40">
        <f t="shared" si="64"/>
        <v>0</v>
      </c>
      <c r="Y141" s="40">
        <f t="shared" si="65"/>
        <v>0</v>
      </c>
      <c r="Z141" s="40">
        <f t="shared" si="66"/>
        <v>0</v>
      </c>
      <c r="AA141" s="40">
        <f t="shared" si="67"/>
        <v>0</v>
      </c>
      <c r="AB141" s="40">
        <f t="shared" si="68"/>
        <v>0</v>
      </c>
      <c r="AC141" s="40">
        <f t="shared" si="69"/>
        <v>0</v>
      </c>
      <c r="AD141" s="40">
        <f t="shared" si="70"/>
        <v>0</v>
      </c>
      <c r="AE141" s="40">
        <f t="shared" si="71"/>
        <v>0</v>
      </c>
      <c r="AF141" s="40">
        <f t="shared" si="72"/>
        <v>1</v>
      </c>
      <c r="AG141" s="40">
        <f t="shared" si="73"/>
        <v>0</v>
      </c>
      <c r="AH141" s="40">
        <f t="shared" si="74"/>
        <v>0</v>
      </c>
      <c r="AI141" s="40">
        <f t="shared" si="75"/>
        <v>1</v>
      </c>
      <c r="AJ141" s="40">
        <f t="shared" si="76"/>
        <v>0</v>
      </c>
      <c r="AK141" s="40">
        <f t="shared" si="77"/>
        <v>0</v>
      </c>
      <c r="AL141" s="40">
        <f t="shared" si="78"/>
        <v>0</v>
      </c>
      <c r="AM141" s="40">
        <f t="shared" si="79"/>
        <v>0</v>
      </c>
      <c r="AN141" s="40">
        <f t="shared" si="80"/>
        <v>0</v>
      </c>
      <c r="AO141" s="40">
        <f t="shared" si="81"/>
        <v>0</v>
      </c>
      <c r="AP141" s="40">
        <f t="shared" si="82"/>
        <v>0</v>
      </c>
      <c r="AQ141" s="40">
        <f t="shared" si="83"/>
        <v>0</v>
      </c>
      <c r="AR141" s="40">
        <f t="shared" si="84"/>
        <v>0</v>
      </c>
      <c r="AS141" s="40">
        <f t="shared" si="85"/>
        <v>0</v>
      </c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</row>
    <row r="142" spans="2:110" s="2" customFormat="1" ht="14.4" customHeight="1" x14ac:dyDescent="0.25">
      <c r="B142" s="56" t="s">
        <v>20</v>
      </c>
      <c r="C142" s="57" t="s">
        <v>26</v>
      </c>
      <c r="D142" s="58" t="s">
        <v>28</v>
      </c>
      <c r="E142" s="62">
        <v>4.239999999999999E-3</v>
      </c>
      <c r="F142" s="65">
        <f t="shared" si="86"/>
        <v>-5.4631920097382709</v>
      </c>
      <c r="S142" s="40">
        <f t="shared" si="59"/>
        <v>0</v>
      </c>
      <c r="T142" s="40">
        <f t="shared" si="60"/>
        <v>0</v>
      </c>
      <c r="U142" s="40">
        <f t="shared" si="61"/>
        <v>1</v>
      </c>
      <c r="V142" s="40">
        <f t="shared" si="62"/>
        <v>0</v>
      </c>
      <c r="W142" s="40">
        <f t="shared" si="63"/>
        <v>0</v>
      </c>
      <c r="X142" s="40">
        <f t="shared" si="64"/>
        <v>0</v>
      </c>
      <c r="Y142" s="40">
        <f t="shared" si="65"/>
        <v>0</v>
      </c>
      <c r="Z142" s="40">
        <f t="shared" si="66"/>
        <v>0</v>
      </c>
      <c r="AA142" s="40">
        <f t="shared" si="67"/>
        <v>0</v>
      </c>
      <c r="AB142" s="40">
        <f t="shared" si="68"/>
        <v>0</v>
      </c>
      <c r="AC142" s="40">
        <f t="shared" si="69"/>
        <v>1</v>
      </c>
      <c r="AD142" s="40">
        <f t="shared" si="70"/>
        <v>0</v>
      </c>
      <c r="AE142" s="40">
        <f t="shared" si="71"/>
        <v>0</v>
      </c>
      <c r="AF142" s="40">
        <f t="shared" si="72"/>
        <v>0</v>
      </c>
      <c r="AG142" s="40">
        <f t="shared" si="73"/>
        <v>0</v>
      </c>
      <c r="AH142" s="40">
        <f t="shared" si="74"/>
        <v>0</v>
      </c>
      <c r="AI142" s="40">
        <f t="shared" si="75"/>
        <v>0</v>
      </c>
      <c r="AJ142" s="40">
        <f t="shared" si="76"/>
        <v>0</v>
      </c>
      <c r="AK142" s="40">
        <f t="shared" si="77"/>
        <v>0</v>
      </c>
      <c r="AL142" s="40">
        <f t="shared" si="78"/>
        <v>0</v>
      </c>
      <c r="AM142" s="40">
        <f t="shared" si="79"/>
        <v>0</v>
      </c>
      <c r="AN142" s="40">
        <f t="shared" si="80"/>
        <v>0</v>
      </c>
      <c r="AO142" s="40">
        <f t="shared" si="81"/>
        <v>0</v>
      </c>
      <c r="AP142" s="40">
        <f t="shared" si="82"/>
        <v>0</v>
      </c>
      <c r="AQ142" s="40">
        <f t="shared" si="83"/>
        <v>0</v>
      </c>
      <c r="AR142" s="40">
        <f t="shared" si="84"/>
        <v>1</v>
      </c>
      <c r="AS142" s="40">
        <f t="shared" si="85"/>
        <v>0</v>
      </c>
    </row>
    <row r="143" spans="2:110" s="2" customFormat="1" ht="14.4" customHeight="1" x14ac:dyDescent="0.25">
      <c r="B143" s="56" t="s">
        <v>20</v>
      </c>
      <c r="C143" s="57" t="s">
        <v>23</v>
      </c>
      <c r="D143" s="58" t="s">
        <v>33</v>
      </c>
      <c r="E143" s="62">
        <v>2.3E-3</v>
      </c>
      <c r="F143" s="65">
        <f t="shared" si="86"/>
        <v>-6.074846156047033</v>
      </c>
      <c r="S143" s="40">
        <f t="shared" si="59"/>
        <v>0</v>
      </c>
      <c r="T143" s="40">
        <f t="shared" si="60"/>
        <v>0</v>
      </c>
      <c r="U143" s="40">
        <f t="shared" si="61"/>
        <v>1</v>
      </c>
      <c r="V143" s="40">
        <f t="shared" si="62"/>
        <v>0</v>
      </c>
      <c r="W143" s="40">
        <f t="shared" si="63"/>
        <v>0</v>
      </c>
      <c r="X143" s="40">
        <f t="shared" si="64"/>
        <v>0</v>
      </c>
      <c r="Y143" s="40">
        <f t="shared" si="65"/>
        <v>0</v>
      </c>
      <c r="Z143" s="40">
        <f t="shared" si="66"/>
        <v>0</v>
      </c>
      <c r="AA143" s="40">
        <f t="shared" si="67"/>
        <v>0</v>
      </c>
      <c r="AB143" s="40">
        <f t="shared" si="68"/>
        <v>0</v>
      </c>
      <c r="AC143" s="40">
        <f t="shared" si="69"/>
        <v>1</v>
      </c>
      <c r="AD143" s="40">
        <f t="shared" si="70"/>
        <v>0</v>
      </c>
      <c r="AE143" s="40">
        <f t="shared" si="71"/>
        <v>0</v>
      </c>
      <c r="AF143" s="40">
        <f t="shared" si="72"/>
        <v>0</v>
      </c>
      <c r="AG143" s="40">
        <f t="shared" si="73"/>
        <v>0</v>
      </c>
      <c r="AH143" s="40">
        <f t="shared" si="74"/>
        <v>0</v>
      </c>
      <c r="AI143" s="40">
        <f t="shared" si="75"/>
        <v>1</v>
      </c>
      <c r="AJ143" s="40">
        <f t="shared" si="76"/>
        <v>0</v>
      </c>
      <c r="AK143" s="40">
        <f t="shared" si="77"/>
        <v>0</v>
      </c>
      <c r="AL143" s="40">
        <f t="shared" si="78"/>
        <v>0</v>
      </c>
      <c r="AM143" s="40">
        <f t="shared" si="79"/>
        <v>0</v>
      </c>
      <c r="AN143" s="40">
        <f t="shared" si="80"/>
        <v>0</v>
      </c>
      <c r="AO143" s="40">
        <f t="shared" si="81"/>
        <v>0</v>
      </c>
      <c r="AP143" s="40">
        <f t="shared" si="82"/>
        <v>0</v>
      </c>
      <c r="AQ143" s="40">
        <f t="shared" si="83"/>
        <v>0</v>
      </c>
      <c r="AR143" s="40">
        <f t="shared" si="84"/>
        <v>0</v>
      </c>
      <c r="AS143" s="40">
        <f t="shared" si="85"/>
        <v>0</v>
      </c>
    </row>
    <row r="144" spans="2:110" s="2" customFormat="1" ht="14.4" customHeight="1" x14ac:dyDescent="0.25">
      <c r="B144" s="56" t="s">
        <v>20</v>
      </c>
      <c r="C144" s="57" t="s">
        <v>23</v>
      </c>
      <c r="D144" s="58" t="s">
        <v>28</v>
      </c>
      <c r="E144" s="62">
        <v>4.3400000000000001E-3</v>
      </c>
      <c r="F144" s="65">
        <f t="shared" si="86"/>
        <v>-5.4398809308698235</v>
      </c>
      <c r="S144" s="40">
        <f t="shared" si="59"/>
        <v>0</v>
      </c>
      <c r="T144" s="40">
        <f t="shared" si="60"/>
        <v>0</v>
      </c>
      <c r="U144" s="40">
        <f t="shared" si="61"/>
        <v>1</v>
      </c>
      <c r="V144" s="40">
        <f t="shared" si="62"/>
        <v>0</v>
      </c>
      <c r="W144" s="40">
        <f t="shared" si="63"/>
        <v>0</v>
      </c>
      <c r="X144" s="40">
        <f t="shared" si="64"/>
        <v>0</v>
      </c>
      <c r="Y144" s="40">
        <f t="shared" si="65"/>
        <v>0</v>
      </c>
      <c r="Z144" s="40">
        <f t="shared" si="66"/>
        <v>0</v>
      </c>
      <c r="AA144" s="40">
        <f t="shared" si="67"/>
        <v>0</v>
      </c>
      <c r="AB144" s="40">
        <f t="shared" si="68"/>
        <v>0</v>
      </c>
      <c r="AC144" s="40">
        <f t="shared" si="69"/>
        <v>1</v>
      </c>
      <c r="AD144" s="40">
        <f t="shared" si="70"/>
        <v>0</v>
      </c>
      <c r="AE144" s="40">
        <f t="shared" si="71"/>
        <v>0</v>
      </c>
      <c r="AF144" s="40">
        <f t="shared" si="72"/>
        <v>0</v>
      </c>
      <c r="AG144" s="40">
        <f t="shared" si="73"/>
        <v>0</v>
      </c>
      <c r="AH144" s="40">
        <f t="shared" si="74"/>
        <v>0</v>
      </c>
      <c r="AI144" s="40">
        <f t="shared" si="75"/>
        <v>0</v>
      </c>
      <c r="AJ144" s="40">
        <f t="shared" si="76"/>
        <v>0</v>
      </c>
      <c r="AK144" s="40">
        <f t="shared" si="77"/>
        <v>0</v>
      </c>
      <c r="AL144" s="40">
        <f t="shared" si="78"/>
        <v>1</v>
      </c>
      <c r="AM144" s="40">
        <f t="shared" si="79"/>
        <v>0</v>
      </c>
      <c r="AN144" s="40">
        <f t="shared" si="80"/>
        <v>0</v>
      </c>
      <c r="AO144" s="40">
        <f t="shared" si="81"/>
        <v>0</v>
      </c>
      <c r="AP144" s="40">
        <f t="shared" si="82"/>
        <v>0</v>
      </c>
      <c r="AQ144" s="40">
        <f t="shared" si="83"/>
        <v>0</v>
      </c>
      <c r="AR144" s="40">
        <f t="shared" si="84"/>
        <v>0</v>
      </c>
      <c r="AS144" s="40">
        <f t="shared" si="85"/>
        <v>0</v>
      </c>
    </row>
    <row r="145" spans="2:45" s="2" customFormat="1" ht="14.4" customHeight="1" x14ac:dyDescent="0.25">
      <c r="B145" s="56" t="s">
        <v>20</v>
      </c>
      <c r="C145" s="57" t="s">
        <v>23</v>
      </c>
      <c r="D145" s="58" t="s">
        <v>24</v>
      </c>
      <c r="E145" s="62">
        <v>5.0399999999999993E-3</v>
      </c>
      <c r="F145" s="65">
        <f t="shared" si="86"/>
        <v>-5.2903491968988599</v>
      </c>
      <c r="S145" s="40">
        <f t="shared" si="59"/>
        <v>0</v>
      </c>
      <c r="T145" s="40">
        <f t="shared" si="60"/>
        <v>0</v>
      </c>
      <c r="U145" s="40">
        <f t="shared" si="61"/>
        <v>1</v>
      </c>
      <c r="V145" s="40">
        <f t="shared" si="62"/>
        <v>0</v>
      </c>
      <c r="W145" s="40">
        <f t="shared" si="63"/>
        <v>0</v>
      </c>
      <c r="X145" s="40">
        <f t="shared" si="64"/>
        <v>0</v>
      </c>
      <c r="Y145" s="40">
        <f t="shared" si="65"/>
        <v>0</v>
      </c>
      <c r="Z145" s="40">
        <f t="shared" si="66"/>
        <v>0</v>
      </c>
      <c r="AA145" s="40">
        <f t="shared" si="67"/>
        <v>0</v>
      </c>
      <c r="AB145" s="40">
        <f t="shared" si="68"/>
        <v>0</v>
      </c>
      <c r="AC145" s="40">
        <f t="shared" si="69"/>
        <v>0</v>
      </c>
      <c r="AD145" s="40">
        <f t="shared" si="70"/>
        <v>0</v>
      </c>
      <c r="AE145" s="40">
        <f t="shared" si="71"/>
        <v>0</v>
      </c>
      <c r="AF145" s="40">
        <f t="shared" si="72"/>
        <v>1</v>
      </c>
      <c r="AG145" s="40">
        <f t="shared" si="73"/>
        <v>0</v>
      </c>
      <c r="AH145" s="40">
        <f t="shared" si="74"/>
        <v>0</v>
      </c>
      <c r="AI145" s="40">
        <f t="shared" si="75"/>
        <v>0</v>
      </c>
      <c r="AJ145" s="40">
        <f t="shared" si="76"/>
        <v>0</v>
      </c>
      <c r="AK145" s="40">
        <f t="shared" si="77"/>
        <v>0</v>
      </c>
      <c r="AL145" s="40">
        <f t="shared" si="78"/>
        <v>0</v>
      </c>
      <c r="AM145" s="40">
        <f t="shared" si="79"/>
        <v>0</v>
      </c>
      <c r="AN145" s="40">
        <f t="shared" si="80"/>
        <v>0</v>
      </c>
      <c r="AO145" s="40">
        <f t="shared" si="81"/>
        <v>0</v>
      </c>
      <c r="AP145" s="40">
        <f t="shared" si="82"/>
        <v>0</v>
      </c>
      <c r="AQ145" s="40">
        <f t="shared" si="83"/>
        <v>1</v>
      </c>
      <c r="AR145" s="40">
        <f t="shared" si="84"/>
        <v>0</v>
      </c>
      <c r="AS145" s="40">
        <f t="shared" si="85"/>
        <v>0</v>
      </c>
    </row>
    <row r="146" spans="2:45" s="2" customFormat="1" ht="14.4" customHeight="1" x14ac:dyDescent="0.25">
      <c r="B146" s="56" t="s">
        <v>20</v>
      </c>
      <c r="C146" s="57" t="s">
        <v>26</v>
      </c>
      <c r="D146" s="58" t="s">
        <v>30</v>
      </c>
      <c r="E146" s="62">
        <v>3.3799999999999998E-3</v>
      </c>
      <c r="F146" s="65">
        <f t="shared" si="86"/>
        <v>-5.6898795694872097</v>
      </c>
      <c r="S146" s="40">
        <f t="shared" si="59"/>
        <v>0</v>
      </c>
      <c r="T146" s="40">
        <f t="shared" si="60"/>
        <v>0</v>
      </c>
      <c r="U146" s="40">
        <f t="shared" si="61"/>
        <v>1</v>
      </c>
      <c r="V146" s="40">
        <f t="shared" si="62"/>
        <v>0</v>
      </c>
      <c r="W146" s="40">
        <f t="shared" si="63"/>
        <v>0</v>
      </c>
      <c r="X146" s="40">
        <f t="shared" si="64"/>
        <v>0</v>
      </c>
      <c r="Y146" s="40">
        <f t="shared" si="65"/>
        <v>0</v>
      </c>
      <c r="Z146" s="40">
        <f t="shared" si="66"/>
        <v>0</v>
      </c>
      <c r="AA146" s="40">
        <f t="shared" si="67"/>
        <v>0</v>
      </c>
      <c r="AB146" s="40">
        <f t="shared" si="68"/>
        <v>0</v>
      </c>
      <c r="AC146" s="40">
        <f t="shared" si="69"/>
        <v>1</v>
      </c>
      <c r="AD146" s="40">
        <f t="shared" si="70"/>
        <v>0</v>
      </c>
      <c r="AE146" s="40">
        <f t="shared" si="71"/>
        <v>0</v>
      </c>
      <c r="AF146" s="40">
        <f t="shared" si="72"/>
        <v>0</v>
      </c>
      <c r="AG146" s="40">
        <f t="shared" si="73"/>
        <v>0</v>
      </c>
      <c r="AH146" s="40">
        <f t="shared" si="74"/>
        <v>0</v>
      </c>
      <c r="AI146" s="40">
        <f t="shared" si="75"/>
        <v>0</v>
      </c>
      <c r="AJ146" s="40">
        <f t="shared" si="76"/>
        <v>0</v>
      </c>
      <c r="AK146" s="40">
        <f t="shared" si="77"/>
        <v>0</v>
      </c>
      <c r="AL146" s="40">
        <f t="shared" si="78"/>
        <v>1</v>
      </c>
      <c r="AM146" s="40">
        <f t="shared" si="79"/>
        <v>0</v>
      </c>
      <c r="AN146" s="40">
        <f t="shared" si="80"/>
        <v>0</v>
      </c>
      <c r="AO146" s="40">
        <f t="shared" si="81"/>
        <v>0</v>
      </c>
      <c r="AP146" s="40">
        <f t="shared" si="82"/>
        <v>0</v>
      </c>
      <c r="AQ146" s="40">
        <f t="shared" si="83"/>
        <v>0</v>
      </c>
      <c r="AR146" s="40">
        <f t="shared" si="84"/>
        <v>0</v>
      </c>
      <c r="AS146" s="40">
        <f t="shared" si="85"/>
        <v>0</v>
      </c>
    </row>
    <row r="147" spans="2:45" s="2" customFormat="1" ht="14.4" customHeight="1" x14ac:dyDescent="0.25">
      <c r="B147" s="56" t="s">
        <v>20</v>
      </c>
      <c r="C147" s="57" t="s">
        <v>23</v>
      </c>
      <c r="D147" s="58" t="s">
        <v>24</v>
      </c>
      <c r="E147" s="62">
        <v>4.1000000000000003E-3</v>
      </c>
      <c r="F147" s="65">
        <f t="shared" si="86"/>
        <v>-5.4967683052718748</v>
      </c>
      <c r="S147" s="40">
        <f t="shared" si="59"/>
        <v>0</v>
      </c>
      <c r="T147" s="40">
        <f t="shared" si="60"/>
        <v>0</v>
      </c>
      <c r="U147" s="40">
        <f t="shared" si="61"/>
        <v>1</v>
      </c>
      <c r="V147" s="40">
        <f t="shared" si="62"/>
        <v>0</v>
      </c>
      <c r="W147" s="40">
        <f t="shared" si="63"/>
        <v>0</v>
      </c>
      <c r="X147" s="40">
        <f t="shared" si="64"/>
        <v>0</v>
      </c>
      <c r="Y147" s="40">
        <f t="shared" si="65"/>
        <v>0</v>
      </c>
      <c r="Z147" s="40">
        <f t="shared" si="66"/>
        <v>0</v>
      </c>
      <c r="AA147" s="40">
        <f t="shared" si="67"/>
        <v>0</v>
      </c>
      <c r="AB147" s="40">
        <f t="shared" si="68"/>
        <v>0</v>
      </c>
      <c r="AC147" s="40">
        <f t="shared" si="69"/>
        <v>0</v>
      </c>
      <c r="AD147" s="40">
        <f t="shared" si="70"/>
        <v>0</v>
      </c>
      <c r="AE147" s="40">
        <f t="shared" si="71"/>
        <v>0</v>
      </c>
      <c r="AF147" s="40">
        <f t="shared" si="72"/>
        <v>1</v>
      </c>
      <c r="AG147" s="40">
        <f t="shared" si="73"/>
        <v>0</v>
      </c>
      <c r="AH147" s="40">
        <f t="shared" si="74"/>
        <v>0</v>
      </c>
      <c r="AI147" s="40">
        <f t="shared" si="75"/>
        <v>0</v>
      </c>
      <c r="AJ147" s="40">
        <f t="shared" si="76"/>
        <v>0</v>
      </c>
      <c r="AK147" s="40">
        <f t="shared" si="77"/>
        <v>0</v>
      </c>
      <c r="AL147" s="40">
        <f t="shared" si="78"/>
        <v>1</v>
      </c>
      <c r="AM147" s="40">
        <f t="shared" si="79"/>
        <v>0</v>
      </c>
      <c r="AN147" s="40">
        <f t="shared" si="80"/>
        <v>0</v>
      </c>
      <c r="AO147" s="40">
        <f t="shared" si="81"/>
        <v>0</v>
      </c>
      <c r="AP147" s="40">
        <f t="shared" si="82"/>
        <v>0</v>
      </c>
      <c r="AQ147" s="40">
        <f t="shared" si="83"/>
        <v>0</v>
      </c>
      <c r="AR147" s="40">
        <f t="shared" si="84"/>
        <v>0</v>
      </c>
      <c r="AS147" s="40">
        <f t="shared" si="85"/>
        <v>0</v>
      </c>
    </row>
    <row r="148" spans="2:45" s="2" customFormat="1" ht="14.4" customHeight="1" x14ac:dyDescent="0.25">
      <c r="B148" s="56" t="s">
        <v>20</v>
      </c>
      <c r="C148" s="57" t="s">
        <v>26</v>
      </c>
      <c r="D148" s="58" t="s">
        <v>24</v>
      </c>
      <c r="E148" s="62">
        <v>6.6900000000000015E-3</v>
      </c>
      <c r="F148" s="65">
        <f t="shared" si="86"/>
        <v>-5.0071414048419998</v>
      </c>
      <c r="S148" s="40">
        <f t="shared" si="59"/>
        <v>0</v>
      </c>
      <c r="T148" s="40">
        <f t="shared" si="60"/>
        <v>0</v>
      </c>
      <c r="U148" s="40">
        <f t="shared" si="61"/>
        <v>1</v>
      </c>
      <c r="V148" s="40">
        <f t="shared" si="62"/>
        <v>0</v>
      </c>
      <c r="W148" s="40">
        <f t="shared" si="63"/>
        <v>0</v>
      </c>
      <c r="X148" s="40">
        <f t="shared" si="64"/>
        <v>0</v>
      </c>
      <c r="Y148" s="40">
        <f t="shared" si="65"/>
        <v>0</v>
      </c>
      <c r="Z148" s="40">
        <f t="shared" si="66"/>
        <v>1</v>
      </c>
      <c r="AA148" s="40">
        <f t="shared" si="67"/>
        <v>0</v>
      </c>
      <c r="AB148" s="40">
        <f t="shared" si="68"/>
        <v>0</v>
      </c>
      <c r="AC148" s="40">
        <f t="shared" si="69"/>
        <v>0</v>
      </c>
      <c r="AD148" s="40">
        <f t="shared" si="70"/>
        <v>0</v>
      </c>
      <c r="AE148" s="40">
        <f t="shared" si="71"/>
        <v>0</v>
      </c>
      <c r="AF148" s="40">
        <f t="shared" si="72"/>
        <v>0</v>
      </c>
      <c r="AG148" s="40">
        <f t="shared" si="73"/>
        <v>0</v>
      </c>
      <c r="AH148" s="40">
        <f t="shared" si="74"/>
        <v>0</v>
      </c>
      <c r="AI148" s="40">
        <f t="shared" si="75"/>
        <v>0</v>
      </c>
      <c r="AJ148" s="40">
        <f t="shared" si="76"/>
        <v>0</v>
      </c>
      <c r="AK148" s="40">
        <f t="shared" si="77"/>
        <v>1</v>
      </c>
      <c r="AL148" s="40">
        <f t="shared" si="78"/>
        <v>0</v>
      </c>
      <c r="AM148" s="40">
        <f t="shared" si="79"/>
        <v>0</v>
      </c>
      <c r="AN148" s="40">
        <f t="shared" si="80"/>
        <v>0</v>
      </c>
      <c r="AO148" s="40">
        <f t="shared" si="81"/>
        <v>0</v>
      </c>
      <c r="AP148" s="40">
        <f t="shared" si="82"/>
        <v>0</v>
      </c>
      <c r="AQ148" s="40">
        <f t="shared" si="83"/>
        <v>0</v>
      </c>
      <c r="AR148" s="40">
        <f t="shared" si="84"/>
        <v>0</v>
      </c>
      <c r="AS148" s="40">
        <f t="shared" si="85"/>
        <v>0</v>
      </c>
    </row>
    <row r="149" spans="2:45" s="2" customFormat="1" ht="14.4" customHeight="1" x14ac:dyDescent="0.25">
      <c r="B149" s="56" t="s">
        <v>20</v>
      </c>
      <c r="C149" s="57" t="s">
        <v>36</v>
      </c>
      <c r="D149" s="58" t="s">
        <v>32</v>
      </c>
      <c r="E149" s="62">
        <v>7.3200000000000027E-3</v>
      </c>
      <c r="F149" s="65">
        <f t="shared" si="86"/>
        <v>-4.9171449510089165</v>
      </c>
      <c r="S149" s="40">
        <f t="shared" si="59"/>
        <v>0</v>
      </c>
      <c r="T149" s="40">
        <f t="shared" si="60"/>
        <v>0</v>
      </c>
      <c r="U149" s="40">
        <f t="shared" si="61"/>
        <v>1</v>
      </c>
      <c r="V149" s="40">
        <f t="shared" si="62"/>
        <v>0</v>
      </c>
      <c r="W149" s="40">
        <f t="shared" si="63"/>
        <v>0</v>
      </c>
      <c r="X149" s="40">
        <f t="shared" si="64"/>
        <v>0</v>
      </c>
      <c r="Y149" s="40">
        <f t="shared" si="65"/>
        <v>0</v>
      </c>
      <c r="Z149" s="40">
        <f t="shared" si="66"/>
        <v>0</v>
      </c>
      <c r="AA149" s="40">
        <f t="shared" si="67"/>
        <v>1</v>
      </c>
      <c r="AB149" s="40">
        <f t="shared" si="68"/>
        <v>0</v>
      </c>
      <c r="AC149" s="40">
        <f t="shared" si="69"/>
        <v>0</v>
      </c>
      <c r="AD149" s="40">
        <f t="shared" si="70"/>
        <v>0</v>
      </c>
      <c r="AE149" s="40">
        <f t="shared" si="71"/>
        <v>0</v>
      </c>
      <c r="AF149" s="40">
        <f t="shared" si="72"/>
        <v>0</v>
      </c>
      <c r="AG149" s="40">
        <f t="shared" si="73"/>
        <v>0</v>
      </c>
      <c r="AH149" s="40">
        <f t="shared" si="74"/>
        <v>0</v>
      </c>
      <c r="AI149" s="40">
        <f t="shared" si="75"/>
        <v>0</v>
      </c>
      <c r="AJ149" s="40">
        <f t="shared" si="76"/>
        <v>0</v>
      </c>
      <c r="AK149" s="40">
        <f t="shared" si="77"/>
        <v>0</v>
      </c>
      <c r="AL149" s="40">
        <f t="shared" si="78"/>
        <v>0</v>
      </c>
      <c r="AM149" s="40">
        <f t="shared" si="79"/>
        <v>1</v>
      </c>
      <c r="AN149" s="40">
        <f t="shared" si="80"/>
        <v>0</v>
      </c>
      <c r="AO149" s="40">
        <f t="shared" si="81"/>
        <v>0</v>
      </c>
      <c r="AP149" s="40">
        <f t="shared" si="82"/>
        <v>0</v>
      </c>
      <c r="AQ149" s="40">
        <f t="shared" si="83"/>
        <v>0</v>
      </c>
      <c r="AR149" s="40">
        <f t="shared" si="84"/>
        <v>0</v>
      </c>
      <c r="AS149" s="40">
        <f t="shared" si="85"/>
        <v>0</v>
      </c>
    </row>
    <row r="150" spans="2:45" s="2" customFormat="1" ht="14.4" customHeight="1" x14ac:dyDescent="0.25">
      <c r="B150" s="56" t="s">
        <v>20</v>
      </c>
      <c r="C150" s="57" t="s">
        <v>39</v>
      </c>
      <c r="D150" s="58" t="s">
        <v>35</v>
      </c>
      <c r="E150" s="62">
        <v>5.2399999999999981E-3</v>
      </c>
      <c r="F150" s="65">
        <f t="shared" si="86"/>
        <v>-5.2514337806491866</v>
      </c>
      <c r="S150" s="40">
        <f t="shared" si="59"/>
        <v>0</v>
      </c>
      <c r="T150" s="40">
        <f t="shared" si="60"/>
        <v>0</v>
      </c>
      <c r="U150" s="40">
        <f t="shared" si="61"/>
        <v>1</v>
      </c>
      <c r="V150" s="40">
        <f t="shared" si="62"/>
        <v>0</v>
      </c>
      <c r="W150" s="40">
        <f t="shared" si="63"/>
        <v>0</v>
      </c>
      <c r="X150" s="40">
        <f t="shared" si="64"/>
        <v>0</v>
      </c>
      <c r="Y150" s="40">
        <f t="shared" si="65"/>
        <v>0</v>
      </c>
      <c r="Z150" s="40">
        <f t="shared" si="66"/>
        <v>0</v>
      </c>
      <c r="AA150" s="40">
        <f t="shared" si="67"/>
        <v>0</v>
      </c>
      <c r="AB150" s="40">
        <f t="shared" si="68"/>
        <v>0</v>
      </c>
      <c r="AC150" s="40">
        <f t="shared" si="69"/>
        <v>0</v>
      </c>
      <c r="AD150" s="40">
        <f t="shared" si="70"/>
        <v>0</v>
      </c>
      <c r="AE150" s="40">
        <f t="shared" si="71"/>
        <v>0</v>
      </c>
      <c r="AF150" s="40">
        <f t="shared" si="72"/>
        <v>1</v>
      </c>
      <c r="AG150" s="40">
        <f t="shared" si="73"/>
        <v>0</v>
      </c>
      <c r="AH150" s="40">
        <f t="shared" si="74"/>
        <v>1</v>
      </c>
      <c r="AI150" s="40">
        <f t="shared" si="75"/>
        <v>0</v>
      </c>
      <c r="AJ150" s="40">
        <f t="shared" si="76"/>
        <v>0</v>
      </c>
      <c r="AK150" s="40">
        <f t="shared" si="77"/>
        <v>0</v>
      </c>
      <c r="AL150" s="40">
        <f t="shared" si="78"/>
        <v>0</v>
      </c>
      <c r="AM150" s="40">
        <f t="shared" si="79"/>
        <v>0</v>
      </c>
      <c r="AN150" s="40">
        <f t="shared" si="80"/>
        <v>0</v>
      </c>
      <c r="AO150" s="40">
        <f t="shared" si="81"/>
        <v>0</v>
      </c>
      <c r="AP150" s="40">
        <f t="shared" si="82"/>
        <v>0</v>
      </c>
      <c r="AQ150" s="40">
        <f t="shared" si="83"/>
        <v>0</v>
      </c>
      <c r="AR150" s="40">
        <f t="shared" si="84"/>
        <v>0</v>
      </c>
      <c r="AS150" s="40">
        <f t="shared" si="85"/>
        <v>0</v>
      </c>
    </row>
    <row r="151" spans="2:45" s="2" customFormat="1" ht="14.4" customHeight="1" x14ac:dyDescent="0.25">
      <c r="B151" s="56" t="s">
        <v>20</v>
      </c>
      <c r="C151" s="57" t="s">
        <v>26</v>
      </c>
      <c r="D151" s="58" t="s">
        <v>27</v>
      </c>
      <c r="E151" s="62">
        <v>3.9399999999999999E-3</v>
      </c>
      <c r="F151" s="65">
        <f t="shared" si="86"/>
        <v>-5.5365745556722947</v>
      </c>
      <c r="S151" s="40">
        <f t="shared" si="59"/>
        <v>0</v>
      </c>
      <c r="T151" s="40">
        <f t="shared" si="60"/>
        <v>0</v>
      </c>
      <c r="U151" s="40">
        <f t="shared" si="61"/>
        <v>1</v>
      </c>
      <c r="V151" s="40">
        <f t="shared" si="62"/>
        <v>0</v>
      </c>
      <c r="W151" s="40">
        <f t="shared" si="63"/>
        <v>0</v>
      </c>
      <c r="X151" s="40">
        <f t="shared" si="64"/>
        <v>0</v>
      </c>
      <c r="Y151" s="40">
        <f t="shared" si="65"/>
        <v>0</v>
      </c>
      <c r="Z151" s="40">
        <f t="shared" si="66"/>
        <v>0</v>
      </c>
      <c r="AA151" s="40">
        <f t="shared" si="67"/>
        <v>0</v>
      </c>
      <c r="AB151" s="40">
        <f t="shared" si="68"/>
        <v>0</v>
      </c>
      <c r="AC151" s="40">
        <f t="shared" si="69"/>
        <v>0</v>
      </c>
      <c r="AD151" s="40">
        <f t="shared" si="70"/>
        <v>0</v>
      </c>
      <c r="AE151" s="40">
        <f t="shared" si="71"/>
        <v>0</v>
      </c>
      <c r="AF151" s="40">
        <f t="shared" si="72"/>
        <v>1</v>
      </c>
      <c r="AG151" s="40">
        <f t="shared" si="73"/>
        <v>0</v>
      </c>
      <c r="AH151" s="40">
        <f t="shared" si="74"/>
        <v>0</v>
      </c>
      <c r="AI151" s="40">
        <f t="shared" si="75"/>
        <v>0</v>
      </c>
      <c r="AJ151" s="40">
        <f t="shared" si="76"/>
        <v>0</v>
      </c>
      <c r="AK151" s="40">
        <f t="shared" si="77"/>
        <v>0</v>
      </c>
      <c r="AL151" s="40">
        <f t="shared" si="78"/>
        <v>1</v>
      </c>
      <c r="AM151" s="40">
        <f t="shared" si="79"/>
        <v>0</v>
      </c>
      <c r="AN151" s="40">
        <f t="shared" si="80"/>
        <v>0</v>
      </c>
      <c r="AO151" s="40">
        <f t="shared" si="81"/>
        <v>0</v>
      </c>
      <c r="AP151" s="40">
        <f t="shared" si="82"/>
        <v>0</v>
      </c>
      <c r="AQ151" s="40">
        <f t="shared" si="83"/>
        <v>0</v>
      </c>
      <c r="AR151" s="40">
        <f t="shared" si="84"/>
        <v>0</v>
      </c>
      <c r="AS151" s="40">
        <f t="shared" si="85"/>
        <v>0</v>
      </c>
    </row>
    <row r="152" spans="2:45" s="2" customFormat="1" ht="14.4" customHeight="1" x14ac:dyDescent="0.25">
      <c r="B152" s="56" t="s">
        <v>20</v>
      </c>
      <c r="C152" s="57" t="s">
        <v>26</v>
      </c>
      <c r="D152" s="58" t="s">
        <v>24</v>
      </c>
      <c r="E152" s="62">
        <v>5.0500000000000007E-3</v>
      </c>
      <c r="F152" s="65">
        <f t="shared" si="86"/>
        <v>-5.2883670356948684</v>
      </c>
      <c r="S152" s="40">
        <f t="shared" si="59"/>
        <v>0</v>
      </c>
      <c r="T152" s="40">
        <f t="shared" si="60"/>
        <v>0</v>
      </c>
      <c r="U152" s="40">
        <f t="shared" si="61"/>
        <v>1</v>
      </c>
      <c r="V152" s="40">
        <f t="shared" si="62"/>
        <v>0</v>
      </c>
      <c r="W152" s="40">
        <f t="shared" si="63"/>
        <v>0</v>
      </c>
      <c r="X152" s="40">
        <f t="shared" si="64"/>
        <v>0</v>
      </c>
      <c r="Y152" s="40">
        <f t="shared" si="65"/>
        <v>0</v>
      </c>
      <c r="Z152" s="40">
        <f t="shared" si="66"/>
        <v>0</v>
      </c>
      <c r="AA152" s="40">
        <f t="shared" si="67"/>
        <v>0</v>
      </c>
      <c r="AB152" s="40">
        <f t="shared" si="68"/>
        <v>0</v>
      </c>
      <c r="AC152" s="40">
        <f t="shared" si="69"/>
        <v>0</v>
      </c>
      <c r="AD152" s="40">
        <f t="shared" si="70"/>
        <v>0</v>
      </c>
      <c r="AE152" s="40">
        <f t="shared" si="71"/>
        <v>0</v>
      </c>
      <c r="AF152" s="40">
        <f t="shared" si="72"/>
        <v>1</v>
      </c>
      <c r="AG152" s="40">
        <f t="shared" si="73"/>
        <v>0</v>
      </c>
      <c r="AH152" s="40">
        <f t="shared" si="74"/>
        <v>0</v>
      </c>
      <c r="AI152" s="40">
        <f t="shared" si="75"/>
        <v>0</v>
      </c>
      <c r="AJ152" s="40">
        <f t="shared" si="76"/>
        <v>0</v>
      </c>
      <c r="AK152" s="40">
        <f t="shared" si="77"/>
        <v>0</v>
      </c>
      <c r="AL152" s="40">
        <f t="shared" si="78"/>
        <v>1</v>
      </c>
      <c r="AM152" s="40">
        <f t="shared" si="79"/>
        <v>0</v>
      </c>
      <c r="AN152" s="40">
        <f t="shared" si="80"/>
        <v>0</v>
      </c>
      <c r="AO152" s="40">
        <f t="shared" si="81"/>
        <v>0</v>
      </c>
      <c r="AP152" s="40">
        <f t="shared" si="82"/>
        <v>0</v>
      </c>
      <c r="AQ152" s="40">
        <f t="shared" si="83"/>
        <v>0</v>
      </c>
      <c r="AR152" s="40">
        <f t="shared" si="84"/>
        <v>0</v>
      </c>
      <c r="AS152" s="40">
        <f t="shared" si="85"/>
        <v>0</v>
      </c>
    </row>
    <row r="153" spans="2:45" s="2" customFormat="1" ht="14.4" customHeight="1" x14ac:dyDescent="0.25">
      <c r="B153" s="56" t="s">
        <v>20</v>
      </c>
      <c r="C153" s="57" t="s">
        <v>26</v>
      </c>
      <c r="D153" s="58" t="s">
        <v>24</v>
      </c>
      <c r="E153" s="62">
        <v>7.1000000000000004E-3</v>
      </c>
      <c r="F153" s="65">
        <f t="shared" si="86"/>
        <v>-4.9476604949348673</v>
      </c>
      <c r="S153" s="40">
        <f t="shared" si="59"/>
        <v>0</v>
      </c>
      <c r="T153" s="40">
        <f t="shared" si="60"/>
        <v>0</v>
      </c>
      <c r="U153" s="40">
        <f t="shared" si="61"/>
        <v>1</v>
      </c>
      <c r="V153" s="40">
        <f t="shared" si="62"/>
        <v>0</v>
      </c>
      <c r="W153" s="40">
        <f t="shared" si="63"/>
        <v>0</v>
      </c>
      <c r="X153" s="40">
        <f t="shared" si="64"/>
        <v>0</v>
      </c>
      <c r="Y153" s="40">
        <f t="shared" si="65"/>
        <v>0</v>
      </c>
      <c r="Z153" s="40">
        <f t="shared" si="66"/>
        <v>0</v>
      </c>
      <c r="AA153" s="40">
        <f t="shared" si="67"/>
        <v>0</v>
      </c>
      <c r="AB153" s="40">
        <f t="shared" si="68"/>
        <v>0</v>
      </c>
      <c r="AC153" s="40">
        <f t="shared" si="69"/>
        <v>0</v>
      </c>
      <c r="AD153" s="40">
        <f t="shared" si="70"/>
        <v>0</v>
      </c>
      <c r="AE153" s="40">
        <f t="shared" si="71"/>
        <v>0</v>
      </c>
      <c r="AF153" s="40">
        <f t="shared" si="72"/>
        <v>1</v>
      </c>
      <c r="AG153" s="40">
        <f t="shared" si="73"/>
        <v>0</v>
      </c>
      <c r="AH153" s="40">
        <f t="shared" si="74"/>
        <v>0</v>
      </c>
      <c r="AI153" s="40">
        <f t="shared" si="75"/>
        <v>0</v>
      </c>
      <c r="AJ153" s="40">
        <f t="shared" si="76"/>
        <v>0</v>
      </c>
      <c r="AK153" s="40">
        <f t="shared" si="77"/>
        <v>0</v>
      </c>
      <c r="AL153" s="40">
        <f t="shared" si="78"/>
        <v>1</v>
      </c>
      <c r="AM153" s="40">
        <f t="shared" si="79"/>
        <v>0</v>
      </c>
      <c r="AN153" s="40">
        <f t="shared" si="80"/>
        <v>0</v>
      </c>
      <c r="AO153" s="40">
        <f t="shared" si="81"/>
        <v>0</v>
      </c>
      <c r="AP153" s="40">
        <f t="shared" si="82"/>
        <v>0</v>
      </c>
      <c r="AQ153" s="40">
        <f t="shared" si="83"/>
        <v>0</v>
      </c>
      <c r="AR153" s="40">
        <f t="shared" si="84"/>
        <v>0</v>
      </c>
      <c r="AS153" s="40">
        <f t="shared" si="85"/>
        <v>0</v>
      </c>
    </row>
    <row r="154" spans="2:45" s="2" customFormat="1" ht="14.4" customHeight="1" x14ac:dyDescent="0.25">
      <c r="B154" s="56" t="s">
        <v>20</v>
      </c>
      <c r="C154" s="57" t="s">
        <v>26</v>
      </c>
      <c r="D154" s="58" t="s">
        <v>24</v>
      </c>
      <c r="E154" s="62">
        <v>6.729999999999999E-3</v>
      </c>
      <c r="F154" s="65">
        <f t="shared" si="86"/>
        <v>-5.0011801353255008</v>
      </c>
      <c r="S154" s="40">
        <f t="shared" si="59"/>
        <v>0</v>
      </c>
      <c r="T154" s="40">
        <f t="shared" si="60"/>
        <v>0</v>
      </c>
      <c r="U154" s="40">
        <f t="shared" si="61"/>
        <v>1</v>
      </c>
      <c r="V154" s="40">
        <f t="shared" si="62"/>
        <v>0</v>
      </c>
      <c r="W154" s="40">
        <f t="shared" si="63"/>
        <v>0</v>
      </c>
      <c r="X154" s="40">
        <f t="shared" si="64"/>
        <v>0</v>
      </c>
      <c r="Y154" s="40">
        <f t="shared" si="65"/>
        <v>0</v>
      </c>
      <c r="Z154" s="40">
        <f t="shared" si="66"/>
        <v>0</v>
      </c>
      <c r="AA154" s="40">
        <f t="shared" si="67"/>
        <v>0</v>
      </c>
      <c r="AB154" s="40">
        <f t="shared" si="68"/>
        <v>1</v>
      </c>
      <c r="AC154" s="40">
        <f t="shared" si="69"/>
        <v>0</v>
      </c>
      <c r="AD154" s="40">
        <f t="shared" si="70"/>
        <v>0</v>
      </c>
      <c r="AE154" s="40">
        <f t="shared" si="71"/>
        <v>0</v>
      </c>
      <c r="AF154" s="40">
        <f t="shared" si="72"/>
        <v>0</v>
      </c>
      <c r="AG154" s="40">
        <f t="shared" si="73"/>
        <v>0</v>
      </c>
      <c r="AH154" s="40">
        <f t="shared" si="74"/>
        <v>0</v>
      </c>
      <c r="AI154" s="40">
        <f t="shared" si="75"/>
        <v>0</v>
      </c>
      <c r="AJ154" s="40">
        <f t="shared" si="76"/>
        <v>0</v>
      </c>
      <c r="AK154" s="40">
        <f t="shared" si="77"/>
        <v>0</v>
      </c>
      <c r="AL154" s="40">
        <f t="shared" si="78"/>
        <v>1</v>
      </c>
      <c r="AM154" s="40">
        <f t="shared" si="79"/>
        <v>0</v>
      </c>
      <c r="AN154" s="40">
        <f t="shared" si="80"/>
        <v>0</v>
      </c>
      <c r="AO154" s="40">
        <f t="shared" si="81"/>
        <v>0</v>
      </c>
      <c r="AP154" s="40">
        <f t="shared" si="82"/>
        <v>0</v>
      </c>
      <c r="AQ154" s="40">
        <f t="shared" si="83"/>
        <v>0</v>
      </c>
      <c r="AR154" s="40">
        <f t="shared" si="84"/>
        <v>0</v>
      </c>
      <c r="AS154" s="40">
        <f t="shared" si="85"/>
        <v>0</v>
      </c>
    </row>
    <row r="155" spans="2:45" s="2" customFormat="1" ht="14.4" customHeight="1" x14ac:dyDescent="0.25">
      <c r="B155" s="56" t="s">
        <v>20</v>
      </c>
      <c r="C155" s="57" t="s">
        <v>25</v>
      </c>
      <c r="D155" s="58" t="s">
        <v>24</v>
      </c>
      <c r="E155" s="62">
        <v>5.4400000000000021E-3</v>
      </c>
      <c r="F155" s="65">
        <f t="shared" si="86"/>
        <v>-5.2139762181142855</v>
      </c>
      <c r="S155" s="40">
        <f t="shared" si="59"/>
        <v>0</v>
      </c>
      <c r="T155" s="40">
        <f t="shared" si="60"/>
        <v>0</v>
      </c>
      <c r="U155" s="40">
        <f t="shared" si="61"/>
        <v>1</v>
      </c>
      <c r="V155" s="40">
        <f t="shared" si="62"/>
        <v>0</v>
      </c>
      <c r="W155" s="40">
        <f t="shared" si="63"/>
        <v>0</v>
      </c>
      <c r="X155" s="40">
        <f t="shared" si="64"/>
        <v>0</v>
      </c>
      <c r="Y155" s="40">
        <f t="shared" si="65"/>
        <v>0</v>
      </c>
      <c r="Z155" s="40">
        <f t="shared" si="66"/>
        <v>0</v>
      </c>
      <c r="AA155" s="40">
        <f t="shared" si="67"/>
        <v>0</v>
      </c>
      <c r="AB155" s="40">
        <f t="shared" si="68"/>
        <v>0</v>
      </c>
      <c r="AC155" s="40">
        <f t="shared" si="69"/>
        <v>0</v>
      </c>
      <c r="AD155" s="40">
        <f t="shared" si="70"/>
        <v>0</v>
      </c>
      <c r="AE155" s="40">
        <f t="shared" si="71"/>
        <v>0</v>
      </c>
      <c r="AF155" s="40">
        <f t="shared" si="72"/>
        <v>0</v>
      </c>
      <c r="AG155" s="40">
        <f t="shared" si="73"/>
        <v>1</v>
      </c>
      <c r="AH155" s="40">
        <f t="shared" si="74"/>
        <v>0</v>
      </c>
      <c r="AI155" s="40">
        <f t="shared" si="75"/>
        <v>0</v>
      </c>
      <c r="AJ155" s="40">
        <f t="shared" si="76"/>
        <v>0</v>
      </c>
      <c r="AK155" s="40">
        <f t="shared" si="77"/>
        <v>0</v>
      </c>
      <c r="AL155" s="40">
        <f t="shared" si="78"/>
        <v>1</v>
      </c>
      <c r="AM155" s="40">
        <f t="shared" si="79"/>
        <v>0</v>
      </c>
      <c r="AN155" s="40">
        <f t="shared" si="80"/>
        <v>0</v>
      </c>
      <c r="AO155" s="40">
        <f t="shared" si="81"/>
        <v>0</v>
      </c>
      <c r="AP155" s="40">
        <f t="shared" si="82"/>
        <v>0</v>
      </c>
      <c r="AQ155" s="40">
        <f t="shared" si="83"/>
        <v>0</v>
      </c>
      <c r="AR155" s="40">
        <f t="shared" si="84"/>
        <v>0</v>
      </c>
      <c r="AS155" s="40">
        <f t="shared" si="85"/>
        <v>0</v>
      </c>
    </row>
    <row r="156" spans="2:45" s="2" customFormat="1" ht="14.4" customHeight="1" x14ac:dyDescent="0.25">
      <c r="B156" s="56" t="s">
        <v>20</v>
      </c>
      <c r="C156" s="57" t="s">
        <v>38</v>
      </c>
      <c r="D156" s="58" t="s">
        <v>24</v>
      </c>
      <c r="E156" s="62">
        <v>6.8500000000000002E-3</v>
      </c>
      <c r="F156" s="65">
        <f t="shared" si="86"/>
        <v>-4.983506626708003</v>
      </c>
      <c r="S156" s="40">
        <f t="shared" si="59"/>
        <v>0</v>
      </c>
      <c r="T156" s="40">
        <f t="shared" si="60"/>
        <v>0</v>
      </c>
      <c r="U156" s="40">
        <f t="shared" si="61"/>
        <v>1</v>
      </c>
      <c r="V156" s="40">
        <f t="shared" si="62"/>
        <v>0</v>
      </c>
      <c r="W156" s="40">
        <f t="shared" si="63"/>
        <v>0</v>
      </c>
      <c r="X156" s="40">
        <f t="shared" si="64"/>
        <v>0</v>
      </c>
      <c r="Y156" s="40">
        <f t="shared" si="65"/>
        <v>0</v>
      </c>
      <c r="Z156" s="40">
        <f t="shared" si="66"/>
        <v>0</v>
      </c>
      <c r="AA156" s="40">
        <f t="shared" si="67"/>
        <v>0</v>
      </c>
      <c r="AB156" s="40">
        <f t="shared" si="68"/>
        <v>0</v>
      </c>
      <c r="AC156" s="40">
        <f t="shared" si="69"/>
        <v>0</v>
      </c>
      <c r="AD156" s="40">
        <f t="shared" si="70"/>
        <v>0</v>
      </c>
      <c r="AE156" s="40">
        <f t="shared" si="71"/>
        <v>0</v>
      </c>
      <c r="AF156" s="40">
        <f t="shared" si="72"/>
        <v>1</v>
      </c>
      <c r="AG156" s="40">
        <f t="shared" si="73"/>
        <v>0</v>
      </c>
      <c r="AH156" s="40">
        <f t="shared" si="74"/>
        <v>0</v>
      </c>
      <c r="AI156" s="40">
        <f t="shared" si="75"/>
        <v>0</v>
      </c>
      <c r="AJ156" s="40">
        <f t="shared" si="76"/>
        <v>0</v>
      </c>
      <c r="AK156" s="40">
        <f t="shared" si="77"/>
        <v>0</v>
      </c>
      <c r="AL156" s="40">
        <f t="shared" si="78"/>
        <v>0</v>
      </c>
      <c r="AM156" s="40">
        <f t="shared" si="79"/>
        <v>0</v>
      </c>
      <c r="AN156" s="40">
        <f t="shared" si="80"/>
        <v>0</v>
      </c>
      <c r="AO156" s="40">
        <f t="shared" si="81"/>
        <v>1</v>
      </c>
      <c r="AP156" s="40">
        <f t="shared" si="82"/>
        <v>0</v>
      </c>
      <c r="AQ156" s="40">
        <f t="shared" si="83"/>
        <v>0</v>
      </c>
      <c r="AR156" s="40">
        <f t="shared" si="84"/>
        <v>0</v>
      </c>
      <c r="AS156" s="40">
        <f t="shared" si="85"/>
        <v>0</v>
      </c>
    </row>
    <row r="157" spans="2:45" s="2" customFormat="1" ht="14.4" customHeight="1" x14ac:dyDescent="0.25">
      <c r="B157" s="56" t="s">
        <v>20</v>
      </c>
      <c r="C157" s="57" t="s">
        <v>26</v>
      </c>
      <c r="D157" s="58" t="s">
        <v>31</v>
      </c>
      <c r="E157" s="62">
        <v>1.9600000000000004E-3</v>
      </c>
      <c r="F157" s="65">
        <f t="shared" si="86"/>
        <v>-6.2348108057397109</v>
      </c>
      <c r="S157" s="40">
        <f t="shared" si="59"/>
        <v>0</v>
      </c>
      <c r="T157" s="40">
        <f t="shared" si="60"/>
        <v>0</v>
      </c>
      <c r="U157" s="40">
        <f t="shared" si="61"/>
        <v>1</v>
      </c>
      <c r="V157" s="40">
        <f t="shared" si="62"/>
        <v>0</v>
      </c>
      <c r="W157" s="40">
        <f t="shared" si="63"/>
        <v>0</v>
      </c>
      <c r="X157" s="40">
        <f t="shared" si="64"/>
        <v>0</v>
      </c>
      <c r="Y157" s="40">
        <f t="shared" si="65"/>
        <v>0</v>
      </c>
      <c r="Z157" s="40">
        <f t="shared" si="66"/>
        <v>0</v>
      </c>
      <c r="AA157" s="40">
        <f t="shared" si="67"/>
        <v>0</v>
      </c>
      <c r="AB157" s="40">
        <f t="shared" si="68"/>
        <v>0</v>
      </c>
      <c r="AC157" s="40">
        <f t="shared" si="69"/>
        <v>0</v>
      </c>
      <c r="AD157" s="40">
        <f t="shared" si="70"/>
        <v>0</v>
      </c>
      <c r="AE157" s="40">
        <f t="shared" si="71"/>
        <v>0</v>
      </c>
      <c r="AF157" s="40">
        <f t="shared" si="72"/>
        <v>1</v>
      </c>
      <c r="AG157" s="40">
        <f t="shared" si="73"/>
        <v>0</v>
      </c>
      <c r="AH157" s="40">
        <f t="shared" si="74"/>
        <v>0</v>
      </c>
      <c r="AI157" s="40">
        <f t="shared" si="75"/>
        <v>0</v>
      </c>
      <c r="AJ157" s="40">
        <f t="shared" si="76"/>
        <v>0</v>
      </c>
      <c r="AK157" s="40">
        <f t="shared" si="77"/>
        <v>0</v>
      </c>
      <c r="AL157" s="40">
        <f t="shared" si="78"/>
        <v>1</v>
      </c>
      <c r="AM157" s="40">
        <f t="shared" si="79"/>
        <v>0</v>
      </c>
      <c r="AN157" s="40">
        <f t="shared" si="80"/>
        <v>0</v>
      </c>
      <c r="AO157" s="40">
        <f t="shared" si="81"/>
        <v>0</v>
      </c>
      <c r="AP157" s="40">
        <f t="shared" si="82"/>
        <v>0</v>
      </c>
      <c r="AQ157" s="40">
        <f t="shared" si="83"/>
        <v>0</v>
      </c>
      <c r="AR157" s="40">
        <f t="shared" si="84"/>
        <v>0</v>
      </c>
      <c r="AS157" s="40">
        <f t="shared" si="85"/>
        <v>0</v>
      </c>
    </row>
    <row r="158" spans="2:45" s="2" customFormat="1" ht="14.4" customHeight="1" x14ac:dyDescent="0.25">
      <c r="B158" s="56" t="s">
        <v>20</v>
      </c>
      <c r="C158" s="57" t="s">
        <v>26</v>
      </c>
      <c r="D158" s="58" t="s">
        <v>24</v>
      </c>
      <c r="E158" s="62">
        <v>6.9000000000000025E-3</v>
      </c>
      <c r="F158" s="65">
        <f t="shared" si="86"/>
        <v>-4.976233867378923</v>
      </c>
      <c r="S158" s="40">
        <f t="shared" si="59"/>
        <v>0</v>
      </c>
      <c r="T158" s="40">
        <f t="shared" si="60"/>
        <v>0</v>
      </c>
      <c r="U158" s="40">
        <f t="shared" si="61"/>
        <v>1</v>
      </c>
      <c r="V158" s="40">
        <f t="shared" si="62"/>
        <v>0</v>
      </c>
      <c r="W158" s="40">
        <f t="shared" si="63"/>
        <v>0</v>
      </c>
      <c r="X158" s="40">
        <f t="shared" si="64"/>
        <v>0</v>
      </c>
      <c r="Y158" s="40">
        <f t="shared" si="65"/>
        <v>0</v>
      </c>
      <c r="Z158" s="40">
        <f t="shared" si="66"/>
        <v>0</v>
      </c>
      <c r="AA158" s="40">
        <f t="shared" si="67"/>
        <v>0</v>
      </c>
      <c r="AB158" s="40">
        <f t="shared" si="68"/>
        <v>0</v>
      </c>
      <c r="AC158" s="40">
        <f t="shared" si="69"/>
        <v>0</v>
      </c>
      <c r="AD158" s="40">
        <f t="shared" si="70"/>
        <v>0</v>
      </c>
      <c r="AE158" s="40">
        <f t="shared" si="71"/>
        <v>0</v>
      </c>
      <c r="AF158" s="40">
        <f t="shared" si="72"/>
        <v>0</v>
      </c>
      <c r="AG158" s="40">
        <f t="shared" si="73"/>
        <v>1</v>
      </c>
      <c r="AH158" s="40">
        <f t="shared" si="74"/>
        <v>1</v>
      </c>
      <c r="AI158" s="40">
        <f t="shared" si="75"/>
        <v>0</v>
      </c>
      <c r="AJ158" s="40">
        <f t="shared" si="76"/>
        <v>0</v>
      </c>
      <c r="AK158" s="40">
        <f t="shared" si="77"/>
        <v>0</v>
      </c>
      <c r="AL158" s="40">
        <f t="shared" si="78"/>
        <v>0</v>
      </c>
      <c r="AM158" s="40">
        <f t="shared" si="79"/>
        <v>0</v>
      </c>
      <c r="AN158" s="40">
        <f t="shared" si="80"/>
        <v>0</v>
      </c>
      <c r="AO158" s="40">
        <f t="shared" si="81"/>
        <v>0</v>
      </c>
      <c r="AP158" s="40">
        <f t="shared" si="82"/>
        <v>0</v>
      </c>
      <c r="AQ158" s="40">
        <f t="shared" si="83"/>
        <v>0</v>
      </c>
      <c r="AR158" s="40">
        <f t="shared" si="84"/>
        <v>0</v>
      </c>
      <c r="AS158" s="40">
        <f t="shared" si="85"/>
        <v>0</v>
      </c>
    </row>
    <row r="159" spans="2:45" s="2" customFormat="1" ht="14.4" customHeight="1" x14ac:dyDescent="0.25">
      <c r="B159" s="56" t="s">
        <v>20</v>
      </c>
      <c r="C159" s="57" t="s">
        <v>38</v>
      </c>
      <c r="D159" s="58" t="s">
        <v>27</v>
      </c>
      <c r="E159" s="62">
        <v>4.859999999999998E-3</v>
      </c>
      <c r="F159" s="65">
        <f t="shared" si="86"/>
        <v>-5.326716841069735</v>
      </c>
      <c r="S159" s="40">
        <f t="shared" si="59"/>
        <v>0</v>
      </c>
      <c r="T159" s="40">
        <f t="shared" si="60"/>
        <v>0</v>
      </c>
      <c r="U159" s="40">
        <f t="shared" si="61"/>
        <v>1</v>
      </c>
      <c r="V159" s="40">
        <f t="shared" si="62"/>
        <v>0</v>
      </c>
      <c r="W159" s="40">
        <f t="shared" si="63"/>
        <v>0</v>
      </c>
      <c r="X159" s="40">
        <f t="shared" si="64"/>
        <v>0</v>
      </c>
      <c r="Y159" s="40">
        <f t="shared" si="65"/>
        <v>0</v>
      </c>
      <c r="Z159" s="40">
        <f t="shared" si="66"/>
        <v>0</v>
      </c>
      <c r="AA159" s="40">
        <f t="shared" si="67"/>
        <v>0</v>
      </c>
      <c r="AB159" s="40">
        <f t="shared" si="68"/>
        <v>0</v>
      </c>
      <c r="AC159" s="40">
        <f t="shared" si="69"/>
        <v>0</v>
      </c>
      <c r="AD159" s="40">
        <f t="shared" si="70"/>
        <v>0</v>
      </c>
      <c r="AE159" s="40">
        <f t="shared" si="71"/>
        <v>0</v>
      </c>
      <c r="AF159" s="40">
        <f t="shared" si="72"/>
        <v>1</v>
      </c>
      <c r="AG159" s="40">
        <f t="shared" si="73"/>
        <v>0</v>
      </c>
      <c r="AH159" s="40">
        <f t="shared" si="74"/>
        <v>1</v>
      </c>
      <c r="AI159" s="40">
        <f t="shared" si="75"/>
        <v>0</v>
      </c>
      <c r="AJ159" s="40">
        <f t="shared" si="76"/>
        <v>0</v>
      </c>
      <c r="AK159" s="40">
        <f t="shared" si="77"/>
        <v>0</v>
      </c>
      <c r="AL159" s="40">
        <f t="shared" si="78"/>
        <v>0</v>
      </c>
      <c r="AM159" s="40">
        <f t="shared" si="79"/>
        <v>0</v>
      </c>
      <c r="AN159" s="40">
        <f t="shared" si="80"/>
        <v>0</v>
      </c>
      <c r="AO159" s="40">
        <f t="shared" si="81"/>
        <v>0</v>
      </c>
      <c r="AP159" s="40">
        <f t="shared" si="82"/>
        <v>0</v>
      </c>
      <c r="AQ159" s="40">
        <f t="shared" si="83"/>
        <v>0</v>
      </c>
      <c r="AR159" s="40">
        <f t="shared" si="84"/>
        <v>0</v>
      </c>
      <c r="AS159" s="40">
        <f t="shared" si="85"/>
        <v>0</v>
      </c>
    </row>
    <row r="160" spans="2:45" s="2" customFormat="1" ht="14.4" customHeight="1" x14ac:dyDescent="0.25">
      <c r="B160" s="56" t="s">
        <v>20</v>
      </c>
      <c r="C160" s="57" t="s">
        <v>26</v>
      </c>
      <c r="D160" s="58" t="s">
        <v>27</v>
      </c>
      <c r="E160" s="62">
        <v>5.1000000000000021E-3</v>
      </c>
      <c r="F160" s="65">
        <f t="shared" si="86"/>
        <v>-5.2785147392518565</v>
      </c>
      <c r="S160" s="40">
        <f t="shared" si="59"/>
        <v>0</v>
      </c>
      <c r="T160" s="40">
        <f t="shared" si="60"/>
        <v>0</v>
      </c>
      <c r="U160" s="40">
        <f t="shared" si="61"/>
        <v>1</v>
      </c>
      <c r="V160" s="40">
        <f t="shared" si="62"/>
        <v>0</v>
      </c>
      <c r="W160" s="40">
        <f t="shared" si="63"/>
        <v>0</v>
      </c>
      <c r="X160" s="40">
        <f t="shared" si="64"/>
        <v>0</v>
      </c>
      <c r="Y160" s="40">
        <f t="shared" si="65"/>
        <v>0</v>
      </c>
      <c r="Z160" s="40">
        <f t="shared" si="66"/>
        <v>0</v>
      </c>
      <c r="AA160" s="40">
        <f t="shared" si="67"/>
        <v>0</v>
      </c>
      <c r="AB160" s="40">
        <f t="shared" si="68"/>
        <v>0</v>
      </c>
      <c r="AC160" s="40">
        <f t="shared" si="69"/>
        <v>0</v>
      </c>
      <c r="AD160" s="40">
        <f t="shared" si="70"/>
        <v>0</v>
      </c>
      <c r="AE160" s="40">
        <f t="shared" si="71"/>
        <v>0</v>
      </c>
      <c r="AF160" s="40">
        <f t="shared" si="72"/>
        <v>1</v>
      </c>
      <c r="AG160" s="40">
        <f t="shared" si="73"/>
        <v>0</v>
      </c>
      <c r="AH160" s="40">
        <f t="shared" si="74"/>
        <v>0</v>
      </c>
      <c r="AI160" s="40">
        <f t="shared" si="75"/>
        <v>0</v>
      </c>
      <c r="AJ160" s="40">
        <f t="shared" si="76"/>
        <v>0</v>
      </c>
      <c r="AK160" s="40">
        <f t="shared" si="77"/>
        <v>0</v>
      </c>
      <c r="AL160" s="40">
        <f t="shared" si="78"/>
        <v>0</v>
      </c>
      <c r="AM160" s="40">
        <f t="shared" si="79"/>
        <v>0</v>
      </c>
      <c r="AN160" s="40">
        <f t="shared" si="80"/>
        <v>0</v>
      </c>
      <c r="AO160" s="40">
        <f t="shared" si="81"/>
        <v>1</v>
      </c>
      <c r="AP160" s="40">
        <f t="shared" si="82"/>
        <v>0</v>
      </c>
      <c r="AQ160" s="40">
        <f t="shared" si="83"/>
        <v>0</v>
      </c>
      <c r="AR160" s="40">
        <f t="shared" si="84"/>
        <v>0</v>
      </c>
      <c r="AS160" s="40">
        <f t="shared" si="85"/>
        <v>0</v>
      </c>
    </row>
    <row r="161" spans="2:45" s="2" customFormat="1" ht="14.4" customHeight="1" x14ac:dyDescent="0.25">
      <c r="B161" s="56" t="s">
        <v>20</v>
      </c>
      <c r="C161" s="57" t="s">
        <v>26</v>
      </c>
      <c r="D161" s="58" t="s">
        <v>31</v>
      </c>
      <c r="E161" s="62">
        <v>6.3200000000000001E-3</v>
      </c>
      <c r="F161" s="65">
        <f t="shared" si="86"/>
        <v>-5.0640360708233709</v>
      </c>
      <c r="S161" s="40">
        <f t="shared" si="59"/>
        <v>0</v>
      </c>
      <c r="T161" s="40">
        <f t="shared" si="60"/>
        <v>0</v>
      </c>
      <c r="U161" s="40">
        <f t="shared" si="61"/>
        <v>1</v>
      </c>
      <c r="V161" s="40">
        <f t="shared" si="62"/>
        <v>0</v>
      </c>
      <c r="W161" s="40">
        <f t="shared" si="63"/>
        <v>0</v>
      </c>
      <c r="X161" s="40">
        <f t="shared" si="64"/>
        <v>0</v>
      </c>
      <c r="Y161" s="40">
        <f t="shared" si="65"/>
        <v>0</v>
      </c>
      <c r="Z161" s="40">
        <f t="shared" si="66"/>
        <v>0</v>
      </c>
      <c r="AA161" s="40">
        <f t="shared" si="67"/>
        <v>0</v>
      </c>
      <c r="AB161" s="40">
        <f t="shared" si="68"/>
        <v>1</v>
      </c>
      <c r="AC161" s="40">
        <f t="shared" si="69"/>
        <v>0</v>
      </c>
      <c r="AD161" s="40">
        <f t="shared" si="70"/>
        <v>0</v>
      </c>
      <c r="AE161" s="40">
        <f t="shared" si="71"/>
        <v>0</v>
      </c>
      <c r="AF161" s="40">
        <f t="shared" si="72"/>
        <v>0</v>
      </c>
      <c r="AG161" s="40">
        <f t="shared" si="73"/>
        <v>0</v>
      </c>
      <c r="AH161" s="40">
        <f t="shared" si="74"/>
        <v>0</v>
      </c>
      <c r="AI161" s="40">
        <f t="shared" si="75"/>
        <v>0</v>
      </c>
      <c r="AJ161" s="40">
        <f t="shared" si="76"/>
        <v>0</v>
      </c>
      <c r="AK161" s="40">
        <f t="shared" si="77"/>
        <v>0</v>
      </c>
      <c r="AL161" s="40">
        <f t="shared" si="78"/>
        <v>1</v>
      </c>
      <c r="AM161" s="40">
        <f t="shared" si="79"/>
        <v>0</v>
      </c>
      <c r="AN161" s="40">
        <f t="shared" si="80"/>
        <v>0</v>
      </c>
      <c r="AO161" s="40">
        <f t="shared" si="81"/>
        <v>0</v>
      </c>
      <c r="AP161" s="40">
        <f t="shared" si="82"/>
        <v>0</v>
      </c>
      <c r="AQ161" s="40">
        <f t="shared" si="83"/>
        <v>0</v>
      </c>
      <c r="AR161" s="40">
        <f t="shared" si="84"/>
        <v>0</v>
      </c>
      <c r="AS161" s="40">
        <f t="shared" si="85"/>
        <v>0</v>
      </c>
    </row>
    <row r="162" spans="2:45" s="2" customFormat="1" ht="14.4" customHeight="1" x14ac:dyDescent="0.25">
      <c r="B162" s="56" t="s">
        <v>20</v>
      </c>
      <c r="C162" s="57" t="s">
        <v>25</v>
      </c>
      <c r="D162" s="58" t="s">
        <v>24</v>
      </c>
      <c r="E162" s="62">
        <v>7.9100000000000021E-3</v>
      </c>
      <c r="F162" s="65">
        <f t="shared" si="86"/>
        <v>-4.8396274972025743</v>
      </c>
      <c r="S162" s="40">
        <f t="shared" si="59"/>
        <v>0</v>
      </c>
      <c r="T162" s="40">
        <f t="shared" si="60"/>
        <v>0</v>
      </c>
      <c r="U162" s="40">
        <f t="shared" si="61"/>
        <v>1</v>
      </c>
      <c r="V162" s="40">
        <f t="shared" si="62"/>
        <v>0</v>
      </c>
      <c r="W162" s="40">
        <f t="shared" si="63"/>
        <v>0</v>
      </c>
      <c r="X162" s="40">
        <f t="shared" si="64"/>
        <v>0</v>
      </c>
      <c r="Y162" s="40">
        <f t="shared" si="65"/>
        <v>0</v>
      </c>
      <c r="Z162" s="40">
        <f t="shared" si="66"/>
        <v>1</v>
      </c>
      <c r="AA162" s="40">
        <f t="shared" si="67"/>
        <v>0</v>
      </c>
      <c r="AB162" s="40">
        <f t="shared" si="68"/>
        <v>0</v>
      </c>
      <c r="AC162" s="40">
        <f t="shared" si="69"/>
        <v>0</v>
      </c>
      <c r="AD162" s="40">
        <f t="shared" si="70"/>
        <v>0</v>
      </c>
      <c r="AE162" s="40">
        <f t="shared" si="71"/>
        <v>0</v>
      </c>
      <c r="AF162" s="40">
        <f t="shared" si="72"/>
        <v>0</v>
      </c>
      <c r="AG162" s="40">
        <f t="shared" si="73"/>
        <v>0</v>
      </c>
      <c r="AH162" s="40">
        <f t="shared" si="74"/>
        <v>0</v>
      </c>
      <c r="AI162" s="40">
        <f t="shared" si="75"/>
        <v>0</v>
      </c>
      <c r="AJ162" s="40">
        <f t="shared" si="76"/>
        <v>0</v>
      </c>
      <c r="AK162" s="40">
        <f t="shared" si="77"/>
        <v>0</v>
      </c>
      <c r="AL162" s="40">
        <f t="shared" si="78"/>
        <v>0</v>
      </c>
      <c r="AM162" s="40">
        <f t="shared" si="79"/>
        <v>0</v>
      </c>
      <c r="AN162" s="40">
        <f t="shared" si="80"/>
        <v>0</v>
      </c>
      <c r="AO162" s="40">
        <f t="shared" si="81"/>
        <v>0</v>
      </c>
      <c r="AP162" s="40">
        <f t="shared" si="82"/>
        <v>0</v>
      </c>
      <c r="AQ162" s="40">
        <f t="shared" si="83"/>
        <v>0</v>
      </c>
      <c r="AR162" s="40">
        <f t="shared" si="84"/>
        <v>1</v>
      </c>
      <c r="AS162" s="40">
        <f t="shared" si="85"/>
        <v>0</v>
      </c>
    </row>
    <row r="163" spans="2:45" s="2" customFormat="1" ht="14.4" customHeight="1" x14ac:dyDescent="0.25">
      <c r="B163" s="56" t="s">
        <v>20</v>
      </c>
      <c r="C163" s="57" t="s">
        <v>36</v>
      </c>
      <c r="D163" s="58" t="s">
        <v>33</v>
      </c>
      <c r="E163" s="62">
        <v>3.8699999999999997E-3</v>
      </c>
      <c r="F163" s="65">
        <f t="shared" si="86"/>
        <v>-5.5545007719404467</v>
      </c>
      <c r="S163" s="40">
        <f t="shared" si="59"/>
        <v>0</v>
      </c>
      <c r="T163" s="40">
        <f t="shared" si="60"/>
        <v>0</v>
      </c>
      <c r="U163" s="40">
        <f t="shared" si="61"/>
        <v>1</v>
      </c>
      <c r="V163" s="40">
        <f t="shared" si="62"/>
        <v>0</v>
      </c>
      <c r="W163" s="40">
        <f t="shared" si="63"/>
        <v>0</v>
      </c>
      <c r="X163" s="40">
        <f t="shared" si="64"/>
        <v>0</v>
      </c>
      <c r="Y163" s="40">
        <f t="shared" si="65"/>
        <v>0</v>
      </c>
      <c r="Z163" s="40">
        <f t="shared" si="66"/>
        <v>1</v>
      </c>
      <c r="AA163" s="40">
        <f t="shared" si="67"/>
        <v>0</v>
      </c>
      <c r="AB163" s="40">
        <f t="shared" si="68"/>
        <v>0</v>
      </c>
      <c r="AC163" s="40">
        <f t="shared" si="69"/>
        <v>0</v>
      </c>
      <c r="AD163" s="40">
        <f t="shared" si="70"/>
        <v>0</v>
      </c>
      <c r="AE163" s="40">
        <f t="shared" si="71"/>
        <v>0</v>
      </c>
      <c r="AF163" s="40">
        <f t="shared" si="72"/>
        <v>0</v>
      </c>
      <c r="AG163" s="40">
        <f t="shared" si="73"/>
        <v>0</v>
      </c>
      <c r="AH163" s="40">
        <f t="shared" si="74"/>
        <v>0</v>
      </c>
      <c r="AI163" s="40">
        <f t="shared" si="75"/>
        <v>0</v>
      </c>
      <c r="AJ163" s="40">
        <f t="shared" si="76"/>
        <v>0</v>
      </c>
      <c r="AK163" s="40">
        <f t="shared" si="77"/>
        <v>0</v>
      </c>
      <c r="AL163" s="40">
        <f t="shared" si="78"/>
        <v>0</v>
      </c>
      <c r="AM163" s="40">
        <f t="shared" si="79"/>
        <v>1</v>
      </c>
      <c r="AN163" s="40">
        <f t="shared" si="80"/>
        <v>0</v>
      </c>
      <c r="AO163" s="40">
        <f t="shared" si="81"/>
        <v>0</v>
      </c>
      <c r="AP163" s="40">
        <f t="shared" si="82"/>
        <v>0</v>
      </c>
      <c r="AQ163" s="40">
        <f t="shared" si="83"/>
        <v>0</v>
      </c>
      <c r="AR163" s="40">
        <f t="shared" si="84"/>
        <v>0</v>
      </c>
      <c r="AS163" s="40">
        <f t="shared" si="85"/>
        <v>0</v>
      </c>
    </row>
    <row r="164" spans="2:45" s="2" customFormat="1" ht="14.4" customHeight="1" x14ac:dyDescent="0.25">
      <c r="B164" s="56" t="s">
        <v>20</v>
      </c>
      <c r="C164" s="57" t="s">
        <v>36</v>
      </c>
      <c r="D164" s="58" t="s">
        <v>35</v>
      </c>
      <c r="E164" s="62">
        <v>5.2699999999999995E-3</v>
      </c>
      <c r="F164" s="65">
        <f t="shared" si="86"/>
        <v>-5.2457249164288662</v>
      </c>
      <c r="S164" s="40">
        <f t="shared" si="59"/>
        <v>0</v>
      </c>
      <c r="T164" s="40">
        <f t="shared" si="60"/>
        <v>0</v>
      </c>
      <c r="U164" s="40">
        <f t="shared" si="61"/>
        <v>1</v>
      </c>
      <c r="V164" s="40">
        <f t="shared" si="62"/>
        <v>0</v>
      </c>
      <c r="W164" s="40">
        <f t="shared" si="63"/>
        <v>0</v>
      </c>
      <c r="X164" s="40">
        <f t="shared" si="64"/>
        <v>0</v>
      </c>
      <c r="Y164" s="40">
        <f t="shared" si="65"/>
        <v>0</v>
      </c>
      <c r="Z164" s="40">
        <f t="shared" si="66"/>
        <v>0</v>
      </c>
      <c r="AA164" s="40">
        <f t="shared" si="67"/>
        <v>0</v>
      </c>
      <c r="AB164" s="40">
        <f t="shared" si="68"/>
        <v>0</v>
      </c>
      <c r="AC164" s="40">
        <f t="shared" si="69"/>
        <v>0</v>
      </c>
      <c r="AD164" s="40">
        <f t="shared" si="70"/>
        <v>0</v>
      </c>
      <c r="AE164" s="40">
        <f t="shared" si="71"/>
        <v>0</v>
      </c>
      <c r="AF164" s="40">
        <f t="shared" si="72"/>
        <v>1</v>
      </c>
      <c r="AG164" s="40">
        <f t="shared" si="73"/>
        <v>0</v>
      </c>
      <c r="AH164" s="40">
        <f t="shared" si="74"/>
        <v>0</v>
      </c>
      <c r="AI164" s="40">
        <f t="shared" si="75"/>
        <v>1</v>
      </c>
      <c r="AJ164" s="40">
        <f t="shared" si="76"/>
        <v>0</v>
      </c>
      <c r="AK164" s="40">
        <f t="shared" si="77"/>
        <v>0</v>
      </c>
      <c r="AL164" s="40">
        <f t="shared" si="78"/>
        <v>0</v>
      </c>
      <c r="AM164" s="40">
        <f t="shared" si="79"/>
        <v>0</v>
      </c>
      <c r="AN164" s="40">
        <f t="shared" si="80"/>
        <v>0</v>
      </c>
      <c r="AO164" s="40">
        <f t="shared" si="81"/>
        <v>0</v>
      </c>
      <c r="AP164" s="40">
        <f t="shared" si="82"/>
        <v>0</v>
      </c>
      <c r="AQ164" s="40">
        <f t="shared" si="83"/>
        <v>0</v>
      </c>
      <c r="AR164" s="40">
        <f t="shared" si="84"/>
        <v>0</v>
      </c>
      <c r="AS164" s="40">
        <f t="shared" si="85"/>
        <v>0</v>
      </c>
    </row>
    <row r="165" spans="2:45" s="2" customFormat="1" ht="14.4" customHeight="1" x14ac:dyDescent="0.25">
      <c r="B165" s="56" t="s">
        <v>20</v>
      </c>
      <c r="C165" s="57" t="s">
        <v>26</v>
      </c>
      <c r="D165" s="58" t="s">
        <v>28</v>
      </c>
      <c r="E165" s="62">
        <v>4.1000000000000003E-3</v>
      </c>
      <c r="F165" s="65">
        <f t="shared" si="86"/>
        <v>-5.4967683052718748</v>
      </c>
      <c r="S165" s="40">
        <f t="shared" si="59"/>
        <v>0</v>
      </c>
      <c r="T165" s="40">
        <f t="shared" si="60"/>
        <v>0</v>
      </c>
      <c r="U165" s="40">
        <f t="shared" si="61"/>
        <v>1</v>
      </c>
      <c r="V165" s="40">
        <f t="shared" si="62"/>
        <v>0</v>
      </c>
      <c r="W165" s="40">
        <f t="shared" si="63"/>
        <v>0</v>
      </c>
      <c r="X165" s="40">
        <f t="shared" si="64"/>
        <v>0</v>
      </c>
      <c r="Y165" s="40">
        <f t="shared" si="65"/>
        <v>0</v>
      </c>
      <c r="Z165" s="40">
        <f t="shared" si="66"/>
        <v>0</v>
      </c>
      <c r="AA165" s="40">
        <f t="shared" si="67"/>
        <v>0</v>
      </c>
      <c r="AB165" s="40">
        <f t="shared" si="68"/>
        <v>0</v>
      </c>
      <c r="AC165" s="40">
        <f t="shared" si="69"/>
        <v>0</v>
      </c>
      <c r="AD165" s="40">
        <f t="shared" si="70"/>
        <v>0</v>
      </c>
      <c r="AE165" s="40">
        <f t="shared" si="71"/>
        <v>0</v>
      </c>
      <c r="AF165" s="40">
        <f t="shared" si="72"/>
        <v>1</v>
      </c>
      <c r="AG165" s="40">
        <f t="shared" si="73"/>
        <v>0</v>
      </c>
      <c r="AH165" s="40">
        <f t="shared" si="74"/>
        <v>0</v>
      </c>
      <c r="AI165" s="40">
        <f t="shared" si="75"/>
        <v>0</v>
      </c>
      <c r="AJ165" s="40">
        <f t="shared" si="76"/>
        <v>0</v>
      </c>
      <c r="AK165" s="40">
        <f t="shared" si="77"/>
        <v>0</v>
      </c>
      <c r="AL165" s="40">
        <f t="shared" si="78"/>
        <v>0</v>
      </c>
      <c r="AM165" s="40">
        <f t="shared" si="79"/>
        <v>0</v>
      </c>
      <c r="AN165" s="40">
        <f t="shared" si="80"/>
        <v>1</v>
      </c>
      <c r="AO165" s="40">
        <f t="shared" si="81"/>
        <v>0</v>
      </c>
      <c r="AP165" s="40">
        <f t="shared" si="82"/>
        <v>0</v>
      </c>
      <c r="AQ165" s="40">
        <f t="shared" si="83"/>
        <v>0</v>
      </c>
      <c r="AR165" s="40">
        <f t="shared" si="84"/>
        <v>0</v>
      </c>
      <c r="AS165" s="40">
        <f t="shared" si="85"/>
        <v>0</v>
      </c>
    </row>
    <row r="166" spans="2:45" s="2" customFormat="1" ht="14.4" customHeight="1" x14ac:dyDescent="0.25">
      <c r="B166" s="56" t="s">
        <v>20</v>
      </c>
      <c r="C166" s="57" t="s">
        <v>26</v>
      </c>
      <c r="D166" s="58" t="s">
        <v>29</v>
      </c>
      <c r="E166" s="62">
        <v>3.3799999999999998E-3</v>
      </c>
      <c r="F166" s="65">
        <f t="shared" si="86"/>
        <v>-5.6898795694872097</v>
      </c>
      <c r="S166" s="40">
        <f t="shared" si="59"/>
        <v>0</v>
      </c>
      <c r="T166" s="40">
        <f t="shared" si="60"/>
        <v>0</v>
      </c>
      <c r="U166" s="40">
        <f t="shared" si="61"/>
        <v>1</v>
      </c>
      <c r="V166" s="40">
        <f t="shared" si="62"/>
        <v>0</v>
      </c>
      <c r="W166" s="40">
        <f t="shared" si="63"/>
        <v>0</v>
      </c>
      <c r="X166" s="40">
        <f t="shared" si="64"/>
        <v>0</v>
      </c>
      <c r="Y166" s="40">
        <f t="shared" si="65"/>
        <v>0</v>
      </c>
      <c r="Z166" s="40">
        <f t="shared" si="66"/>
        <v>0</v>
      </c>
      <c r="AA166" s="40">
        <f t="shared" si="67"/>
        <v>0</v>
      </c>
      <c r="AB166" s="40">
        <f t="shared" si="68"/>
        <v>0</v>
      </c>
      <c r="AC166" s="40">
        <f t="shared" si="69"/>
        <v>0</v>
      </c>
      <c r="AD166" s="40">
        <f t="shared" si="70"/>
        <v>0</v>
      </c>
      <c r="AE166" s="40">
        <f t="shared" si="71"/>
        <v>0</v>
      </c>
      <c r="AF166" s="40">
        <f t="shared" si="72"/>
        <v>1</v>
      </c>
      <c r="AG166" s="40">
        <f t="shared" si="73"/>
        <v>0</v>
      </c>
      <c r="AH166" s="40">
        <f t="shared" si="74"/>
        <v>0</v>
      </c>
      <c r="AI166" s="40">
        <f t="shared" si="75"/>
        <v>1</v>
      </c>
      <c r="AJ166" s="40">
        <f t="shared" si="76"/>
        <v>0</v>
      </c>
      <c r="AK166" s="40">
        <f t="shared" si="77"/>
        <v>0</v>
      </c>
      <c r="AL166" s="40">
        <f t="shared" si="78"/>
        <v>0</v>
      </c>
      <c r="AM166" s="40">
        <f t="shared" si="79"/>
        <v>0</v>
      </c>
      <c r="AN166" s="40">
        <f t="shared" si="80"/>
        <v>0</v>
      </c>
      <c r="AO166" s="40">
        <f t="shared" si="81"/>
        <v>0</v>
      </c>
      <c r="AP166" s="40">
        <f t="shared" si="82"/>
        <v>0</v>
      </c>
      <c r="AQ166" s="40">
        <f t="shared" si="83"/>
        <v>0</v>
      </c>
      <c r="AR166" s="40">
        <f t="shared" si="84"/>
        <v>0</v>
      </c>
      <c r="AS166" s="40">
        <f t="shared" si="85"/>
        <v>0</v>
      </c>
    </row>
    <row r="167" spans="2:45" s="2" customFormat="1" ht="14.4" customHeight="1" x14ac:dyDescent="0.25">
      <c r="B167" s="56" t="s">
        <v>20</v>
      </c>
      <c r="C167" s="57" t="s">
        <v>26</v>
      </c>
      <c r="D167" s="58" t="s">
        <v>28</v>
      </c>
      <c r="E167" s="62">
        <v>5.5599999999999981E-3</v>
      </c>
      <c r="F167" s="65">
        <f t="shared" si="86"/>
        <v>-5.1921571707196463</v>
      </c>
      <c r="S167" s="40">
        <f t="shared" si="59"/>
        <v>0</v>
      </c>
      <c r="T167" s="40">
        <f t="shared" si="60"/>
        <v>0</v>
      </c>
      <c r="U167" s="40">
        <f t="shared" si="61"/>
        <v>1</v>
      </c>
      <c r="V167" s="40">
        <f t="shared" si="62"/>
        <v>0</v>
      </c>
      <c r="W167" s="40">
        <f t="shared" si="63"/>
        <v>0</v>
      </c>
      <c r="X167" s="40">
        <f t="shared" si="64"/>
        <v>0</v>
      </c>
      <c r="Y167" s="40">
        <f t="shared" si="65"/>
        <v>0</v>
      </c>
      <c r="Z167" s="40">
        <f t="shared" si="66"/>
        <v>0</v>
      </c>
      <c r="AA167" s="40">
        <f t="shared" si="67"/>
        <v>0</v>
      </c>
      <c r="AB167" s="40">
        <f t="shared" si="68"/>
        <v>0</v>
      </c>
      <c r="AC167" s="40">
        <f t="shared" si="69"/>
        <v>0</v>
      </c>
      <c r="AD167" s="40">
        <f t="shared" si="70"/>
        <v>0</v>
      </c>
      <c r="AE167" s="40">
        <f t="shared" si="71"/>
        <v>0</v>
      </c>
      <c r="AF167" s="40">
        <f t="shared" si="72"/>
        <v>1</v>
      </c>
      <c r="AG167" s="40">
        <f t="shared" si="73"/>
        <v>0</v>
      </c>
      <c r="AH167" s="40">
        <f t="shared" si="74"/>
        <v>0</v>
      </c>
      <c r="AI167" s="40">
        <f t="shared" si="75"/>
        <v>0</v>
      </c>
      <c r="AJ167" s="40">
        <f t="shared" si="76"/>
        <v>0</v>
      </c>
      <c r="AK167" s="40">
        <f t="shared" si="77"/>
        <v>0</v>
      </c>
      <c r="AL167" s="40">
        <f t="shared" si="78"/>
        <v>1</v>
      </c>
      <c r="AM167" s="40">
        <f t="shared" si="79"/>
        <v>0</v>
      </c>
      <c r="AN167" s="40">
        <f t="shared" si="80"/>
        <v>0</v>
      </c>
      <c r="AO167" s="40">
        <f t="shared" si="81"/>
        <v>0</v>
      </c>
      <c r="AP167" s="40">
        <f t="shared" si="82"/>
        <v>0</v>
      </c>
      <c r="AQ167" s="40">
        <f t="shared" si="83"/>
        <v>0</v>
      </c>
      <c r="AR167" s="40">
        <f t="shared" si="84"/>
        <v>0</v>
      </c>
      <c r="AS167" s="40">
        <f t="shared" si="85"/>
        <v>0</v>
      </c>
    </row>
    <row r="168" spans="2:45" s="2" customFormat="1" ht="14.4" customHeight="1" x14ac:dyDescent="0.25">
      <c r="B168" s="56" t="s">
        <v>20</v>
      </c>
      <c r="C168" s="57" t="s">
        <v>26</v>
      </c>
      <c r="D168" s="58" t="s">
        <v>24</v>
      </c>
      <c r="E168" s="62">
        <v>4.5700000000000011E-3</v>
      </c>
      <c r="F168" s="65">
        <f t="shared" si="86"/>
        <v>-5.3882420740760235</v>
      </c>
      <c r="S168" s="40">
        <f t="shared" si="59"/>
        <v>0</v>
      </c>
      <c r="T168" s="40">
        <f t="shared" si="60"/>
        <v>0</v>
      </c>
      <c r="U168" s="40">
        <f t="shared" si="61"/>
        <v>1</v>
      </c>
      <c r="V168" s="40">
        <f t="shared" si="62"/>
        <v>0</v>
      </c>
      <c r="W168" s="40">
        <f t="shared" si="63"/>
        <v>0</v>
      </c>
      <c r="X168" s="40">
        <f t="shared" si="64"/>
        <v>0</v>
      </c>
      <c r="Y168" s="40">
        <f t="shared" si="65"/>
        <v>0</v>
      </c>
      <c r="Z168" s="40">
        <f t="shared" si="66"/>
        <v>1</v>
      </c>
      <c r="AA168" s="40">
        <f t="shared" si="67"/>
        <v>0</v>
      </c>
      <c r="AB168" s="40">
        <f t="shared" si="68"/>
        <v>0</v>
      </c>
      <c r="AC168" s="40">
        <f t="shared" si="69"/>
        <v>0</v>
      </c>
      <c r="AD168" s="40">
        <f t="shared" si="70"/>
        <v>0</v>
      </c>
      <c r="AE168" s="40">
        <f t="shared" si="71"/>
        <v>0</v>
      </c>
      <c r="AF168" s="40">
        <f t="shared" si="72"/>
        <v>0</v>
      </c>
      <c r="AG168" s="40">
        <f t="shared" si="73"/>
        <v>0</v>
      </c>
      <c r="AH168" s="40">
        <f t="shared" si="74"/>
        <v>0</v>
      </c>
      <c r="AI168" s="40">
        <f t="shared" si="75"/>
        <v>0</v>
      </c>
      <c r="AJ168" s="40">
        <f t="shared" si="76"/>
        <v>0</v>
      </c>
      <c r="AK168" s="40">
        <f t="shared" si="77"/>
        <v>0</v>
      </c>
      <c r="AL168" s="40">
        <f t="shared" si="78"/>
        <v>1</v>
      </c>
      <c r="AM168" s="40">
        <f t="shared" si="79"/>
        <v>0</v>
      </c>
      <c r="AN168" s="40">
        <f t="shared" si="80"/>
        <v>0</v>
      </c>
      <c r="AO168" s="40">
        <f t="shared" si="81"/>
        <v>0</v>
      </c>
      <c r="AP168" s="40">
        <f t="shared" si="82"/>
        <v>0</v>
      </c>
      <c r="AQ168" s="40">
        <f t="shared" si="83"/>
        <v>0</v>
      </c>
      <c r="AR168" s="40">
        <f t="shared" si="84"/>
        <v>0</v>
      </c>
      <c r="AS168" s="40">
        <f t="shared" si="85"/>
        <v>0</v>
      </c>
    </row>
    <row r="169" spans="2:45" s="2" customFormat="1" ht="14.4" customHeight="1" x14ac:dyDescent="0.25">
      <c r="B169" s="56" t="s">
        <v>20</v>
      </c>
      <c r="C169" s="57" t="s">
        <v>36</v>
      </c>
      <c r="D169" s="58" t="s">
        <v>24</v>
      </c>
      <c r="E169" s="62">
        <v>4.429999999999999E-3</v>
      </c>
      <c r="F169" s="65">
        <f t="shared" si="86"/>
        <v>-5.4193556949250929</v>
      </c>
      <c r="S169" s="40">
        <f t="shared" si="59"/>
        <v>0</v>
      </c>
      <c r="T169" s="40">
        <f t="shared" si="60"/>
        <v>0</v>
      </c>
      <c r="U169" s="40">
        <f t="shared" si="61"/>
        <v>1</v>
      </c>
      <c r="V169" s="40">
        <f t="shared" si="62"/>
        <v>0</v>
      </c>
      <c r="W169" s="40">
        <f t="shared" si="63"/>
        <v>0</v>
      </c>
      <c r="X169" s="40">
        <f t="shared" si="64"/>
        <v>0</v>
      </c>
      <c r="Y169" s="40">
        <f t="shared" si="65"/>
        <v>0</v>
      </c>
      <c r="Z169" s="40">
        <f t="shared" si="66"/>
        <v>0</v>
      </c>
      <c r="AA169" s="40">
        <f t="shared" si="67"/>
        <v>0</v>
      </c>
      <c r="AB169" s="40">
        <f t="shared" si="68"/>
        <v>1</v>
      </c>
      <c r="AC169" s="40">
        <f t="shared" si="69"/>
        <v>0</v>
      </c>
      <c r="AD169" s="40">
        <f t="shared" si="70"/>
        <v>0</v>
      </c>
      <c r="AE169" s="40">
        <f t="shared" si="71"/>
        <v>0</v>
      </c>
      <c r="AF169" s="40">
        <f t="shared" si="72"/>
        <v>0</v>
      </c>
      <c r="AG169" s="40">
        <f t="shared" si="73"/>
        <v>0</v>
      </c>
      <c r="AH169" s="40">
        <f t="shared" si="74"/>
        <v>0</v>
      </c>
      <c r="AI169" s="40">
        <f t="shared" si="75"/>
        <v>0</v>
      </c>
      <c r="AJ169" s="40">
        <f t="shared" si="76"/>
        <v>0</v>
      </c>
      <c r="AK169" s="40">
        <f t="shared" si="77"/>
        <v>0</v>
      </c>
      <c r="AL169" s="40">
        <f t="shared" si="78"/>
        <v>0</v>
      </c>
      <c r="AM169" s="40">
        <f t="shared" si="79"/>
        <v>0</v>
      </c>
      <c r="AN169" s="40">
        <f t="shared" si="80"/>
        <v>0</v>
      </c>
      <c r="AO169" s="40">
        <f t="shared" si="81"/>
        <v>1</v>
      </c>
      <c r="AP169" s="40">
        <f t="shared" si="82"/>
        <v>0</v>
      </c>
      <c r="AQ169" s="40">
        <f t="shared" si="83"/>
        <v>0</v>
      </c>
      <c r="AR169" s="40">
        <f t="shared" si="84"/>
        <v>0</v>
      </c>
      <c r="AS169" s="40">
        <f t="shared" si="85"/>
        <v>0</v>
      </c>
    </row>
    <row r="170" spans="2:45" s="2" customFormat="1" ht="14.4" customHeight="1" x14ac:dyDescent="0.25">
      <c r="B170" s="56" t="s">
        <v>20</v>
      </c>
      <c r="C170" s="57" t="s">
        <v>25</v>
      </c>
      <c r="D170" s="58" t="s">
        <v>31</v>
      </c>
      <c r="E170" s="62">
        <v>2.099999999999999E-3</v>
      </c>
      <c r="F170" s="65">
        <f t="shared" si="86"/>
        <v>-6.1658179342527601</v>
      </c>
      <c r="S170" s="40">
        <f t="shared" si="59"/>
        <v>0</v>
      </c>
      <c r="T170" s="40">
        <f t="shared" si="60"/>
        <v>0</v>
      </c>
      <c r="U170" s="40">
        <f t="shared" si="61"/>
        <v>1</v>
      </c>
      <c r="V170" s="40">
        <f t="shared" si="62"/>
        <v>0</v>
      </c>
      <c r="W170" s="40">
        <f t="shared" si="63"/>
        <v>0</v>
      </c>
      <c r="X170" s="40">
        <f t="shared" si="64"/>
        <v>0</v>
      </c>
      <c r="Y170" s="40">
        <f t="shared" si="65"/>
        <v>0</v>
      </c>
      <c r="Z170" s="40">
        <f t="shared" si="66"/>
        <v>0</v>
      </c>
      <c r="AA170" s="40">
        <f t="shared" si="67"/>
        <v>0</v>
      </c>
      <c r="AB170" s="40">
        <f t="shared" si="68"/>
        <v>0</v>
      </c>
      <c r="AC170" s="40">
        <f t="shared" si="69"/>
        <v>0</v>
      </c>
      <c r="AD170" s="40">
        <f t="shared" si="70"/>
        <v>0</v>
      </c>
      <c r="AE170" s="40">
        <f t="shared" si="71"/>
        <v>0</v>
      </c>
      <c r="AF170" s="40">
        <f t="shared" si="72"/>
        <v>1</v>
      </c>
      <c r="AG170" s="40">
        <f t="shared" si="73"/>
        <v>0</v>
      </c>
      <c r="AH170" s="40">
        <f t="shared" si="74"/>
        <v>0</v>
      </c>
      <c r="AI170" s="40">
        <f t="shared" si="75"/>
        <v>0</v>
      </c>
      <c r="AJ170" s="40">
        <f t="shared" si="76"/>
        <v>0</v>
      </c>
      <c r="AK170" s="40">
        <f t="shared" si="77"/>
        <v>0</v>
      </c>
      <c r="AL170" s="40">
        <f t="shared" si="78"/>
        <v>1</v>
      </c>
      <c r="AM170" s="40">
        <f t="shared" si="79"/>
        <v>0</v>
      </c>
      <c r="AN170" s="40">
        <f t="shared" si="80"/>
        <v>0</v>
      </c>
      <c r="AO170" s="40">
        <f t="shared" si="81"/>
        <v>0</v>
      </c>
      <c r="AP170" s="40">
        <f t="shared" si="82"/>
        <v>0</v>
      </c>
      <c r="AQ170" s="40">
        <f t="shared" si="83"/>
        <v>0</v>
      </c>
      <c r="AR170" s="40">
        <f t="shared" si="84"/>
        <v>0</v>
      </c>
      <c r="AS170" s="40">
        <f t="shared" si="85"/>
        <v>0</v>
      </c>
    </row>
    <row r="171" spans="2:45" s="2" customFormat="1" ht="14.4" customHeight="1" x14ac:dyDescent="0.25">
      <c r="B171" s="56" t="s">
        <v>20</v>
      </c>
      <c r="C171" s="57" t="s">
        <v>26</v>
      </c>
      <c r="D171" s="58" t="s">
        <v>24</v>
      </c>
      <c r="E171" s="62">
        <v>5.6400000000000009E-3</v>
      </c>
      <c r="F171" s="65">
        <f t="shared" si="86"/>
        <v>-5.1778712134721694</v>
      </c>
      <c r="S171" s="40">
        <f t="shared" si="59"/>
        <v>0</v>
      </c>
      <c r="T171" s="40">
        <f t="shared" si="60"/>
        <v>0</v>
      </c>
      <c r="U171" s="40">
        <f t="shared" si="61"/>
        <v>1</v>
      </c>
      <c r="V171" s="40">
        <f t="shared" si="62"/>
        <v>0</v>
      </c>
      <c r="W171" s="40">
        <f t="shared" si="63"/>
        <v>0</v>
      </c>
      <c r="X171" s="40">
        <f t="shared" si="64"/>
        <v>0</v>
      </c>
      <c r="Y171" s="40">
        <f t="shared" si="65"/>
        <v>0</v>
      </c>
      <c r="Z171" s="40">
        <f t="shared" si="66"/>
        <v>0</v>
      </c>
      <c r="AA171" s="40">
        <f t="shared" si="67"/>
        <v>0</v>
      </c>
      <c r="AB171" s="40">
        <f t="shared" si="68"/>
        <v>0</v>
      </c>
      <c r="AC171" s="40">
        <f t="shared" si="69"/>
        <v>0</v>
      </c>
      <c r="AD171" s="40">
        <f t="shared" si="70"/>
        <v>0</v>
      </c>
      <c r="AE171" s="40">
        <f t="shared" si="71"/>
        <v>0</v>
      </c>
      <c r="AF171" s="40">
        <f t="shared" si="72"/>
        <v>1</v>
      </c>
      <c r="AG171" s="40">
        <f t="shared" si="73"/>
        <v>0</v>
      </c>
      <c r="AH171" s="40">
        <f t="shared" si="74"/>
        <v>0</v>
      </c>
      <c r="AI171" s="40">
        <f t="shared" si="75"/>
        <v>0</v>
      </c>
      <c r="AJ171" s="40">
        <f t="shared" si="76"/>
        <v>0</v>
      </c>
      <c r="AK171" s="40">
        <f t="shared" si="77"/>
        <v>0</v>
      </c>
      <c r="AL171" s="40">
        <f t="shared" si="78"/>
        <v>1</v>
      </c>
      <c r="AM171" s="40">
        <f t="shared" si="79"/>
        <v>0</v>
      </c>
      <c r="AN171" s="40">
        <f t="shared" si="80"/>
        <v>0</v>
      </c>
      <c r="AO171" s="40">
        <f t="shared" si="81"/>
        <v>0</v>
      </c>
      <c r="AP171" s="40">
        <f t="shared" si="82"/>
        <v>0</v>
      </c>
      <c r="AQ171" s="40">
        <f t="shared" si="83"/>
        <v>0</v>
      </c>
      <c r="AR171" s="40">
        <f t="shared" si="84"/>
        <v>0</v>
      </c>
      <c r="AS171" s="40">
        <f t="shared" si="85"/>
        <v>0</v>
      </c>
    </row>
    <row r="172" spans="2:45" s="2" customFormat="1" ht="14.4" customHeight="1" x14ac:dyDescent="0.25">
      <c r="B172" s="56" t="s">
        <v>20</v>
      </c>
      <c r="C172" s="57" t="s">
        <v>26</v>
      </c>
      <c r="D172" s="58" t="s">
        <v>24</v>
      </c>
      <c r="E172" s="62">
        <v>5.6899999999999989E-3</v>
      </c>
      <c r="F172" s="65">
        <f t="shared" si="86"/>
        <v>-5.1690450308438978</v>
      </c>
      <c r="S172" s="40">
        <f t="shared" si="59"/>
        <v>0</v>
      </c>
      <c r="T172" s="40">
        <f t="shared" si="60"/>
        <v>0</v>
      </c>
      <c r="U172" s="40">
        <f t="shared" si="61"/>
        <v>1</v>
      </c>
      <c r="V172" s="40">
        <f t="shared" si="62"/>
        <v>0</v>
      </c>
      <c r="W172" s="40">
        <f t="shared" si="63"/>
        <v>0</v>
      </c>
      <c r="X172" s="40">
        <f t="shared" si="64"/>
        <v>0</v>
      </c>
      <c r="Y172" s="40">
        <f t="shared" si="65"/>
        <v>0</v>
      </c>
      <c r="Z172" s="40">
        <f t="shared" si="66"/>
        <v>1</v>
      </c>
      <c r="AA172" s="40">
        <f t="shared" si="67"/>
        <v>0</v>
      </c>
      <c r="AB172" s="40">
        <f t="shared" si="68"/>
        <v>0</v>
      </c>
      <c r="AC172" s="40">
        <f t="shared" si="69"/>
        <v>0</v>
      </c>
      <c r="AD172" s="40">
        <f t="shared" si="70"/>
        <v>0</v>
      </c>
      <c r="AE172" s="40">
        <f t="shared" si="71"/>
        <v>0</v>
      </c>
      <c r="AF172" s="40">
        <f t="shared" si="72"/>
        <v>0</v>
      </c>
      <c r="AG172" s="40">
        <f t="shared" si="73"/>
        <v>0</v>
      </c>
      <c r="AH172" s="40">
        <f t="shared" si="74"/>
        <v>0</v>
      </c>
      <c r="AI172" s="40">
        <f t="shared" si="75"/>
        <v>0</v>
      </c>
      <c r="AJ172" s="40">
        <f t="shared" si="76"/>
        <v>0</v>
      </c>
      <c r="AK172" s="40">
        <f t="shared" si="77"/>
        <v>0</v>
      </c>
      <c r="AL172" s="40">
        <f t="shared" si="78"/>
        <v>0</v>
      </c>
      <c r="AM172" s="40">
        <f t="shared" si="79"/>
        <v>0</v>
      </c>
      <c r="AN172" s="40">
        <f t="shared" si="80"/>
        <v>0</v>
      </c>
      <c r="AO172" s="40">
        <f t="shared" si="81"/>
        <v>0</v>
      </c>
      <c r="AP172" s="40">
        <f t="shared" si="82"/>
        <v>0</v>
      </c>
      <c r="AQ172" s="40">
        <f t="shared" si="83"/>
        <v>0</v>
      </c>
      <c r="AR172" s="40">
        <f t="shared" si="84"/>
        <v>1</v>
      </c>
      <c r="AS172" s="40">
        <f t="shared" si="85"/>
        <v>0</v>
      </c>
    </row>
    <row r="173" spans="2:45" s="2" customFormat="1" ht="14.4" customHeight="1" x14ac:dyDescent="0.25">
      <c r="B173" s="56" t="s">
        <v>20</v>
      </c>
      <c r="C173" s="57" t="s">
        <v>36</v>
      </c>
      <c r="D173" s="58" t="s">
        <v>33</v>
      </c>
      <c r="E173" s="62">
        <v>4.8900000000000002E-3</v>
      </c>
      <c r="F173" s="65">
        <f t="shared" si="86"/>
        <v>-5.3205629754953563</v>
      </c>
      <c r="S173" s="40">
        <f t="shared" si="59"/>
        <v>0</v>
      </c>
      <c r="T173" s="40">
        <f t="shared" si="60"/>
        <v>0</v>
      </c>
      <c r="U173" s="40">
        <f t="shared" si="61"/>
        <v>1</v>
      </c>
      <c r="V173" s="40">
        <f t="shared" si="62"/>
        <v>0</v>
      </c>
      <c r="W173" s="40">
        <f t="shared" si="63"/>
        <v>0</v>
      </c>
      <c r="X173" s="40">
        <f t="shared" si="64"/>
        <v>0</v>
      </c>
      <c r="Y173" s="40">
        <f t="shared" si="65"/>
        <v>0</v>
      </c>
      <c r="Z173" s="40">
        <f t="shared" si="66"/>
        <v>0</v>
      </c>
      <c r="AA173" s="40">
        <f t="shared" si="67"/>
        <v>0</v>
      </c>
      <c r="AB173" s="40">
        <f t="shared" si="68"/>
        <v>0</v>
      </c>
      <c r="AC173" s="40">
        <f t="shared" si="69"/>
        <v>0</v>
      </c>
      <c r="AD173" s="40">
        <f t="shared" si="70"/>
        <v>0</v>
      </c>
      <c r="AE173" s="40">
        <f t="shared" si="71"/>
        <v>0</v>
      </c>
      <c r="AF173" s="40">
        <f t="shared" si="72"/>
        <v>0</v>
      </c>
      <c r="AG173" s="40">
        <f t="shared" si="73"/>
        <v>1</v>
      </c>
      <c r="AH173" s="40">
        <f t="shared" si="74"/>
        <v>0</v>
      </c>
      <c r="AI173" s="40">
        <f t="shared" si="75"/>
        <v>0</v>
      </c>
      <c r="AJ173" s="40">
        <f t="shared" si="76"/>
        <v>0</v>
      </c>
      <c r="AK173" s="40">
        <f t="shared" si="77"/>
        <v>0</v>
      </c>
      <c r="AL173" s="40">
        <f t="shared" si="78"/>
        <v>0</v>
      </c>
      <c r="AM173" s="40">
        <f t="shared" si="79"/>
        <v>0</v>
      </c>
      <c r="AN173" s="40">
        <f t="shared" si="80"/>
        <v>0</v>
      </c>
      <c r="AO173" s="40">
        <f t="shared" si="81"/>
        <v>0</v>
      </c>
      <c r="AP173" s="40">
        <f t="shared" si="82"/>
        <v>0</v>
      </c>
      <c r="AQ173" s="40">
        <f t="shared" si="83"/>
        <v>0</v>
      </c>
      <c r="AR173" s="40">
        <f t="shared" si="84"/>
        <v>1</v>
      </c>
      <c r="AS173" s="40">
        <f t="shared" si="85"/>
        <v>0</v>
      </c>
    </row>
    <row r="174" spans="2:45" s="2" customFormat="1" ht="14.4" customHeight="1" x14ac:dyDescent="0.25">
      <c r="B174" s="56" t="s">
        <v>20</v>
      </c>
      <c r="C174" s="57" t="s">
        <v>38</v>
      </c>
      <c r="D174" s="58" t="s">
        <v>33</v>
      </c>
      <c r="E174" s="62">
        <v>5.1299999999999983E-3</v>
      </c>
      <c r="F174" s="65">
        <f t="shared" si="86"/>
        <v>-5.2726496197994592</v>
      </c>
      <c r="S174" s="40">
        <f t="shared" si="59"/>
        <v>0</v>
      </c>
      <c r="T174" s="40">
        <f t="shared" si="60"/>
        <v>0</v>
      </c>
      <c r="U174" s="40">
        <f t="shared" si="61"/>
        <v>1</v>
      </c>
      <c r="V174" s="40">
        <f t="shared" si="62"/>
        <v>0</v>
      </c>
      <c r="W174" s="40">
        <f t="shared" si="63"/>
        <v>0</v>
      </c>
      <c r="X174" s="40">
        <f t="shared" si="64"/>
        <v>0</v>
      </c>
      <c r="Y174" s="40">
        <f t="shared" si="65"/>
        <v>0</v>
      </c>
      <c r="Z174" s="40">
        <f t="shared" si="66"/>
        <v>0</v>
      </c>
      <c r="AA174" s="40">
        <f t="shared" si="67"/>
        <v>1</v>
      </c>
      <c r="AB174" s="40">
        <f t="shared" si="68"/>
        <v>0</v>
      </c>
      <c r="AC174" s="40">
        <f t="shared" si="69"/>
        <v>0</v>
      </c>
      <c r="AD174" s="40">
        <f t="shared" si="70"/>
        <v>0</v>
      </c>
      <c r="AE174" s="40">
        <f t="shared" si="71"/>
        <v>0</v>
      </c>
      <c r="AF174" s="40">
        <f t="shared" si="72"/>
        <v>0</v>
      </c>
      <c r="AG174" s="40">
        <f t="shared" si="73"/>
        <v>0</v>
      </c>
      <c r="AH174" s="40">
        <f t="shared" si="74"/>
        <v>0</v>
      </c>
      <c r="AI174" s="40">
        <f t="shared" si="75"/>
        <v>0</v>
      </c>
      <c r="AJ174" s="40">
        <f t="shared" si="76"/>
        <v>0</v>
      </c>
      <c r="AK174" s="40">
        <f t="shared" si="77"/>
        <v>0</v>
      </c>
      <c r="AL174" s="40">
        <f t="shared" si="78"/>
        <v>0</v>
      </c>
      <c r="AM174" s="40">
        <f t="shared" si="79"/>
        <v>1</v>
      </c>
      <c r="AN174" s="40">
        <f t="shared" si="80"/>
        <v>0</v>
      </c>
      <c r="AO174" s="40">
        <f t="shared" si="81"/>
        <v>0</v>
      </c>
      <c r="AP174" s="40">
        <f t="shared" si="82"/>
        <v>0</v>
      </c>
      <c r="AQ174" s="40">
        <f t="shared" si="83"/>
        <v>0</v>
      </c>
      <c r="AR174" s="40">
        <f t="shared" si="84"/>
        <v>0</v>
      </c>
      <c r="AS174" s="40">
        <f t="shared" si="85"/>
        <v>0</v>
      </c>
    </row>
    <row r="175" spans="2:45" s="2" customFormat="1" ht="14.4" customHeight="1" x14ac:dyDescent="0.25">
      <c r="B175" s="56" t="s">
        <v>20</v>
      </c>
      <c r="C175" s="57" t="s">
        <v>39</v>
      </c>
      <c r="D175" s="58" t="s">
        <v>35</v>
      </c>
      <c r="E175" s="62">
        <v>3.5599999999999994E-3</v>
      </c>
      <c r="F175" s="65">
        <f t="shared" si="86"/>
        <v>-5.6379947341181982</v>
      </c>
      <c r="S175" s="40">
        <f t="shared" si="59"/>
        <v>0</v>
      </c>
      <c r="T175" s="40">
        <f t="shared" si="60"/>
        <v>0</v>
      </c>
      <c r="U175" s="40">
        <f t="shared" si="61"/>
        <v>1</v>
      </c>
      <c r="V175" s="40">
        <f t="shared" si="62"/>
        <v>0</v>
      </c>
      <c r="W175" s="40">
        <f t="shared" si="63"/>
        <v>0</v>
      </c>
      <c r="X175" s="40">
        <f t="shared" si="64"/>
        <v>0</v>
      </c>
      <c r="Y175" s="40">
        <f t="shared" si="65"/>
        <v>0</v>
      </c>
      <c r="Z175" s="40">
        <f t="shared" si="66"/>
        <v>0</v>
      </c>
      <c r="AA175" s="40">
        <f t="shared" si="67"/>
        <v>1</v>
      </c>
      <c r="AB175" s="40">
        <f t="shared" si="68"/>
        <v>0</v>
      </c>
      <c r="AC175" s="40">
        <f t="shared" si="69"/>
        <v>0</v>
      </c>
      <c r="AD175" s="40">
        <f t="shared" si="70"/>
        <v>0</v>
      </c>
      <c r="AE175" s="40">
        <f t="shared" si="71"/>
        <v>0</v>
      </c>
      <c r="AF175" s="40">
        <f t="shared" si="72"/>
        <v>0</v>
      </c>
      <c r="AG175" s="40">
        <f t="shared" si="73"/>
        <v>0</v>
      </c>
      <c r="AH175" s="40">
        <f t="shared" si="74"/>
        <v>0</v>
      </c>
      <c r="AI175" s="40">
        <f t="shared" si="75"/>
        <v>0</v>
      </c>
      <c r="AJ175" s="40">
        <f t="shared" si="76"/>
        <v>0</v>
      </c>
      <c r="AK175" s="40">
        <f t="shared" si="77"/>
        <v>0</v>
      </c>
      <c r="AL175" s="40">
        <f t="shared" si="78"/>
        <v>0</v>
      </c>
      <c r="AM175" s="40">
        <f t="shared" si="79"/>
        <v>1</v>
      </c>
      <c r="AN175" s="40">
        <f t="shared" si="80"/>
        <v>0</v>
      </c>
      <c r="AO175" s="40">
        <f t="shared" si="81"/>
        <v>0</v>
      </c>
      <c r="AP175" s="40">
        <f t="shared" si="82"/>
        <v>0</v>
      </c>
      <c r="AQ175" s="40">
        <f t="shared" si="83"/>
        <v>0</v>
      </c>
      <c r="AR175" s="40">
        <f t="shared" si="84"/>
        <v>0</v>
      </c>
      <c r="AS175" s="40">
        <f t="shared" si="85"/>
        <v>0</v>
      </c>
    </row>
    <row r="176" spans="2:45" s="2" customFormat="1" ht="14.4" customHeight="1" x14ac:dyDescent="0.25">
      <c r="B176" s="56" t="s">
        <v>20</v>
      </c>
      <c r="C176" s="57" t="s">
        <v>39</v>
      </c>
      <c r="D176" s="58" t="s">
        <v>35</v>
      </c>
      <c r="E176" s="62">
        <v>6.3200000000000001E-3</v>
      </c>
      <c r="F176" s="65">
        <f t="shared" si="86"/>
        <v>-5.0640360708233709</v>
      </c>
      <c r="S176" s="40">
        <f t="shared" si="59"/>
        <v>0</v>
      </c>
      <c r="T176" s="40">
        <f t="shared" si="60"/>
        <v>0</v>
      </c>
      <c r="U176" s="40">
        <f t="shared" si="61"/>
        <v>1</v>
      </c>
      <c r="V176" s="40">
        <f t="shared" si="62"/>
        <v>0</v>
      </c>
      <c r="W176" s="40">
        <f t="shared" si="63"/>
        <v>0</v>
      </c>
      <c r="X176" s="40">
        <f t="shared" si="64"/>
        <v>0</v>
      </c>
      <c r="Y176" s="40">
        <f t="shared" si="65"/>
        <v>0</v>
      </c>
      <c r="Z176" s="40">
        <f t="shared" si="66"/>
        <v>0</v>
      </c>
      <c r="AA176" s="40">
        <f t="shared" si="67"/>
        <v>0</v>
      </c>
      <c r="AB176" s="40">
        <f t="shared" si="68"/>
        <v>1</v>
      </c>
      <c r="AC176" s="40">
        <f t="shared" si="69"/>
        <v>0</v>
      </c>
      <c r="AD176" s="40">
        <f t="shared" si="70"/>
        <v>0</v>
      </c>
      <c r="AE176" s="40">
        <f t="shared" si="71"/>
        <v>0</v>
      </c>
      <c r="AF176" s="40">
        <f t="shared" si="72"/>
        <v>0</v>
      </c>
      <c r="AG176" s="40">
        <f t="shared" si="73"/>
        <v>0</v>
      </c>
      <c r="AH176" s="40">
        <f t="shared" si="74"/>
        <v>0</v>
      </c>
      <c r="AI176" s="40">
        <f t="shared" si="75"/>
        <v>0</v>
      </c>
      <c r="AJ176" s="40">
        <f t="shared" si="76"/>
        <v>0</v>
      </c>
      <c r="AK176" s="40">
        <f t="shared" si="77"/>
        <v>0</v>
      </c>
      <c r="AL176" s="40">
        <f t="shared" si="78"/>
        <v>1</v>
      </c>
      <c r="AM176" s="40">
        <f t="shared" si="79"/>
        <v>0</v>
      </c>
      <c r="AN176" s="40">
        <f t="shared" si="80"/>
        <v>0</v>
      </c>
      <c r="AO176" s="40">
        <f t="shared" si="81"/>
        <v>0</v>
      </c>
      <c r="AP176" s="40">
        <f t="shared" si="82"/>
        <v>0</v>
      </c>
      <c r="AQ176" s="40">
        <f t="shared" si="83"/>
        <v>0</v>
      </c>
      <c r="AR176" s="40">
        <f t="shared" si="84"/>
        <v>0</v>
      </c>
      <c r="AS176" s="40">
        <f t="shared" si="85"/>
        <v>0</v>
      </c>
    </row>
    <row r="177" spans="2:45" s="2" customFormat="1" ht="14.4" customHeight="1" x14ac:dyDescent="0.25">
      <c r="B177" s="56" t="s">
        <v>20</v>
      </c>
      <c r="C177" s="57" t="s">
        <v>25</v>
      </c>
      <c r="D177" s="58" t="s">
        <v>24</v>
      </c>
      <c r="E177" s="62">
        <v>3.3599999999999993E-3</v>
      </c>
      <c r="F177" s="65">
        <f t="shared" si="86"/>
        <v>-5.6958143050070245</v>
      </c>
      <c r="S177" s="40">
        <f t="shared" si="59"/>
        <v>0</v>
      </c>
      <c r="T177" s="40">
        <f t="shared" si="60"/>
        <v>0</v>
      </c>
      <c r="U177" s="40">
        <f t="shared" si="61"/>
        <v>1</v>
      </c>
      <c r="V177" s="40">
        <f t="shared" si="62"/>
        <v>0</v>
      </c>
      <c r="W177" s="40">
        <f t="shared" si="63"/>
        <v>0</v>
      </c>
      <c r="X177" s="40">
        <f t="shared" si="64"/>
        <v>0</v>
      </c>
      <c r="Y177" s="40">
        <f t="shared" si="65"/>
        <v>0</v>
      </c>
      <c r="Z177" s="40">
        <f t="shared" si="66"/>
        <v>0</v>
      </c>
      <c r="AA177" s="40">
        <f t="shared" si="67"/>
        <v>0</v>
      </c>
      <c r="AB177" s="40">
        <f t="shared" si="68"/>
        <v>0</v>
      </c>
      <c r="AC177" s="40">
        <f t="shared" si="69"/>
        <v>0</v>
      </c>
      <c r="AD177" s="40">
        <f t="shared" si="70"/>
        <v>0</v>
      </c>
      <c r="AE177" s="40">
        <f t="shared" si="71"/>
        <v>0</v>
      </c>
      <c r="AF177" s="40">
        <f t="shared" si="72"/>
        <v>1</v>
      </c>
      <c r="AG177" s="40">
        <f t="shared" si="73"/>
        <v>0</v>
      </c>
      <c r="AH177" s="40">
        <f t="shared" si="74"/>
        <v>0</v>
      </c>
      <c r="AI177" s="40">
        <f t="shared" si="75"/>
        <v>0</v>
      </c>
      <c r="AJ177" s="40">
        <f t="shared" si="76"/>
        <v>0</v>
      </c>
      <c r="AK177" s="40">
        <f t="shared" si="77"/>
        <v>0</v>
      </c>
      <c r="AL177" s="40">
        <f t="shared" si="78"/>
        <v>0</v>
      </c>
      <c r="AM177" s="40">
        <f t="shared" si="79"/>
        <v>0</v>
      </c>
      <c r="AN177" s="40">
        <f t="shared" si="80"/>
        <v>0</v>
      </c>
      <c r="AO177" s="40">
        <f t="shared" si="81"/>
        <v>1</v>
      </c>
      <c r="AP177" s="40">
        <f t="shared" si="82"/>
        <v>0</v>
      </c>
      <c r="AQ177" s="40">
        <f t="shared" si="83"/>
        <v>0</v>
      </c>
      <c r="AR177" s="40">
        <f t="shared" si="84"/>
        <v>0</v>
      </c>
      <c r="AS177" s="40">
        <f t="shared" si="85"/>
        <v>0</v>
      </c>
    </row>
    <row r="178" spans="2:45" s="2" customFormat="1" ht="14.4" customHeight="1" x14ac:dyDescent="0.25">
      <c r="B178" s="56" t="s">
        <v>20</v>
      </c>
      <c r="C178" s="57" t="s">
        <v>26</v>
      </c>
      <c r="D178" s="58" t="s">
        <v>31</v>
      </c>
      <c r="E178" s="62">
        <v>4.8900000000000002E-3</v>
      </c>
      <c r="F178" s="65">
        <f t="shared" si="86"/>
        <v>-5.3205629754953563</v>
      </c>
      <c r="S178" s="40">
        <f t="shared" si="59"/>
        <v>0</v>
      </c>
      <c r="T178" s="40">
        <f t="shared" si="60"/>
        <v>0</v>
      </c>
      <c r="U178" s="40">
        <f t="shared" si="61"/>
        <v>1</v>
      </c>
      <c r="V178" s="40">
        <f t="shared" si="62"/>
        <v>0</v>
      </c>
      <c r="W178" s="40">
        <f t="shared" si="63"/>
        <v>0</v>
      </c>
      <c r="X178" s="40">
        <f t="shared" si="64"/>
        <v>0</v>
      </c>
      <c r="Y178" s="40">
        <f t="shared" si="65"/>
        <v>0</v>
      </c>
      <c r="Z178" s="40">
        <f t="shared" si="66"/>
        <v>0</v>
      </c>
      <c r="AA178" s="40">
        <f t="shared" si="67"/>
        <v>0</v>
      </c>
      <c r="AB178" s="40">
        <f t="shared" si="68"/>
        <v>1</v>
      </c>
      <c r="AC178" s="40">
        <f t="shared" si="69"/>
        <v>0</v>
      </c>
      <c r="AD178" s="40">
        <f t="shared" si="70"/>
        <v>0</v>
      </c>
      <c r="AE178" s="40">
        <f t="shared" si="71"/>
        <v>0</v>
      </c>
      <c r="AF178" s="40">
        <f t="shared" si="72"/>
        <v>0</v>
      </c>
      <c r="AG178" s="40">
        <f t="shared" si="73"/>
        <v>0</v>
      </c>
      <c r="AH178" s="40">
        <f t="shared" si="74"/>
        <v>0</v>
      </c>
      <c r="AI178" s="40">
        <f t="shared" si="75"/>
        <v>0</v>
      </c>
      <c r="AJ178" s="40">
        <f t="shared" si="76"/>
        <v>0</v>
      </c>
      <c r="AK178" s="40">
        <f t="shared" si="77"/>
        <v>0</v>
      </c>
      <c r="AL178" s="40">
        <f t="shared" si="78"/>
        <v>0</v>
      </c>
      <c r="AM178" s="40">
        <f t="shared" si="79"/>
        <v>1</v>
      </c>
      <c r="AN178" s="40">
        <f t="shared" si="80"/>
        <v>0</v>
      </c>
      <c r="AO178" s="40">
        <f t="shared" si="81"/>
        <v>0</v>
      </c>
      <c r="AP178" s="40">
        <f t="shared" si="82"/>
        <v>0</v>
      </c>
      <c r="AQ178" s="40">
        <f t="shared" si="83"/>
        <v>0</v>
      </c>
      <c r="AR178" s="40">
        <f t="shared" si="84"/>
        <v>0</v>
      </c>
      <c r="AS178" s="40">
        <f t="shared" si="85"/>
        <v>0</v>
      </c>
    </row>
    <row r="179" spans="2:45" s="2" customFormat="1" ht="14.4" customHeight="1" x14ac:dyDescent="0.25">
      <c r="B179" s="56" t="s">
        <v>20</v>
      </c>
      <c r="C179" s="57" t="s">
        <v>25</v>
      </c>
      <c r="D179" s="58" t="s">
        <v>35</v>
      </c>
      <c r="E179" s="62">
        <v>4.1500000000000009E-3</v>
      </c>
      <c r="F179" s="65">
        <f t="shared" si="86"/>
        <v>-5.4846469447395299</v>
      </c>
      <c r="S179" s="40">
        <f t="shared" si="59"/>
        <v>0</v>
      </c>
      <c r="T179" s="40">
        <f t="shared" si="60"/>
        <v>0</v>
      </c>
      <c r="U179" s="40">
        <f t="shared" si="61"/>
        <v>1</v>
      </c>
      <c r="V179" s="40">
        <f t="shared" si="62"/>
        <v>0</v>
      </c>
      <c r="W179" s="40">
        <f t="shared" si="63"/>
        <v>0</v>
      </c>
      <c r="X179" s="40">
        <f t="shared" si="64"/>
        <v>0</v>
      </c>
      <c r="Y179" s="40">
        <f t="shared" si="65"/>
        <v>0</v>
      </c>
      <c r="Z179" s="40">
        <f t="shared" si="66"/>
        <v>0</v>
      </c>
      <c r="AA179" s="40">
        <f t="shared" si="67"/>
        <v>0</v>
      </c>
      <c r="AB179" s="40">
        <f t="shared" si="68"/>
        <v>1</v>
      </c>
      <c r="AC179" s="40">
        <f t="shared" si="69"/>
        <v>0</v>
      </c>
      <c r="AD179" s="40">
        <f t="shared" si="70"/>
        <v>0</v>
      </c>
      <c r="AE179" s="40">
        <f t="shared" si="71"/>
        <v>0</v>
      </c>
      <c r="AF179" s="40">
        <f t="shared" si="72"/>
        <v>0</v>
      </c>
      <c r="AG179" s="40">
        <f t="shared" si="73"/>
        <v>0</v>
      </c>
      <c r="AH179" s="40">
        <f t="shared" si="74"/>
        <v>0</v>
      </c>
      <c r="AI179" s="40">
        <f t="shared" si="75"/>
        <v>0</v>
      </c>
      <c r="AJ179" s="40">
        <f t="shared" si="76"/>
        <v>0</v>
      </c>
      <c r="AK179" s="40">
        <f t="shared" si="77"/>
        <v>0</v>
      </c>
      <c r="AL179" s="40">
        <f t="shared" si="78"/>
        <v>1</v>
      </c>
      <c r="AM179" s="40">
        <f t="shared" si="79"/>
        <v>0</v>
      </c>
      <c r="AN179" s="40">
        <f t="shared" si="80"/>
        <v>0</v>
      </c>
      <c r="AO179" s="40">
        <f t="shared" si="81"/>
        <v>0</v>
      </c>
      <c r="AP179" s="40">
        <f t="shared" si="82"/>
        <v>0</v>
      </c>
      <c r="AQ179" s="40">
        <f t="shared" si="83"/>
        <v>0</v>
      </c>
      <c r="AR179" s="40">
        <f t="shared" si="84"/>
        <v>0</v>
      </c>
      <c r="AS179" s="40">
        <f t="shared" si="85"/>
        <v>0</v>
      </c>
    </row>
    <row r="180" spans="2:45" s="2" customFormat="1" ht="14.4" customHeight="1" x14ac:dyDescent="0.25">
      <c r="B180" s="56" t="s">
        <v>20</v>
      </c>
      <c r="C180" s="57" t="s">
        <v>25</v>
      </c>
      <c r="D180" s="58" t="s">
        <v>24</v>
      </c>
      <c r="E180" s="62">
        <v>3.5300000000000015E-3</v>
      </c>
      <c r="F180" s="65">
        <f t="shared" si="86"/>
        <v>-5.6464574080369312</v>
      </c>
      <c r="S180" s="40">
        <f t="shared" si="59"/>
        <v>0</v>
      </c>
      <c r="T180" s="40">
        <f t="shared" si="60"/>
        <v>0</v>
      </c>
      <c r="U180" s="40">
        <f t="shared" si="61"/>
        <v>1</v>
      </c>
      <c r="V180" s="40">
        <f t="shared" si="62"/>
        <v>0</v>
      </c>
      <c r="W180" s="40">
        <f t="shared" si="63"/>
        <v>0</v>
      </c>
      <c r="X180" s="40">
        <f t="shared" si="64"/>
        <v>0</v>
      </c>
      <c r="Y180" s="40">
        <f t="shared" si="65"/>
        <v>0</v>
      </c>
      <c r="Z180" s="40">
        <f t="shared" si="66"/>
        <v>0</v>
      </c>
      <c r="AA180" s="40">
        <f t="shared" si="67"/>
        <v>0</v>
      </c>
      <c r="AB180" s="40">
        <f t="shared" si="68"/>
        <v>0</v>
      </c>
      <c r="AC180" s="40">
        <f t="shared" si="69"/>
        <v>1</v>
      </c>
      <c r="AD180" s="40">
        <f t="shared" si="70"/>
        <v>0</v>
      </c>
      <c r="AE180" s="40">
        <f t="shared" si="71"/>
        <v>0</v>
      </c>
      <c r="AF180" s="40">
        <f t="shared" si="72"/>
        <v>0</v>
      </c>
      <c r="AG180" s="40">
        <f t="shared" si="73"/>
        <v>0</v>
      </c>
      <c r="AH180" s="40">
        <f t="shared" si="74"/>
        <v>0</v>
      </c>
      <c r="AI180" s="40">
        <f t="shared" si="75"/>
        <v>1</v>
      </c>
      <c r="AJ180" s="40">
        <f t="shared" si="76"/>
        <v>0</v>
      </c>
      <c r="AK180" s="40">
        <f t="shared" si="77"/>
        <v>0</v>
      </c>
      <c r="AL180" s="40">
        <f t="shared" si="78"/>
        <v>0</v>
      </c>
      <c r="AM180" s="40">
        <f t="shared" si="79"/>
        <v>0</v>
      </c>
      <c r="AN180" s="40">
        <f t="shared" si="80"/>
        <v>0</v>
      </c>
      <c r="AO180" s="40">
        <f t="shared" si="81"/>
        <v>0</v>
      </c>
      <c r="AP180" s="40">
        <f t="shared" si="82"/>
        <v>0</v>
      </c>
      <c r="AQ180" s="40">
        <f t="shared" si="83"/>
        <v>0</v>
      </c>
      <c r="AR180" s="40">
        <f t="shared" si="84"/>
        <v>0</v>
      </c>
      <c r="AS180" s="40">
        <f t="shared" si="85"/>
        <v>0</v>
      </c>
    </row>
    <row r="181" spans="2:45" s="2" customFormat="1" ht="14.4" customHeight="1" x14ac:dyDescent="0.25">
      <c r="B181" s="56" t="s">
        <v>20</v>
      </c>
      <c r="C181" s="57" t="s">
        <v>23</v>
      </c>
      <c r="D181" s="58" t="s">
        <v>28</v>
      </c>
      <c r="E181" s="62">
        <v>3.7499999999999986E-3</v>
      </c>
      <c r="F181" s="65">
        <f t="shared" si="86"/>
        <v>-5.585999438999818</v>
      </c>
      <c r="S181" s="40">
        <f t="shared" si="59"/>
        <v>0</v>
      </c>
      <c r="T181" s="40">
        <f t="shared" si="60"/>
        <v>0</v>
      </c>
      <c r="U181" s="40">
        <f t="shared" si="61"/>
        <v>1</v>
      </c>
      <c r="V181" s="40">
        <f t="shared" si="62"/>
        <v>0</v>
      </c>
      <c r="W181" s="40">
        <f t="shared" si="63"/>
        <v>0</v>
      </c>
      <c r="X181" s="40">
        <f t="shared" si="64"/>
        <v>0</v>
      </c>
      <c r="Y181" s="40">
        <f t="shared" si="65"/>
        <v>0</v>
      </c>
      <c r="Z181" s="40">
        <f t="shared" si="66"/>
        <v>1</v>
      </c>
      <c r="AA181" s="40">
        <f t="shared" si="67"/>
        <v>0</v>
      </c>
      <c r="AB181" s="40">
        <f t="shared" si="68"/>
        <v>0</v>
      </c>
      <c r="AC181" s="40">
        <f t="shared" si="69"/>
        <v>0</v>
      </c>
      <c r="AD181" s="40">
        <f t="shared" si="70"/>
        <v>0</v>
      </c>
      <c r="AE181" s="40">
        <f t="shared" si="71"/>
        <v>0</v>
      </c>
      <c r="AF181" s="40">
        <f t="shared" si="72"/>
        <v>0</v>
      </c>
      <c r="AG181" s="40">
        <f t="shared" si="73"/>
        <v>0</v>
      </c>
      <c r="AH181" s="40">
        <f t="shared" si="74"/>
        <v>0</v>
      </c>
      <c r="AI181" s="40">
        <f t="shared" si="75"/>
        <v>0</v>
      </c>
      <c r="AJ181" s="40">
        <f t="shared" si="76"/>
        <v>0</v>
      </c>
      <c r="AK181" s="40">
        <f t="shared" si="77"/>
        <v>0</v>
      </c>
      <c r="AL181" s="40">
        <f t="shared" si="78"/>
        <v>1</v>
      </c>
      <c r="AM181" s="40">
        <f t="shared" si="79"/>
        <v>0</v>
      </c>
      <c r="AN181" s="40">
        <f t="shared" si="80"/>
        <v>0</v>
      </c>
      <c r="AO181" s="40">
        <f t="shared" si="81"/>
        <v>0</v>
      </c>
      <c r="AP181" s="40">
        <f t="shared" si="82"/>
        <v>0</v>
      </c>
      <c r="AQ181" s="40">
        <f t="shared" si="83"/>
        <v>0</v>
      </c>
      <c r="AR181" s="40">
        <f t="shared" si="84"/>
        <v>0</v>
      </c>
      <c r="AS181" s="40">
        <f t="shared" si="85"/>
        <v>0</v>
      </c>
    </row>
    <row r="182" spans="2:45" s="2" customFormat="1" ht="14.4" customHeight="1" x14ac:dyDescent="0.25">
      <c r="B182" s="56" t="s">
        <v>20</v>
      </c>
      <c r="C182" s="57" t="s">
        <v>36</v>
      </c>
      <c r="D182" s="58" t="s">
        <v>24</v>
      </c>
      <c r="E182" s="62">
        <v>7.2599999999999965E-3</v>
      </c>
      <c r="F182" s="65">
        <f t="shared" si="86"/>
        <v>-4.9253754501454328</v>
      </c>
      <c r="S182" s="40">
        <f t="shared" si="59"/>
        <v>0</v>
      </c>
      <c r="T182" s="40">
        <f t="shared" si="60"/>
        <v>0</v>
      </c>
      <c r="U182" s="40">
        <f t="shared" si="61"/>
        <v>1</v>
      </c>
      <c r="V182" s="40">
        <f t="shared" si="62"/>
        <v>0</v>
      </c>
      <c r="W182" s="40">
        <f t="shared" si="63"/>
        <v>0</v>
      </c>
      <c r="X182" s="40">
        <f t="shared" si="64"/>
        <v>0</v>
      </c>
      <c r="Y182" s="40">
        <f t="shared" si="65"/>
        <v>0</v>
      </c>
      <c r="Z182" s="40">
        <f t="shared" si="66"/>
        <v>0</v>
      </c>
      <c r="AA182" s="40">
        <f t="shared" si="67"/>
        <v>0</v>
      </c>
      <c r="AB182" s="40">
        <f t="shared" si="68"/>
        <v>0</v>
      </c>
      <c r="AC182" s="40">
        <f t="shared" si="69"/>
        <v>0</v>
      </c>
      <c r="AD182" s="40">
        <f t="shared" si="70"/>
        <v>0</v>
      </c>
      <c r="AE182" s="40">
        <f t="shared" si="71"/>
        <v>0</v>
      </c>
      <c r="AF182" s="40">
        <f t="shared" si="72"/>
        <v>1</v>
      </c>
      <c r="AG182" s="40">
        <f t="shared" si="73"/>
        <v>0</v>
      </c>
      <c r="AH182" s="40">
        <f t="shared" si="74"/>
        <v>0</v>
      </c>
      <c r="AI182" s="40">
        <f t="shared" si="75"/>
        <v>0</v>
      </c>
      <c r="AJ182" s="40">
        <f t="shared" si="76"/>
        <v>1</v>
      </c>
      <c r="AK182" s="40">
        <f t="shared" si="77"/>
        <v>0</v>
      </c>
      <c r="AL182" s="40">
        <f t="shared" si="78"/>
        <v>0</v>
      </c>
      <c r="AM182" s="40">
        <f t="shared" si="79"/>
        <v>0</v>
      </c>
      <c r="AN182" s="40">
        <f t="shared" si="80"/>
        <v>0</v>
      </c>
      <c r="AO182" s="40">
        <f t="shared" si="81"/>
        <v>0</v>
      </c>
      <c r="AP182" s="40">
        <f t="shared" si="82"/>
        <v>0</v>
      </c>
      <c r="AQ182" s="40">
        <f t="shared" si="83"/>
        <v>0</v>
      </c>
      <c r="AR182" s="40">
        <f t="shared" si="84"/>
        <v>0</v>
      </c>
      <c r="AS182" s="40">
        <f t="shared" si="85"/>
        <v>0</v>
      </c>
    </row>
    <row r="183" spans="2:45" s="2" customFormat="1" ht="14.4" customHeight="1" x14ac:dyDescent="0.25">
      <c r="B183" s="56" t="s">
        <v>20</v>
      </c>
      <c r="C183" s="57" t="s">
        <v>26</v>
      </c>
      <c r="D183" s="58" t="s">
        <v>37</v>
      </c>
      <c r="E183" s="62">
        <v>5.9000000000000016E-3</v>
      </c>
      <c r="F183" s="65">
        <f t="shared" si="86"/>
        <v>-5.132802928070463</v>
      </c>
      <c r="S183" s="40">
        <f t="shared" si="59"/>
        <v>0</v>
      </c>
      <c r="T183" s="40">
        <f t="shared" si="60"/>
        <v>0</v>
      </c>
      <c r="U183" s="40">
        <f t="shared" si="61"/>
        <v>1</v>
      </c>
      <c r="V183" s="40">
        <f t="shared" si="62"/>
        <v>0</v>
      </c>
      <c r="W183" s="40">
        <f t="shared" si="63"/>
        <v>0</v>
      </c>
      <c r="X183" s="40">
        <f t="shared" si="64"/>
        <v>0</v>
      </c>
      <c r="Y183" s="40">
        <f t="shared" si="65"/>
        <v>0</v>
      </c>
      <c r="Z183" s="40">
        <f t="shared" si="66"/>
        <v>0</v>
      </c>
      <c r="AA183" s="40">
        <f t="shared" si="67"/>
        <v>0</v>
      </c>
      <c r="AB183" s="40">
        <f t="shared" si="68"/>
        <v>0</v>
      </c>
      <c r="AC183" s="40">
        <f t="shared" si="69"/>
        <v>0</v>
      </c>
      <c r="AD183" s="40">
        <f t="shared" si="70"/>
        <v>0</v>
      </c>
      <c r="AE183" s="40">
        <f t="shared" si="71"/>
        <v>0</v>
      </c>
      <c r="AF183" s="40">
        <f t="shared" si="72"/>
        <v>1</v>
      </c>
      <c r="AG183" s="40">
        <f t="shared" si="73"/>
        <v>0</v>
      </c>
      <c r="AH183" s="40">
        <f t="shared" si="74"/>
        <v>0</v>
      </c>
      <c r="AI183" s="40">
        <f t="shared" si="75"/>
        <v>0</v>
      </c>
      <c r="AJ183" s="40">
        <f t="shared" si="76"/>
        <v>1</v>
      </c>
      <c r="AK183" s="40">
        <f t="shared" si="77"/>
        <v>0</v>
      </c>
      <c r="AL183" s="40">
        <f t="shared" si="78"/>
        <v>0</v>
      </c>
      <c r="AM183" s="40">
        <f t="shared" si="79"/>
        <v>0</v>
      </c>
      <c r="AN183" s="40">
        <f t="shared" si="80"/>
        <v>0</v>
      </c>
      <c r="AO183" s="40">
        <f t="shared" si="81"/>
        <v>0</v>
      </c>
      <c r="AP183" s="40">
        <f t="shared" si="82"/>
        <v>0</v>
      </c>
      <c r="AQ183" s="40">
        <f t="shared" si="83"/>
        <v>0</v>
      </c>
      <c r="AR183" s="40">
        <f t="shared" si="84"/>
        <v>0</v>
      </c>
      <c r="AS183" s="40">
        <f t="shared" si="85"/>
        <v>0</v>
      </c>
    </row>
    <row r="184" spans="2:45" s="2" customFormat="1" ht="14.4" customHeight="1" x14ac:dyDescent="0.25">
      <c r="B184" s="56" t="s">
        <v>20</v>
      </c>
      <c r="C184" s="57" t="s">
        <v>26</v>
      </c>
      <c r="D184" s="58" t="s">
        <v>37</v>
      </c>
      <c r="E184" s="62">
        <v>3.7599999999999995E-3</v>
      </c>
      <c r="F184" s="65">
        <f t="shared" si="86"/>
        <v>-5.583336321580334</v>
      </c>
      <c r="S184" s="40">
        <f t="shared" si="59"/>
        <v>0</v>
      </c>
      <c r="T184" s="40">
        <f t="shared" si="60"/>
        <v>0</v>
      </c>
      <c r="U184" s="40">
        <f t="shared" si="61"/>
        <v>1</v>
      </c>
      <c r="V184" s="40">
        <f t="shared" si="62"/>
        <v>0</v>
      </c>
      <c r="W184" s="40">
        <f t="shared" si="63"/>
        <v>0</v>
      </c>
      <c r="X184" s="40">
        <f t="shared" si="64"/>
        <v>0</v>
      </c>
      <c r="Y184" s="40">
        <f t="shared" si="65"/>
        <v>0</v>
      </c>
      <c r="Z184" s="40">
        <f t="shared" si="66"/>
        <v>1</v>
      </c>
      <c r="AA184" s="40">
        <f t="shared" si="67"/>
        <v>0</v>
      </c>
      <c r="AB184" s="40">
        <f t="shared" si="68"/>
        <v>0</v>
      </c>
      <c r="AC184" s="40">
        <f t="shared" si="69"/>
        <v>0</v>
      </c>
      <c r="AD184" s="40">
        <f t="shared" si="70"/>
        <v>0</v>
      </c>
      <c r="AE184" s="40">
        <f t="shared" si="71"/>
        <v>0</v>
      </c>
      <c r="AF184" s="40">
        <f t="shared" si="72"/>
        <v>0</v>
      </c>
      <c r="AG184" s="40">
        <f t="shared" si="73"/>
        <v>0</v>
      </c>
      <c r="AH184" s="40">
        <f t="shared" si="74"/>
        <v>0</v>
      </c>
      <c r="AI184" s="40">
        <f t="shared" si="75"/>
        <v>0</v>
      </c>
      <c r="AJ184" s="40">
        <f t="shared" si="76"/>
        <v>0</v>
      </c>
      <c r="AK184" s="40">
        <f t="shared" si="77"/>
        <v>0</v>
      </c>
      <c r="AL184" s="40">
        <f t="shared" si="78"/>
        <v>0</v>
      </c>
      <c r="AM184" s="40">
        <f t="shared" si="79"/>
        <v>0</v>
      </c>
      <c r="AN184" s="40">
        <f t="shared" si="80"/>
        <v>0</v>
      </c>
      <c r="AO184" s="40">
        <f t="shared" si="81"/>
        <v>0</v>
      </c>
      <c r="AP184" s="40">
        <f t="shared" si="82"/>
        <v>0</v>
      </c>
      <c r="AQ184" s="40">
        <f t="shared" si="83"/>
        <v>0</v>
      </c>
      <c r="AR184" s="40">
        <f t="shared" si="84"/>
        <v>1</v>
      </c>
      <c r="AS184" s="40">
        <f t="shared" si="85"/>
        <v>0</v>
      </c>
    </row>
    <row r="185" spans="2:45" s="2" customFormat="1" ht="14.4" customHeight="1" x14ac:dyDescent="0.25">
      <c r="B185" s="56" t="s">
        <v>20</v>
      </c>
      <c r="C185" s="57" t="s">
        <v>36</v>
      </c>
      <c r="D185" s="58" t="s">
        <v>33</v>
      </c>
      <c r="E185" s="62">
        <v>7.5100000000000028E-3</v>
      </c>
      <c r="F185" s="65">
        <f t="shared" si="86"/>
        <v>-4.8915198132060933</v>
      </c>
      <c r="S185" s="40">
        <f t="shared" si="59"/>
        <v>0</v>
      </c>
      <c r="T185" s="40">
        <f t="shared" si="60"/>
        <v>0</v>
      </c>
      <c r="U185" s="40">
        <f t="shared" si="61"/>
        <v>1</v>
      </c>
      <c r="V185" s="40">
        <f t="shared" si="62"/>
        <v>0</v>
      </c>
      <c r="W185" s="40">
        <f t="shared" si="63"/>
        <v>0</v>
      </c>
      <c r="X185" s="40">
        <f t="shared" si="64"/>
        <v>0</v>
      </c>
      <c r="Y185" s="40">
        <f t="shared" si="65"/>
        <v>0</v>
      </c>
      <c r="Z185" s="40">
        <f t="shared" si="66"/>
        <v>0</v>
      </c>
      <c r="AA185" s="40">
        <f t="shared" si="67"/>
        <v>0</v>
      </c>
      <c r="AB185" s="40">
        <f t="shared" si="68"/>
        <v>1</v>
      </c>
      <c r="AC185" s="40">
        <f t="shared" si="69"/>
        <v>0</v>
      </c>
      <c r="AD185" s="40">
        <f t="shared" si="70"/>
        <v>0</v>
      </c>
      <c r="AE185" s="40">
        <f t="shared" si="71"/>
        <v>0</v>
      </c>
      <c r="AF185" s="40">
        <f t="shared" si="72"/>
        <v>0</v>
      </c>
      <c r="AG185" s="40">
        <f t="shared" si="73"/>
        <v>0</v>
      </c>
      <c r="AH185" s="40">
        <f t="shared" si="74"/>
        <v>0</v>
      </c>
      <c r="AI185" s="40">
        <f t="shared" si="75"/>
        <v>0</v>
      </c>
      <c r="AJ185" s="40">
        <f t="shared" si="76"/>
        <v>0</v>
      </c>
      <c r="AK185" s="40">
        <f t="shared" si="77"/>
        <v>0</v>
      </c>
      <c r="AL185" s="40">
        <f t="shared" si="78"/>
        <v>0</v>
      </c>
      <c r="AM185" s="40">
        <f t="shared" si="79"/>
        <v>0</v>
      </c>
      <c r="AN185" s="40">
        <f t="shared" si="80"/>
        <v>0</v>
      </c>
      <c r="AO185" s="40">
        <f t="shared" si="81"/>
        <v>0</v>
      </c>
      <c r="AP185" s="40">
        <f t="shared" si="82"/>
        <v>0</v>
      </c>
      <c r="AQ185" s="40">
        <f t="shared" si="83"/>
        <v>0</v>
      </c>
      <c r="AR185" s="40">
        <f t="shared" si="84"/>
        <v>1</v>
      </c>
      <c r="AS185" s="40">
        <f t="shared" si="85"/>
        <v>0</v>
      </c>
    </row>
    <row r="186" spans="2:45" s="2" customFormat="1" ht="14.4" customHeight="1" x14ac:dyDescent="0.25">
      <c r="B186" s="56" t="s">
        <v>20</v>
      </c>
      <c r="C186" s="57" t="s">
        <v>25</v>
      </c>
      <c r="D186" s="58" t="s">
        <v>33</v>
      </c>
      <c r="E186" s="62">
        <v>2.0299999999999993E-3</v>
      </c>
      <c r="F186" s="65">
        <f t="shared" si="86"/>
        <v>-6.1997194859284415</v>
      </c>
      <c r="S186" s="40">
        <f t="shared" si="59"/>
        <v>0</v>
      </c>
      <c r="T186" s="40">
        <f t="shared" si="60"/>
        <v>0</v>
      </c>
      <c r="U186" s="40">
        <f t="shared" si="61"/>
        <v>1</v>
      </c>
      <c r="V186" s="40">
        <f t="shared" si="62"/>
        <v>0</v>
      </c>
      <c r="W186" s="40">
        <f t="shared" si="63"/>
        <v>0</v>
      </c>
      <c r="X186" s="40">
        <f t="shared" si="64"/>
        <v>0</v>
      </c>
      <c r="Y186" s="40">
        <f t="shared" si="65"/>
        <v>0</v>
      </c>
      <c r="Z186" s="40">
        <f t="shared" si="66"/>
        <v>0</v>
      </c>
      <c r="AA186" s="40">
        <f t="shared" si="67"/>
        <v>0</v>
      </c>
      <c r="AB186" s="40">
        <f t="shared" si="68"/>
        <v>0</v>
      </c>
      <c r="AC186" s="40">
        <f t="shared" si="69"/>
        <v>0</v>
      </c>
      <c r="AD186" s="40">
        <f t="shared" si="70"/>
        <v>0</v>
      </c>
      <c r="AE186" s="40">
        <f t="shared" si="71"/>
        <v>0</v>
      </c>
      <c r="AF186" s="40">
        <f t="shared" si="72"/>
        <v>0</v>
      </c>
      <c r="AG186" s="40">
        <f t="shared" si="73"/>
        <v>1</v>
      </c>
      <c r="AH186" s="40">
        <f t="shared" si="74"/>
        <v>0</v>
      </c>
      <c r="AI186" s="40">
        <f t="shared" si="75"/>
        <v>0</v>
      </c>
      <c r="AJ186" s="40">
        <f t="shared" si="76"/>
        <v>0</v>
      </c>
      <c r="AK186" s="40">
        <f t="shared" si="77"/>
        <v>0</v>
      </c>
      <c r="AL186" s="40">
        <f t="shared" si="78"/>
        <v>0</v>
      </c>
      <c r="AM186" s="40">
        <f t="shared" si="79"/>
        <v>0</v>
      </c>
      <c r="AN186" s="40">
        <f t="shared" si="80"/>
        <v>0</v>
      </c>
      <c r="AO186" s="40">
        <f t="shared" si="81"/>
        <v>0</v>
      </c>
      <c r="AP186" s="40">
        <f t="shared" si="82"/>
        <v>0</v>
      </c>
      <c r="AQ186" s="40">
        <f t="shared" si="83"/>
        <v>0</v>
      </c>
      <c r="AR186" s="40">
        <f t="shared" si="84"/>
        <v>1</v>
      </c>
      <c r="AS186" s="40">
        <f t="shared" si="85"/>
        <v>0</v>
      </c>
    </row>
    <row r="187" spans="2:45" s="2" customFormat="1" ht="14.4" customHeight="1" x14ac:dyDescent="0.25">
      <c r="B187" s="56" t="s">
        <v>20</v>
      </c>
      <c r="C187" s="57" t="s">
        <v>38</v>
      </c>
      <c r="D187" s="58" t="s">
        <v>33</v>
      </c>
      <c r="E187" s="62">
        <v>4.8900000000000002E-3</v>
      </c>
      <c r="F187" s="65">
        <f t="shared" si="86"/>
        <v>-5.3205629754953563</v>
      </c>
      <c r="S187" s="40">
        <f t="shared" si="59"/>
        <v>0</v>
      </c>
      <c r="T187" s="40">
        <f t="shared" si="60"/>
        <v>0</v>
      </c>
      <c r="U187" s="40">
        <f t="shared" si="61"/>
        <v>1</v>
      </c>
      <c r="V187" s="40">
        <f t="shared" si="62"/>
        <v>0</v>
      </c>
      <c r="W187" s="40">
        <f t="shared" si="63"/>
        <v>0</v>
      </c>
      <c r="X187" s="40">
        <f t="shared" si="64"/>
        <v>0</v>
      </c>
      <c r="Y187" s="40">
        <f t="shared" si="65"/>
        <v>0</v>
      </c>
      <c r="Z187" s="40">
        <f t="shared" si="66"/>
        <v>1</v>
      </c>
      <c r="AA187" s="40">
        <f t="shared" si="67"/>
        <v>0</v>
      </c>
      <c r="AB187" s="40">
        <f t="shared" si="68"/>
        <v>0</v>
      </c>
      <c r="AC187" s="40">
        <f t="shared" si="69"/>
        <v>0</v>
      </c>
      <c r="AD187" s="40">
        <f t="shared" si="70"/>
        <v>0</v>
      </c>
      <c r="AE187" s="40">
        <f t="shared" si="71"/>
        <v>0</v>
      </c>
      <c r="AF187" s="40">
        <f t="shared" si="72"/>
        <v>0</v>
      </c>
      <c r="AG187" s="40">
        <f t="shared" si="73"/>
        <v>0</v>
      </c>
      <c r="AH187" s="40">
        <f t="shared" si="74"/>
        <v>0</v>
      </c>
      <c r="AI187" s="40">
        <f t="shared" si="75"/>
        <v>0</v>
      </c>
      <c r="AJ187" s="40">
        <f t="shared" si="76"/>
        <v>0</v>
      </c>
      <c r="AK187" s="40">
        <f t="shared" si="77"/>
        <v>0</v>
      </c>
      <c r="AL187" s="40">
        <f t="shared" si="78"/>
        <v>0</v>
      </c>
      <c r="AM187" s="40">
        <f t="shared" si="79"/>
        <v>0</v>
      </c>
      <c r="AN187" s="40">
        <f t="shared" si="80"/>
        <v>0</v>
      </c>
      <c r="AO187" s="40">
        <f t="shared" si="81"/>
        <v>0</v>
      </c>
      <c r="AP187" s="40">
        <f t="shared" si="82"/>
        <v>0</v>
      </c>
      <c r="AQ187" s="40">
        <f t="shared" si="83"/>
        <v>0</v>
      </c>
      <c r="AR187" s="40">
        <f t="shared" si="84"/>
        <v>0</v>
      </c>
      <c r="AS187" s="40">
        <f t="shared" si="85"/>
        <v>1</v>
      </c>
    </row>
    <row r="188" spans="2:45" s="2" customFormat="1" ht="14.4" customHeight="1" x14ac:dyDescent="0.25">
      <c r="B188" s="56" t="s">
        <v>20</v>
      </c>
      <c r="C188" s="57" t="s">
        <v>36</v>
      </c>
      <c r="D188" s="58" t="s">
        <v>22</v>
      </c>
      <c r="E188" s="62">
        <v>5.5799999999999982E-3</v>
      </c>
      <c r="F188" s="65">
        <f t="shared" si="86"/>
        <v>-5.1885665025889178</v>
      </c>
      <c r="S188" s="40">
        <f t="shared" si="59"/>
        <v>0</v>
      </c>
      <c r="T188" s="40">
        <f t="shared" si="60"/>
        <v>0</v>
      </c>
      <c r="U188" s="40">
        <f t="shared" si="61"/>
        <v>1</v>
      </c>
      <c r="V188" s="40">
        <f t="shared" si="62"/>
        <v>0</v>
      </c>
      <c r="W188" s="40">
        <f t="shared" si="63"/>
        <v>0</v>
      </c>
      <c r="X188" s="40">
        <f t="shared" si="64"/>
        <v>0</v>
      </c>
      <c r="Y188" s="40">
        <f t="shared" si="65"/>
        <v>0</v>
      </c>
      <c r="Z188" s="40">
        <f t="shared" si="66"/>
        <v>0</v>
      </c>
      <c r="AA188" s="40">
        <f t="shared" si="67"/>
        <v>0</v>
      </c>
      <c r="AB188" s="40">
        <f t="shared" si="68"/>
        <v>1</v>
      </c>
      <c r="AC188" s="40">
        <f t="shared" si="69"/>
        <v>0</v>
      </c>
      <c r="AD188" s="40">
        <f t="shared" si="70"/>
        <v>0</v>
      </c>
      <c r="AE188" s="40">
        <f t="shared" si="71"/>
        <v>0</v>
      </c>
      <c r="AF188" s="40">
        <f t="shared" si="72"/>
        <v>0</v>
      </c>
      <c r="AG188" s="40">
        <f t="shared" si="73"/>
        <v>0</v>
      </c>
      <c r="AH188" s="40">
        <f t="shared" si="74"/>
        <v>0</v>
      </c>
      <c r="AI188" s="40">
        <f t="shared" si="75"/>
        <v>0</v>
      </c>
      <c r="AJ188" s="40">
        <f t="shared" si="76"/>
        <v>0</v>
      </c>
      <c r="AK188" s="40">
        <f t="shared" si="77"/>
        <v>0</v>
      </c>
      <c r="AL188" s="40">
        <f t="shared" si="78"/>
        <v>0</v>
      </c>
      <c r="AM188" s="40">
        <f t="shared" si="79"/>
        <v>0</v>
      </c>
      <c r="AN188" s="40">
        <f t="shared" si="80"/>
        <v>0</v>
      </c>
      <c r="AO188" s="40">
        <f t="shared" si="81"/>
        <v>1</v>
      </c>
      <c r="AP188" s="40">
        <f t="shared" si="82"/>
        <v>0</v>
      </c>
      <c r="AQ188" s="40">
        <f t="shared" si="83"/>
        <v>0</v>
      </c>
      <c r="AR188" s="40">
        <f t="shared" si="84"/>
        <v>0</v>
      </c>
      <c r="AS188" s="40">
        <f t="shared" si="85"/>
        <v>0</v>
      </c>
    </row>
    <row r="189" spans="2:45" s="2" customFormat="1" ht="14.4" customHeight="1" x14ac:dyDescent="0.25">
      <c r="B189" s="56" t="s">
        <v>20</v>
      </c>
      <c r="C189" s="57" t="s">
        <v>25</v>
      </c>
      <c r="D189" s="58" t="s">
        <v>31</v>
      </c>
      <c r="E189" s="62">
        <v>2.8100000000000009E-3</v>
      </c>
      <c r="F189" s="65">
        <f t="shared" si="86"/>
        <v>-5.8745707956364823</v>
      </c>
      <c r="S189" s="40">
        <f t="shared" si="59"/>
        <v>0</v>
      </c>
      <c r="T189" s="40">
        <f t="shared" si="60"/>
        <v>0</v>
      </c>
      <c r="U189" s="40">
        <f t="shared" si="61"/>
        <v>1</v>
      </c>
      <c r="V189" s="40">
        <f t="shared" si="62"/>
        <v>0</v>
      </c>
      <c r="W189" s="40">
        <f t="shared" si="63"/>
        <v>0</v>
      </c>
      <c r="X189" s="40">
        <f t="shared" si="64"/>
        <v>0</v>
      </c>
      <c r="Y189" s="40">
        <f t="shared" si="65"/>
        <v>0</v>
      </c>
      <c r="Z189" s="40">
        <f t="shared" si="66"/>
        <v>0</v>
      </c>
      <c r="AA189" s="40">
        <f t="shared" si="67"/>
        <v>0</v>
      </c>
      <c r="AB189" s="40">
        <f t="shared" si="68"/>
        <v>0</v>
      </c>
      <c r="AC189" s="40">
        <f t="shared" si="69"/>
        <v>0</v>
      </c>
      <c r="AD189" s="40">
        <f t="shared" si="70"/>
        <v>0</v>
      </c>
      <c r="AE189" s="40">
        <f t="shared" si="71"/>
        <v>0</v>
      </c>
      <c r="AF189" s="40">
        <f t="shared" si="72"/>
        <v>1</v>
      </c>
      <c r="AG189" s="40">
        <f t="shared" si="73"/>
        <v>0</v>
      </c>
      <c r="AH189" s="40">
        <f t="shared" si="74"/>
        <v>0</v>
      </c>
      <c r="AI189" s="40">
        <f t="shared" si="75"/>
        <v>0</v>
      </c>
      <c r="AJ189" s="40">
        <f t="shared" si="76"/>
        <v>0</v>
      </c>
      <c r="AK189" s="40">
        <f t="shared" si="77"/>
        <v>0</v>
      </c>
      <c r="AL189" s="40">
        <f t="shared" si="78"/>
        <v>0</v>
      </c>
      <c r="AM189" s="40">
        <f t="shared" si="79"/>
        <v>0</v>
      </c>
      <c r="AN189" s="40">
        <f t="shared" si="80"/>
        <v>0</v>
      </c>
      <c r="AO189" s="40">
        <f t="shared" si="81"/>
        <v>1</v>
      </c>
      <c r="AP189" s="40">
        <f t="shared" si="82"/>
        <v>0</v>
      </c>
      <c r="AQ189" s="40">
        <f t="shared" si="83"/>
        <v>0</v>
      </c>
      <c r="AR189" s="40">
        <f t="shared" si="84"/>
        <v>0</v>
      </c>
      <c r="AS189" s="40">
        <f t="shared" si="85"/>
        <v>0</v>
      </c>
    </row>
    <row r="190" spans="2:45" s="2" customFormat="1" ht="14.4" customHeight="1" x14ac:dyDescent="0.25">
      <c r="B190" s="56" t="s">
        <v>20</v>
      </c>
      <c r="C190" s="57" t="s">
        <v>26</v>
      </c>
      <c r="D190" s="58" t="s">
        <v>31</v>
      </c>
      <c r="E190" s="62">
        <v>3.5400000000000015E-3</v>
      </c>
      <c r="F190" s="65">
        <f t="shared" si="86"/>
        <v>-5.6436285518364535</v>
      </c>
      <c r="S190" s="40">
        <f t="shared" si="59"/>
        <v>0</v>
      </c>
      <c r="T190" s="40">
        <f t="shared" si="60"/>
        <v>0</v>
      </c>
      <c r="U190" s="40">
        <f t="shared" si="61"/>
        <v>1</v>
      </c>
      <c r="V190" s="40">
        <f t="shared" si="62"/>
        <v>0</v>
      </c>
      <c r="W190" s="40">
        <f t="shared" si="63"/>
        <v>0</v>
      </c>
      <c r="X190" s="40">
        <f t="shared" si="64"/>
        <v>0</v>
      </c>
      <c r="Y190" s="40">
        <f t="shared" si="65"/>
        <v>0</v>
      </c>
      <c r="Z190" s="40">
        <f t="shared" si="66"/>
        <v>0</v>
      </c>
      <c r="AA190" s="40">
        <f t="shared" si="67"/>
        <v>0</v>
      </c>
      <c r="AB190" s="40">
        <f t="shared" si="68"/>
        <v>0</v>
      </c>
      <c r="AC190" s="40">
        <f t="shared" si="69"/>
        <v>0</v>
      </c>
      <c r="AD190" s="40">
        <f t="shared" si="70"/>
        <v>0</v>
      </c>
      <c r="AE190" s="40">
        <f t="shared" si="71"/>
        <v>0</v>
      </c>
      <c r="AF190" s="40">
        <f t="shared" si="72"/>
        <v>1</v>
      </c>
      <c r="AG190" s="40">
        <f t="shared" si="73"/>
        <v>0</v>
      </c>
      <c r="AH190" s="40">
        <f t="shared" si="74"/>
        <v>0</v>
      </c>
      <c r="AI190" s="40">
        <f t="shared" si="75"/>
        <v>0</v>
      </c>
      <c r="AJ190" s="40">
        <f t="shared" si="76"/>
        <v>0</v>
      </c>
      <c r="AK190" s="40">
        <f t="shared" si="77"/>
        <v>0</v>
      </c>
      <c r="AL190" s="40">
        <f t="shared" si="78"/>
        <v>1</v>
      </c>
      <c r="AM190" s="40">
        <f t="shared" si="79"/>
        <v>0</v>
      </c>
      <c r="AN190" s="40">
        <f t="shared" si="80"/>
        <v>0</v>
      </c>
      <c r="AO190" s="40">
        <f t="shared" si="81"/>
        <v>0</v>
      </c>
      <c r="AP190" s="40">
        <f t="shared" si="82"/>
        <v>0</v>
      </c>
      <c r="AQ190" s="40">
        <f t="shared" si="83"/>
        <v>0</v>
      </c>
      <c r="AR190" s="40">
        <f t="shared" si="84"/>
        <v>0</v>
      </c>
      <c r="AS190" s="40">
        <f t="shared" si="85"/>
        <v>0</v>
      </c>
    </row>
    <row r="191" spans="2:45" s="2" customFormat="1" ht="14.4" customHeight="1" x14ac:dyDescent="0.25">
      <c r="B191" s="56" t="s">
        <v>20</v>
      </c>
      <c r="C191" s="57" t="s">
        <v>26</v>
      </c>
      <c r="D191" s="58" t="s">
        <v>24</v>
      </c>
      <c r="E191" s="62">
        <v>5.5799999999999982E-3</v>
      </c>
      <c r="F191" s="65">
        <f t="shared" si="86"/>
        <v>-5.1885665025889178</v>
      </c>
      <c r="S191" s="40">
        <f t="shared" si="59"/>
        <v>0</v>
      </c>
      <c r="T191" s="40">
        <f t="shared" si="60"/>
        <v>0</v>
      </c>
      <c r="U191" s="40">
        <f t="shared" si="61"/>
        <v>1</v>
      </c>
      <c r="V191" s="40">
        <f t="shared" si="62"/>
        <v>0</v>
      </c>
      <c r="W191" s="40">
        <f t="shared" si="63"/>
        <v>0</v>
      </c>
      <c r="X191" s="40">
        <f t="shared" si="64"/>
        <v>0</v>
      </c>
      <c r="Y191" s="40">
        <f t="shared" si="65"/>
        <v>0</v>
      </c>
      <c r="Z191" s="40">
        <f t="shared" si="66"/>
        <v>0</v>
      </c>
      <c r="AA191" s="40">
        <f t="shared" si="67"/>
        <v>0</v>
      </c>
      <c r="AB191" s="40">
        <f t="shared" si="68"/>
        <v>0</v>
      </c>
      <c r="AC191" s="40">
        <f t="shared" si="69"/>
        <v>0</v>
      </c>
      <c r="AD191" s="40">
        <f t="shared" si="70"/>
        <v>0</v>
      </c>
      <c r="AE191" s="40">
        <f t="shared" si="71"/>
        <v>0</v>
      </c>
      <c r="AF191" s="40">
        <f t="shared" si="72"/>
        <v>1</v>
      </c>
      <c r="AG191" s="40">
        <f t="shared" si="73"/>
        <v>0</v>
      </c>
      <c r="AH191" s="40">
        <f t="shared" si="74"/>
        <v>0</v>
      </c>
      <c r="AI191" s="40">
        <f t="shared" si="75"/>
        <v>0</v>
      </c>
      <c r="AJ191" s="40">
        <f t="shared" si="76"/>
        <v>0</v>
      </c>
      <c r="AK191" s="40">
        <f t="shared" si="77"/>
        <v>0</v>
      </c>
      <c r="AL191" s="40">
        <f t="shared" si="78"/>
        <v>1</v>
      </c>
      <c r="AM191" s="40">
        <f t="shared" si="79"/>
        <v>0</v>
      </c>
      <c r="AN191" s="40">
        <f t="shared" si="80"/>
        <v>0</v>
      </c>
      <c r="AO191" s="40">
        <f t="shared" si="81"/>
        <v>0</v>
      </c>
      <c r="AP191" s="40">
        <f t="shared" si="82"/>
        <v>0</v>
      </c>
      <c r="AQ191" s="40">
        <f t="shared" si="83"/>
        <v>0</v>
      </c>
      <c r="AR191" s="40">
        <f t="shared" si="84"/>
        <v>0</v>
      </c>
      <c r="AS191" s="40">
        <f t="shared" si="85"/>
        <v>0</v>
      </c>
    </row>
    <row r="192" spans="2:45" s="2" customFormat="1" ht="14.4" customHeight="1" x14ac:dyDescent="0.25">
      <c r="B192" s="56" t="s">
        <v>20</v>
      </c>
      <c r="C192" s="57" t="s">
        <v>26</v>
      </c>
      <c r="D192" s="58" t="s">
        <v>24</v>
      </c>
      <c r="E192" s="62">
        <v>2.8299999999999996E-3</v>
      </c>
      <c r="F192" s="65">
        <f t="shared" si="86"/>
        <v>-5.8674785673269909</v>
      </c>
      <c r="S192" s="40">
        <f t="shared" si="59"/>
        <v>0</v>
      </c>
      <c r="T192" s="40">
        <f t="shared" si="60"/>
        <v>0</v>
      </c>
      <c r="U192" s="40">
        <f t="shared" si="61"/>
        <v>1</v>
      </c>
      <c r="V192" s="40">
        <f t="shared" si="62"/>
        <v>0</v>
      </c>
      <c r="W192" s="40">
        <f t="shared" si="63"/>
        <v>0</v>
      </c>
      <c r="X192" s="40">
        <f t="shared" si="64"/>
        <v>0</v>
      </c>
      <c r="Y192" s="40">
        <f t="shared" si="65"/>
        <v>0</v>
      </c>
      <c r="Z192" s="40">
        <f t="shared" si="66"/>
        <v>0</v>
      </c>
      <c r="AA192" s="40">
        <f t="shared" si="67"/>
        <v>0</v>
      </c>
      <c r="AB192" s="40">
        <f t="shared" si="68"/>
        <v>1</v>
      </c>
      <c r="AC192" s="40">
        <f t="shared" si="69"/>
        <v>0</v>
      </c>
      <c r="AD192" s="40">
        <f t="shared" si="70"/>
        <v>0</v>
      </c>
      <c r="AE192" s="40">
        <f t="shared" si="71"/>
        <v>0</v>
      </c>
      <c r="AF192" s="40">
        <f t="shared" si="72"/>
        <v>0</v>
      </c>
      <c r="AG192" s="40">
        <f t="shared" si="73"/>
        <v>0</v>
      </c>
      <c r="AH192" s="40">
        <f t="shared" si="74"/>
        <v>0</v>
      </c>
      <c r="AI192" s="40">
        <f t="shared" si="75"/>
        <v>1</v>
      </c>
      <c r="AJ192" s="40">
        <f t="shared" si="76"/>
        <v>0</v>
      </c>
      <c r="AK192" s="40">
        <f t="shared" si="77"/>
        <v>0</v>
      </c>
      <c r="AL192" s="40">
        <f t="shared" si="78"/>
        <v>0</v>
      </c>
      <c r="AM192" s="40">
        <f t="shared" si="79"/>
        <v>0</v>
      </c>
      <c r="AN192" s="40">
        <f t="shared" si="80"/>
        <v>0</v>
      </c>
      <c r="AO192" s="40">
        <f t="shared" si="81"/>
        <v>0</v>
      </c>
      <c r="AP192" s="40">
        <f t="shared" si="82"/>
        <v>0</v>
      </c>
      <c r="AQ192" s="40">
        <f t="shared" si="83"/>
        <v>0</v>
      </c>
      <c r="AR192" s="40">
        <f t="shared" si="84"/>
        <v>0</v>
      </c>
      <c r="AS192" s="40">
        <f t="shared" si="85"/>
        <v>0</v>
      </c>
    </row>
    <row r="193" spans="2:45" s="2" customFormat="1" ht="14.4" customHeight="1" x14ac:dyDescent="0.25">
      <c r="B193" s="56" t="s">
        <v>20</v>
      </c>
      <c r="C193" s="57" t="s">
        <v>25</v>
      </c>
      <c r="D193" s="58" t="s">
        <v>28</v>
      </c>
      <c r="E193" s="62">
        <v>1.4300000000000005E-3</v>
      </c>
      <c r="F193" s="65">
        <f t="shared" si="86"/>
        <v>-6.5500808347103208</v>
      </c>
      <c r="S193" s="40">
        <f t="shared" si="59"/>
        <v>0</v>
      </c>
      <c r="T193" s="40">
        <f t="shared" si="60"/>
        <v>0</v>
      </c>
      <c r="U193" s="40">
        <f t="shared" si="61"/>
        <v>1</v>
      </c>
      <c r="V193" s="40">
        <f t="shared" si="62"/>
        <v>0</v>
      </c>
      <c r="W193" s="40">
        <f t="shared" si="63"/>
        <v>0</v>
      </c>
      <c r="X193" s="40">
        <f t="shared" si="64"/>
        <v>0</v>
      </c>
      <c r="Y193" s="40">
        <f t="shared" si="65"/>
        <v>0</v>
      </c>
      <c r="Z193" s="40">
        <f t="shared" si="66"/>
        <v>0</v>
      </c>
      <c r="AA193" s="40">
        <f t="shared" si="67"/>
        <v>0</v>
      </c>
      <c r="AB193" s="40">
        <f t="shared" si="68"/>
        <v>0</v>
      </c>
      <c r="AC193" s="40">
        <f t="shared" si="69"/>
        <v>0</v>
      </c>
      <c r="AD193" s="40">
        <f t="shared" si="70"/>
        <v>0</v>
      </c>
      <c r="AE193" s="40">
        <f t="shared" si="71"/>
        <v>0</v>
      </c>
      <c r="AF193" s="40">
        <f t="shared" si="72"/>
        <v>1</v>
      </c>
      <c r="AG193" s="40">
        <f t="shared" si="73"/>
        <v>0</v>
      </c>
      <c r="AH193" s="40">
        <f t="shared" si="74"/>
        <v>0</v>
      </c>
      <c r="AI193" s="40">
        <f t="shared" si="75"/>
        <v>0</v>
      </c>
      <c r="AJ193" s="40">
        <f t="shared" si="76"/>
        <v>0</v>
      </c>
      <c r="AK193" s="40">
        <f t="shared" si="77"/>
        <v>0</v>
      </c>
      <c r="AL193" s="40">
        <f t="shared" si="78"/>
        <v>0</v>
      </c>
      <c r="AM193" s="40">
        <f t="shared" si="79"/>
        <v>0</v>
      </c>
      <c r="AN193" s="40">
        <f t="shared" si="80"/>
        <v>0</v>
      </c>
      <c r="AO193" s="40">
        <f t="shared" si="81"/>
        <v>1</v>
      </c>
      <c r="AP193" s="40">
        <f t="shared" si="82"/>
        <v>0</v>
      </c>
      <c r="AQ193" s="40">
        <f t="shared" si="83"/>
        <v>0</v>
      </c>
      <c r="AR193" s="40">
        <f t="shared" si="84"/>
        <v>0</v>
      </c>
      <c r="AS193" s="40">
        <f t="shared" si="85"/>
        <v>0</v>
      </c>
    </row>
    <row r="194" spans="2:45" s="2" customFormat="1" ht="14.4" customHeight="1" x14ac:dyDescent="0.25">
      <c r="B194" s="56" t="s">
        <v>20</v>
      </c>
      <c r="C194" s="57" t="s">
        <v>26</v>
      </c>
      <c r="D194" s="58" t="s">
        <v>31</v>
      </c>
      <c r="E194" s="62">
        <v>3.8900000000000011E-3</v>
      </c>
      <c r="F194" s="65">
        <f t="shared" si="86"/>
        <v>-5.5493461213517818</v>
      </c>
      <c r="S194" s="40">
        <f t="shared" si="59"/>
        <v>0</v>
      </c>
      <c r="T194" s="40">
        <f t="shared" si="60"/>
        <v>0</v>
      </c>
      <c r="U194" s="40">
        <f t="shared" si="61"/>
        <v>1</v>
      </c>
      <c r="V194" s="40">
        <f t="shared" si="62"/>
        <v>0</v>
      </c>
      <c r="W194" s="40">
        <f t="shared" si="63"/>
        <v>0</v>
      </c>
      <c r="X194" s="40">
        <f t="shared" si="64"/>
        <v>0</v>
      </c>
      <c r="Y194" s="40">
        <f t="shared" si="65"/>
        <v>0</v>
      </c>
      <c r="Z194" s="40">
        <f t="shared" si="66"/>
        <v>0</v>
      </c>
      <c r="AA194" s="40">
        <f t="shared" si="67"/>
        <v>0</v>
      </c>
      <c r="AB194" s="40">
        <f t="shared" si="68"/>
        <v>0</v>
      </c>
      <c r="AC194" s="40">
        <f t="shared" si="69"/>
        <v>0</v>
      </c>
      <c r="AD194" s="40">
        <f t="shared" si="70"/>
        <v>0</v>
      </c>
      <c r="AE194" s="40">
        <f t="shared" si="71"/>
        <v>0</v>
      </c>
      <c r="AF194" s="40">
        <f t="shared" si="72"/>
        <v>1</v>
      </c>
      <c r="AG194" s="40">
        <f t="shared" si="73"/>
        <v>0</v>
      </c>
      <c r="AH194" s="40">
        <f t="shared" si="74"/>
        <v>0</v>
      </c>
      <c r="AI194" s="40">
        <f t="shared" si="75"/>
        <v>0</v>
      </c>
      <c r="AJ194" s="40">
        <f t="shared" si="76"/>
        <v>0</v>
      </c>
      <c r="AK194" s="40">
        <f t="shared" si="77"/>
        <v>0</v>
      </c>
      <c r="AL194" s="40">
        <f t="shared" si="78"/>
        <v>0</v>
      </c>
      <c r="AM194" s="40">
        <f t="shared" si="79"/>
        <v>0</v>
      </c>
      <c r="AN194" s="40">
        <f t="shared" si="80"/>
        <v>1</v>
      </c>
      <c r="AO194" s="40">
        <f t="shared" si="81"/>
        <v>0</v>
      </c>
      <c r="AP194" s="40">
        <f t="shared" si="82"/>
        <v>0</v>
      </c>
      <c r="AQ194" s="40">
        <f t="shared" si="83"/>
        <v>0</v>
      </c>
      <c r="AR194" s="40">
        <f t="shared" si="84"/>
        <v>0</v>
      </c>
      <c r="AS194" s="40">
        <f t="shared" si="85"/>
        <v>0</v>
      </c>
    </row>
    <row r="195" spans="2:45" s="2" customFormat="1" ht="14.4" customHeight="1" x14ac:dyDescent="0.25">
      <c r="B195" s="56" t="s">
        <v>20</v>
      </c>
      <c r="C195" s="57" t="s">
        <v>26</v>
      </c>
      <c r="D195" s="58" t="s">
        <v>29</v>
      </c>
      <c r="E195" s="62">
        <v>3.3200000000000009E-3</v>
      </c>
      <c r="F195" s="65">
        <f t="shared" si="86"/>
        <v>-5.7077904960537396</v>
      </c>
      <c r="S195" s="40">
        <f t="shared" si="59"/>
        <v>0</v>
      </c>
      <c r="T195" s="40">
        <f t="shared" si="60"/>
        <v>0</v>
      </c>
      <c r="U195" s="40">
        <f t="shared" si="61"/>
        <v>1</v>
      </c>
      <c r="V195" s="40">
        <f t="shared" si="62"/>
        <v>0</v>
      </c>
      <c r="W195" s="40">
        <f t="shared" si="63"/>
        <v>0</v>
      </c>
      <c r="X195" s="40">
        <f t="shared" si="64"/>
        <v>0</v>
      </c>
      <c r="Y195" s="40">
        <f t="shared" si="65"/>
        <v>0</v>
      </c>
      <c r="Z195" s="40">
        <f t="shared" si="66"/>
        <v>0</v>
      </c>
      <c r="AA195" s="40">
        <f t="shared" si="67"/>
        <v>0</v>
      </c>
      <c r="AB195" s="40">
        <f t="shared" si="68"/>
        <v>0</v>
      </c>
      <c r="AC195" s="40">
        <f t="shared" si="69"/>
        <v>0</v>
      </c>
      <c r="AD195" s="40">
        <f t="shared" si="70"/>
        <v>0</v>
      </c>
      <c r="AE195" s="40">
        <f t="shared" si="71"/>
        <v>0</v>
      </c>
      <c r="AF195" s="40">
        <f t="shared" si="72"/>
        <v>1</v>
      </c>
      <c r="AG195" s="40">
        <f t="shared" si="73"/>
        <v>0</v>
      </c>
      <c r="AH195" s="40">
        <f t="shared" si="74"/>
        <v>0</v>
      </c>
      <c r="AI195" s="40">
        <f t="shared" si="75"/>
        <v>1</v>
      </c>
      <c r="AJ195" s="40">
        <f t="shared" si="76"/>
        <v>0</v>
      </c>
      <c r="AK195" s="40">
        <f t="shared" si="77"/>
        <v>0</v>
      </c>
      <c r="AL195" s="40">
        <f t="shared" si="78"/>
        <v>0</v>
      </c>
      <c r="AM195" s="40">
        <f t="shared" si="79"/>
        <v>0</v>
      </c>
      <c r="AN195" s="40">
        <f t="shared" si="80"/>
        <v>0</v>
      </c>
      <c r="AO195" s="40">
        <f t="shared" si="81"/>
        <v>0</v>
      </c>
      <c r="AP195" s="40">
        <f t="shared" si="82"/>
        <v>0</v>
      </c>
      <c r="AQ195" s="40">
        <f t="shared" si="83"/>
        <v>0</v>
      </c>
      <c r="AR195" s="40">
        <f t="shared" si="84"/>
        <v>0</v>
      </c>
      <c r="AS195" s="40">
        <f t="shared" si="85"/>
        <v>0</v>
      </c>
    </row>
    <row r="196" spans="2:45" s="2" customFormat="1" ht="14.4" customHeight="1" x14ac:dyDescent="0.25">
      <c r="B196" s="56" t="s">
        <v>20</v>
      </c>
      <c r="C196" s="57" t="s">
        <v>26</v>
      </c>
      <c r="D196" s="58" t="s">
        <v>28</v>
      </c>
      <c r="E196" s="62">
        <v>7.4600000000000022E-3</v>
      </c>
      <c r="F196" s="65">
        <f t="shared" si="86"/>
        <v>-4.8981998647664673</v>
      </c>
      <c r="S196" s="40">
        <f t="shared" si="59"/>
        <v>0</v>
      </c>
      <c r="T196" s="40">
        <f t="shared" si="60"/>
        <v>0</v>
      </c>
      <c r="U196" s="40">
        <f t="shared" si="61"/>
        <v>1</v>
      </c>
      <c r="V196" s="40">
        <f t="shared" si="62"/>
        <v>0</v>
      </c>
      <c r="W196" s="40">
        <f t="shared" si="63"/>
        <v>0</v>
      </c>
      <c r="X196" s="40">
        <f t="shared" si="64"/>
        <v>0</v>
      </c>
      <c r="Y196" s="40">
        <f t="shared" si="65"/>
        <v>0</v>
      </c>
      <c r="Z196" s="40">
        <f t="shared" si="66"/>
        <v>0</v>
      </c>
      <c r="AA196" s="40">
        <f t="shared" si="67"/>
        <v>0</v>
      </c>
      <c r="AB196" s="40">
        <f t="shared" si="68"/>
        <v>0</v>
      </c>
      <c r="AC196" s="40">
        <f t="shared" si="69"/>
        <v>0</v>
      </c>
      <c r="AD196" s="40">
        <f t="shared" si="70"/>
        <v>0</v>
      </c>
      <c r="AE196" s="40">
        <f t="shared" si="71"/>
        <v>0</v>
      </c>
      <c r="AF196" s="40">
        <f t="shared" si="72"/>
        <v>1</v>
      </c>
      <c r="AG196" s="40">
        <f t="shared" si="73"/>
        <v>0</v>
      </c>
      <c r="AH196" s="40">
        <f t="shared" si="74"/>
        <v>0</v>
      </c>
      <c r="AI196" s="40">
        <f t="shared" si="75"/>
        <v>0</v>
      </c>
      <c r="AJ196" s="40">
        <f t="shared" si="76"/>
        <v>1</v>
      </c>
      <c r="AK196" s="40">
        <f t="shared" si="77"/>
        <v>0</v>
      </c>
      <c r="AL196" s="40">
        <f t="shared" si="78"/>
        <v>0</v>
      </c>
      <c r="AM196" s="40">
        <f t="shared" si="79"/>
        <v>0</v>
      </c>
      <c r="AN196" s="40">
        <f t="shared" si="80"/>
        <v>0</v>
      </c>
      <c r="AO196" s="40">
        <f t="shared" si="81"/>
        <v>0</v>
      </c>
      <c r="AP196" s="40">
        <f t="shared" si="82"/>
        <v>0</v>
      </c>
      <c r="AQ196" s="40">
        <f t="shared" si="83"/>
        <v>0</v>
      </c>
      <c r="AR196" s="40">
        <f t="shared" si="84"/>
        <v>0</v>
      </c>
      <c r="AS196" s="40">
        <f t="shared" si="85"/>
        <v>0</v>
      </c>
    </row>
    <row r="197" spans="2:45" s="2" customFormat="1" ht="14.4" customHeight="1" x14ac:dyDescent="0.25">
      <c r="B197" s="56" t="s">
        <v>20</v>
      </c>
      <c r="C197" s="57" t="s">
        <v>26</v>
      </c>
      <c r="D197" s="58" t="s">
        <v>37</v>
      </c>
      <c r="E197" s="62">
        <v>2.3999999999999994E-3</v>
      </c>
      <c r="F197" s="65">
        <f t="shared" si="86"/>
        <v>-6.0322865416282374</v>
      </c>
      <c r="S197" s="40">
        <f t="shared" si="59"/>
        <v>0</v>
      </c>
      <c r="T197" s="40">
        <f t="shared" si="60"/>
        <v>0</v>
      </c>
      <c r="U197" s="40">
        <f t="shared" si="61"/>
        <v>1</v>
      </c>
      <c r="V197" s="40">
        <f t="shared" si="62"/>
        <v>0</v>
      </c>
      <c r="W197" s="40">
        <f t="shared" si="63"/>
        <v>0</v>
      </c>
      <c r="X197" s="40">
        <f t="shared" si="64"/>
        <v>0</v>
      </c>
      <c r="Y197" s="40">
        <f t="shared" si="65"/>
        <v>0</v>
      </c>
      <c r="Z197" s="40">
        <f t="shared" si="66"/>
        <v>0</v>
      </c>
      <c r="AA197" s="40">
        <f t="shared" si="67"/>
        <v>0</v>
      </c>
      <c r="AB197" s="40">
        <f t="shared" si="68"/>
        <v>0</v>
      </c>
      <c r="AC197" s="40">
        <f t="shared" si="69"/>
        <v>0</v>
      </c>
      <c r="AD197" s="40">
        <f t="shared" si="70"/>
        <v>0</v>
      </c>
      <c r="AE197" s="40">
        <f t="shared" si="71"/>
        <v>0</v>
      </c>
      <c r="AF197" s="40">
        <f t="shared" si="72"/>
        <v>1</v>
      </c>
      <c r="AG197" s="40">
        <f t="shared" si="73"/>
        <v>0</v>
      </c>
      <c r="AH197" s="40">
        <f t="shared" si="74"/>
        <v>0</v>
      </c>
      <c r="AI197" s="40">
        <f t="shared" si="75"/>
        <v>0</v>
      </c>
      <c r="AJ197" s="40">
        <f t="shared" si="76"/>
        <v>0</v>
      </c>
      <c r="AK197" s="40">
        <f t="shared" si="77"/>
        <v>0</v>
      </c>
      <c r="AL197" s="40">
        <f t="shared" si="78"/>
        <v>1</v>
      </c>
      <c r="AM197" s="40">
        <f t="shared" si="79"/>
        <v>0</v>
      </c>
      <c r="AN197" s="40">
        <f t="shared" si="80"/>
        <v>0</v>
      </c>
      <c r="AO197" s="40">
        <f t="shared" si="81"/>
        <v>0</v>
      </c>
      <c r="AP197" s="40">
        <f t="shared" si="82"/>
        <v>0</v>
      </c>
      <c r="AQ197" s="40">
        <f t="shared" si="83"/>
        <v>0</v>
      </c>
      <c r="AR197" s="40">
        <f t="shared" si="84"/>
        <v>0</v>
      </c>
      <c r="AS197" s="40">
        <f t="shared" si="85"/>
        <v>0</v>
      </c>
    </row>
    <row r="198" spans="2:45" s="2" customFormat="1" ht="14.4" customHeight="1" x14ac:dyDescent="0.25">
      <c r="B198" s="56" t="s">
        <v>20</v>
      </c>
      <c r="C198" s="57" t="s">
        <v>26</v>
      </c>
      <c r="D198" s="58" t="s">
        <v>24</v>
      </c>
      <c r="E198" s="62">
        <v>4.9899999999999996E-3</v>
      </c>
      <c r="F198" s="65">
        <f t="shared" si="86"/>
        <v>-5.3003193692187098</v>
      </c>
      <c r="S198" s="40">
        <f t="shared" si="59"/>
        <v>0</v>
      </c>
      <c r="T198" s="40">
        <f t="shared" si="60"/>
        <v>0</v>
      </c>
      <c r="U198" s="40">
        <f t="shared" si="61"/>
        <v>1</v>
      </c>
      <c r="V198" s="40">
        <f t="shared" si="62"/>
        <v>0</v>
      </c>
      <c r="W198" s="40">
        <f t="shared" si="63"/>
        <v>0</v>
      </c>
      <c r="X198" s="40">
        <f t="shared" si="64"/>
        <v>0</v>
      </c>
      <c r="Y198" s="40">
        <f t="shared" si="65"/>
        <v>0</v>
      </c>
      <c r="Z198" s="40">
        <f t="shared" si="66"/>
        <v>0</v>
      </c>
      <c r="AA198" s="40">
        <f t="shared" si="67"/>
        <v>0</v>
      </c>
      <c r="AB198" s="40">
        <f t="shared" si="68"/>
        <v>0</v>
      </c>
      <c r="AC198" s="40">
        <f t="shared" si="69"/>
        <v>0</v>
      </c>
      <c r="AD198" s="40">
        <f t="shared" si="70"/>
        <v>0</v>
      </c>
      <c r="AE198" s="40">
        <f t="shared" si="71"/>
        <v>0</v>
      </c>
      <c r="AF198" s="40">
        <f t="shared" si="72"/>
        <v>1</v>
      </c>
      <c r="AG198" s="40">
        <f t="shared" si="73"/>
        <v>0</v>
      </c>
      <c r="AH198" s="40">
        <f t="shared" si="74"/>
        <v>0</v>
      </c>
      <c r="AI198" s="40">
        <f t="shared" si="75"/>
        <v>0</v>
      </c>
      <c r="AJ198" s="40">
        <f t="shared" si="76"/>
        <v>0</v>
      </c>
      <c r="AK198" s="40">
        <f t="shared" si="77"/>
        <v>0</v>
      </c>
      <c r="AL198" s="40">
        <f t="shared" si="78"/>
        <v>0</v>
      </c>
      <c r="AM198" s="40">
        <f t="shared" si="79"/>
        <v>0</v>
      </c>
      <c r="AN198" s="40">
        <f t="shared" si="80"/>
        <v>1</v>
      </c>
      <c r="AO198" s="40">
        <f t="shared" si="81"/>
        <v>0</v>
      </c>
      <c r="AP198" s="40">
        <f t="shared" si="82"/>
        <v>0</v>
      </c>
      <c r="AQ198" s="40">
        <f t="shared" si="83"/>
        <v>0</v>
      </c>
      <c r="AR198" s="40">
        <f t="shared" si="84"/>
        <v>0</v>
      </c>
      <c r="AS198" s="40">
        <f t="shared" si="85"/>
        <v>0</v>
      </c>
    </row>
    <row r="199" spans="2:45" s="2" customFormat="1" ht="14.4" customHeight="1" x14ac:dyDescent="0.25">
      <c r="B199" s="56" t="s">
        <v>20</v>
      </c>
      <c r="C199" s="57" t="s">
        <v>26</v>
      </c>
      <c r="D199" s="58" t="s">
        <v>29</v>
      </c>
      <c r="E199" s="62">
        <v>1.6500000000000006E-3</v>
      </c>
      <c r="F199" s="65">
        <f t="shared" si="86"/>
        <v>-6.4069799910696474</v>
      </c>
      <c r="S199" s="40">
        <f t="shared" si="59"/>
        <v>0</v>
      </c>
      <c r="T199" s="40">
        <f t="shared" si="60"/>
        <v>0</v>
      </c>
      <c r="U199" s="40">
        <f t="shared" si="61"/>
        <v>1</v>
      </c>
      <c r="V199" s="40">
        <f t="shared" si="62"/>
        <v>0</v>
      </c>
      <c r="W199" s="40">
        <f t="shared" si="63"/>
        <v>0</v>
      </c>
      <c r="X199" s="40">
        <f t="shared" si="64"/>
        <v>0</v>
      </c>
      <c r="Y199" s="40">
        <f t="shared" si="65"/>
        <v>0</v>
      </c>
      <c r="Z199" s="40">
        <f t="shared" si="66"/>
        <v>0</v>
      </c>
      <c r="AA199" s="40">
        <f t="shared" si="67"/>
        <v>0</v>
      </c>
      <c r="AB199" s="40">
        <f t="shared" si="68"/>
        <v>0</v>
      </c>
      <c r="AC199" s="40">
        <f t="shared" si="69"/>
        <v>0</v>
      </c>
      <c r="AD199" s="40">
        <f t="shared" si="70"/>
        <v>0</v>
      </c>
      <c r="AE199" s="40">
        <f t="shared" si="71"/>
        <v>0</v>
      </c>
      <c r="AF199" s="40">
        <f t="shared" si="72"/>
        <v>1</v>
      </c>
      <c r="AG199" s="40">
        <f t="shared" si="73"/>
        <v>0</v>
      </c>
      <c r="AH199" s="40">
        <f t="shared" si="74"/>
        <v>0</v>
      </c>
      <c r="AI199" s="40">
        <f t="shared" si="75"/>
        <v>0</v>
      </c>
      <c r="AJ199" s="40">
        <f t="shared" si="76"/>
        <v>1</v>
      </c>
      <c r="AK199" s="40">
        <f t="shared" si="77"/>
        <v>0</v>
      </c>
      <c r="AL199" s="40">
        <f t="shared" si="78"/>
        <v>0</v>
      </c>
      <c r="AM199" s="40">
        <f t="shared" si="79"/>
        <v>0</v>
      </c>
      <c r="AN199" s="40">
        <f t="shared" si="80"/>
        <v>0</v>
      </c>
      <c r="AO199" s="40">
        <f t="shared" si="81"/>
        <v>0</v>
      </c>
      <c r="AP199" s="40">
        <f t="shared" si="82"/>
        <v>0</v>
      </c>
      <c r="AQ199" s="40">
        <f t="shared" si="83"/>
        <v>0</v>
      </c>
      <c r="AR199" s="40">
        <f t="shared" si="84"/>
        <v>0</v>
      </c>
      <c r="AS199" s="40">
        <f t="shared" si="85"/>
        <v>0</v>
      </c>
    </row>
    <row r="200" spans="2:45" s="2" customFormat="1" ht="14.4" customHeight="1" x14ac:dyDescent="0.25">
      <c r="B200" s="56" t="s">
        <v>20</v>
      </c>
      <c r="C200" s="57" t="s">
        <v>26</v>
      </c>
      <c r="D200" s="58" t="s">
        <v>37</v>
      </c>
      <c r="E200" s="62">
        <v>2.099999999999999E-3</v>
      </c>
      <c r="F200" s="65">
        <f t="shared" si="86"/>
        <v>-6.1658179342527601</v>
      </c>
      <c r="S200" s="40">
        <f t="shared" si="59"/>
        <v>0</v>
      </c>
      <c r="T200" s="40">
        <f t="shared" si="60"/>
        <v>0</v>
      </c>
      <c r="U200" s="40">
        <f t="shared" si="61"/>
        <v>1</v>
      </c>
      <c r="V200" s="40">
        <f t="shared" si="62"/>
        <v>0</v>
      </c>
      <c r="W200" s="40">
        <f t="shared" si="63"/>
        <v>0</v>
      </c>
      <c r="X200" s="40">
        <f t="shared" si="64"/>
        <v>0</v>
      </c>
      <c r="Y200" s="40">
        <f t="shared" si="65"/>
        <v>0</v>
      </c>
      <c r="Z200" s="40">
        <f t="shared" si="66"/>
        <v>0</v>
      </c>
      <c r="AA200" s="40">
        <f t="shared" si="67"/>
        <v>0</v>
      </c>
      <c r="AB200" s="40">
        <f t="shared" si="68"/>
        <v>1</v>
      </c>
      <c r="AC200" s="40">
        <f t="shared" si="69"/>
        <v>0</v>
      </c>
      <c r="AD200" s="40">
        <f t="shared" si="70"/>
        <v>0</v>
      </c>
      <c r="AE200" s="40">
        <f t="shared" si="71"/>
        <v>0</v>
      </c>
      <c r="AF200" s="40">
        <f t="shared" si="72"/>
        <v>0</v>
      </c>
      <c r="AG200" s="40">
        <f t="shared" si="73"/>
        <v>0</v>
      </c>
      <c r="AH200" s="40">
        <f t="shared" si="74"/>
        <v>0</v>
      </c>
      <c r="AI200" s="40">
        <f t="shared" si="75"/>
        <v>0</v>
      </c>
      <c r="AJ200" s="40">
        <f t="shared" si="76"/>
        <v>0</v>
      </c>
      <c r="AK200" s="40">
        <f t="shared" si="77"/>
        <v>0</v>
      </c>
      <c r="AL200" s="40">
        <f t="shared" si="78"/>
        <v>1</v>
      </c>
      <c r="AM200" s="40">
        <f t="shared" si="79"/>
        <v>0</v>
      </c>
      <c r="AN200" s="40">
        <f t="shared" si="80"/>
        <v>0</v>
      </c>
      <c r="AO200" s="40">
        <f t="shared" si="81"/>
        <v>0</v>
      </c>
      <c r="AP200" s="40">
        <f t="shared" si="82"/>
        <v>0</v>
      </c>
      <c r="AQ200" s="40">
        <f t="shared" si="83"/>
        <v>0</v>
      </c>
      <c r="AR200" s="40">
        <f t="shared" si="84"/>
        <v>0</v>
      </c>
      <c r="AS200" s="40">
        <f t="shared" si="85"/>
        <v>0</v>
      </c>
    </row>
    <row r="201" spans="2:45" s="2" customFormat="1" ht="14.4" customHeight="1" x14ac:dyDescent="0.25">
      <c r="B201" s="56" t="s">
        <v>20</v>
      </c>
      <c r="C201" s="57" t="s">
        <v>25</v>
      </c>
      <c r="D201" s="58" t="s">
        <v>24</v>
      </c>
      <c r="E201" s="62">
        <v>5.0299999999999989E-3</v>
      </c>
      <c r="F201" s="65">
        <f t="shared" si="86"/>
        <v>-5.2923352948704894</v>
      </c>
      <c r="S201" s="40">
        <f t="shared" si="59"/>
        <v>0</v>
      </c>
      <c r="T201" s="40">
        <f t="shared" si="60"/>
        <v>0</v>
      </c>
      <c r="U201" s="40">
        <f t="shared" si="61"/>
        <v>1</v>
      </c>
      <c r="V201" s="40">
        <f t="shared" si="62"/>
        <v>0</v>
      </c>
      <c r="W201" s="40">
        <f t="shared" si="63"/>
        <v>0</v>
      </c>
      <c r="X201" s="40">
        <f t="shared" si="64"/>
        <v>0</v>
      </c>
      <c r="Y201" s="40">
        <f t="shared" si="65"/>
        <v>0</v>
      </c>
      <c r="Z201" s="40">
        <f t="shared" si="66"/>
        <v>0</v>
      </c>
      <c r="AA201" s="40">
        <f t="shared" si="67"/>
        <v>0</v>
      </c>
      <c r="AB201" s="40">
        <f t="shared" si="68"/>
        <v>1</v>
      </c>
      <c r="AC201" s="40">
        <f t="shared" si="69"/>
        <v>0</v>
      </c>
      <c r="AD201" s="40">
        <f t="shared" si="70"/>
        <v>0</v>
      </c>
      <c r="AE201" s="40">
        <f t="shared" si="71"/>
        <v>0</v>
      </c>
      <c r="AF201" s="40">
        <f t="shared" si="72"/>
        <v>0</v>
      </c>
      <c r="AG201" s="40">
        <f t="shared" si="73"/>
        <v>0</v>
      </c>
      <c r="AH201" s="40">
        <f t="shared" si="74"/>
        <v>0</v>
      </c>
      <c r="AI201" s="40">
        <f t="shared" si="75"/>
        <v>0</v>
      </c>
      <c r="AJ201" s="40">
        <f t="shared" si="76"/>
        <v>0</v>
      </c>
      <c r="AK201" s="40">
        <f t="shared" si="77"/>
        <v>0</v>
      </c>
      <c r="AL201" s="40">
        <f t="shared" si="78"/>
        <v>1</v>
      </c>
      <c r="AM201" s="40">
        <f t="shared" si="79"/>
        <v>0</v>
      </c>
      <c r="AN201" s="40">
        <f t="shared" si="80"/>
        <v>0</v>
      </c>
      <c r="AO201" s="40">
        <f t="shared" si="81"/>
        <v>0</v>
      </c>
      <c r="AP201" s="40">
        <f t="shared" si="82"/>
        <v>0</v>
      </c>
      <c r="AQ201" s="40">
        <f t="shared" si="83"/>
        <v>0</v>
      </c>
      <c r="AR201" s="40">
        <f t="shared" si="84"/>
        <v>0</v>
      </c>
      <c r="AS201" s="40">
        <f t="shared" si="85"/>
        <v>0</v>
      </c>
    </row>
    <row r="202" spans="2:45" s="2" customFormat="1" ht="14.4" customHeight="1" x14ac:dyDescent="0.25">
      <c r="B202" s="56" t="s">
        <v>20</v>
      </c>
      <c r="C202" s="57" t="s">
        <v>25</v>
      </c>
      <c r="D202" s="58" t="s">
        <v>24</v>
      </c>
      <c r="E202" s="62">
        <v>3.2099999999999993E-3</v>
      </c>
      <c r="F202" s="65">
        <f t="shared" si="86"/>
        <v>-5.7414843418402128</v>
      </c>
      <c r="S202" s="40">
        <f t="shared" ref="S202:S265" si="87">IF($B203=S$9,1,0)</f>
        <v>0</v>
      </c>
      <c r="T202" s="40">
        <f t="shared" ref="T202:T265" si="88">IF($B203=T$9,1,0)</f>
        <v>0</v>
      </c>
      <c r="U202" s="40">
        <f t="shared" ref="U202:U265" si="89">IF($B203=U$9,1,0)</f>
        <v>1</v>
      </c>
      <c r="V202" s="40">
        <f t="shared" ref="V202:V265" si="90">IF($B203=V$9,1,0)</f>
        <v>0</v>
      </c>
      <c r="W202" s="40">
        <f t="shared" ref="W202:W265" si="91">IF($B203=W$9,1,0)</f>
        <v>0</v>
      </c>
      <c r="X202" s="40">
        <f t="shared" ref="X202:X265" si="92">IF($B203=X$9,1,0)</f>
        <v>0</v>
      </c>
      <c r="Y202" s="40">
        <f t="shared" ref="Y202:Y265" si="93">IF($B203=Y$9,1,0)</f>
        <v>0</v>
      </c>
      <c r="Z202" s="40">
        <f t="shared" ref="Z202:Z265" si="94">IF($C203=Z$9,1,0)</f>
        <v>0</v>
      </c>
      <c r="AA202" s="40">
        <f t="shared" ref="AA202:AA265" si="95">IF($C203=AA$9,1,0)</f>
        <v>0</v>
      </c>
      <c r="AB202" s="40">
        <f t="shared" ref="AB202:AB265" si="96">IF($C203=AB$9,1,0)</f>
        <v>1</v>
      </c>
      <c r="AC202" s="40">
        <f t="shared" ref="AC202:AC265" si="97">IF($C203=AC$9,1,0)</f>
        <v>0</v>
      </c>
      <c r="AD202" s="40">
        <f t="shared" ref="AD202:AD265" si="98">IF($C203=AD$9,1,0)</f>
        <v>0</v>
      </c>
      <c r="AE202" s="40">
        <f t="shared" ref="AE202:AE265" si="99">IF($C203=AE$9,1,0)</f>
        <v>0</v>
      </c>
      <c r="AF202" s="40">
        <f t="shared" ref="AF202:AF265" si="100">IF($C203=AF$9,1,0)</f>
        <v>0</v>
      </c>
      <c r="AG202" s="40">
        <f t="shared" ref="AG202:AG265" si="101">IF($C203=AG$9,1,0)</f>
        <v>0</v>
      </c>
      <c r="AH202" s="40">
        <f t="shared" ref="AH202:AH265" si="102">IF($D203=AH$9,1,0)</f>
        <v>1</v>
      </c>
      <c r="AI202" s="40">
        <f t="shared" ref="AI202:AI265" si="103">IF($D203=AI$9,1,0)</f>
        <v>0</v>
      </c>
      <c r="AJ202" s="40">
        <f t="shared" ref="AJ202:AJ265" si="104">IF($D203=AJ$9,1,0)</f>
        <v>0</v>
      </c>
      <c r="AK202" s="40">
        <f t="shared" ref="AK202:AK265" si="105">IF($D203=AK$9,1,0)</f>
        <v>0</v>
      </c>
      <c r="AL202" s="40">
        <f t="shared" ref="AL202:AL265" si="106">IF($D203=AL$9,1,0)</f>
        <v>0</v>
      </c>
      <c r="AM202" s="40">
        <f t="shared" ref="AM202:AM265" si="107">IF($D203=AM$9,1,0)</f>
        <v>0</v>
      </c>
      <c r="AN202" s="40">
        <f t="shared" ref="AN202:AN265" si="108">IF($D203=AN$9,1,0)</f>
        <v>0</v>
      </c>
      <c r="AO202" s="40">
        <f t="shared" ref="AO202:AO265" si="109">IF($D203=AO$9,1,0)</f>
        <v>0</v>
      </c>
      <c r="AP202" s="40">
        <f t="shared" ref="AP202:AP265" si="110">IF($D203=AP$9,1,0)</f>
        <v>0</v>
      </c>
      <c r="AQ202" s="40">
        <f t="shared" ref="AQ202:AQ265" si="111">IF($D203=AQ$9,1,0)</f>
        <v>0</v>
      </c>
      <c r="AR202" s="40">
        <f t="shared" ref="AR202:AR265" si="112">IF($D203=AR$9,1,0)</f>
        <v>0</v>
      </c>
      <c r="AS202" s="40">
        <f t="shared" ref="AS202:AS265" si="113">IF($D203=AS$9,1,0)</f>
        <v>0</v>
      </c>
    </row>
    <row r="203" spans="2:45" s="2" customFormat="1" ht="14.4" customHeight="1" x14ac:dyDescent="0.25">
      <c r="B203" s="56" t="s">
        <v>20</v>
      </c>
      <c r="C203" s="57" t="s">
        <v>25</v>
      </c>
      <c r="D203" s="58" t="s">
        <v>27</v>
      </c>
      <c r="E203" s="62">
        <v>3.1300000000000013E-3</v>
      </c>
      <c r="F203" s="65">
        <f t="shared" si="86"/>
        <v>-5.7667222744300748</v>
      </c>
      <c r="S203" s="40">
        <f t="shared" si="87"/>
        <v>0</v>
      </c>
      <c r="T203" s="40">
        <f t="shared" si="88"/>
        <v>0</v>
      </c>
      <c r="U203" s="40">
        <f t="shared" si="89"/>
        <v>1</v>
      </c>
      <c r="V203" s="40">
        <f t="shared" si="90"/>
        <v>0</v>
      </c>
      <c r="W203" s="40">
        <f t="shared" si="91"/>
        <v>0</v>
      </c>
      <c r="X203" s="40">
        <f t="shared" si="92"/>
        <v>0</v>
      </c>
      <c r="Y203" s="40">
        <f t="shared" si="93"/>
        <v>0</v>
      </c>
      <c r="Z203" s="40">
        <f t="shared" si="94"/>
        <v>0</v>
      </c>
      <c r="AA203" s="40">
        <f t="shared" si="95"/>
        <v>0</v>
      </c>
      <c r="AB203" s="40">
        <f t="shared" si="96"/>
        <v>1</v>
      </c>
      <c r="AC203" s="40">
        <f t="shared" si="97"/>
        <v>0</v>
      </c>
      <c r="AD203" s="40">
        <f t="shared" si="98"/>
        <v>0</v>
      </c>
      <c r="AE203" s="40">
        <f t="shared" si="99"/>
        <v>0</v>
      </c>
      <c r="AF203" s="40">
        <f t="shared" si="100"/>
        <v>0</v>
      </c>
      <c r="AG203" s="40">
        <f t="shared" si="101"/>
        <v>0</v>
      </c>
      <c r="AH203" s="40">
        <f t="shared" si="102"/>
        <v>0</v>
      </c>
      <c r="AI203" s="40">
        <f t="shared" si="103"/>
        <v>0</v>
      </c>
      <c r="AJ203" s="40">
        <f t="shared" si="104"/>
        <v>0</v>
      </c>
      <c r="AK203" s="40">
        <f t="shared" si="105"/>
        <v>0</v>
      </c>
      <c r="AL203" s="40">
        <f t="shared" si="106"/>
        <v>1</v>
      </c>
      <c r="AM203" s="40">
        <f t="shared" si="107"/>
        <v>0</v>
      </c>
      <c r="AN203" s="40">
        <f t="shared" si="108"/>
        <v>0</v>
      </c>
      <c r="AO203" s="40">
        <f t="shared" si="109"/>
        <v>0</v>
      </c>
      <c r="AP203" s="40">
        <f t="shared" si="110"/>
        <v>0</v>
      </c>
      <c r="AQ203" s="40">
        <f t="shared" si="111"/>
        <v>0</v>
      </c>
      <c r="AR203" s="40">
        <f t="shared" si="112"/>
        <v>0</v>
      </c>
      <c r="AS203" s="40">
        <f t="shared" si="113"/>
        <v>0</v>
      </c>
    </row>
    <row r="204" spans="2:45" s="2" customFormat="1" ht="14.4" customHeight="1" x14ac:dyDescent="0.25">
      <c r="B204" s="56" t="s">
        <v>20</v>
      </c>
      <c r="C204" s="57" t="s">
        <v>25</v>
      </c>
      <c r="D204" s="58" t="s">
        <v>24</v>
      </c>
      <c r="E204" s="62">
        <v>4.0099999999999997E-3</v>
      </c>
      <c r="F204" s="65">
        <f t="shared" ref="F204:F267" si="114">LN(E204)</f>
        <v>-5.5189640376636593</v>
      </c>
      <c r="S204" s="40">
        <f t="shared" si="87"/>
        <v>0</v>
      </c>
      <c r="T204" s="40">
        <f t="shared" si="88"/>
        <v>0</v>
      </c>
      <c r="U204" s="40">
        <f t="shared" si="89"/>
        <v>1</v>
      </c>
      <c r="V204" s="40">
        <f t="shared" si="90"/>
        <v>0</v>
      </c>
      <c r="W204" s="40">
        <f t="shared" si="91"/>
        <v>0</v>
      </c>
      <c r="X204" s="40">
        <f t="shared" si="92"/>
        <v>0</v>
      </c>
      <c r="Y204" s="40">
        <f t="shared" si="93"/>
        <v>0</v>
      </c>
      <c r="Z204" s="40">
        <f t="shared" si="94"/>
        <v>0</v>
      </c>
      <c r="AA204" s="40">
        <f t="shared" si="95"/>
        <v>0</v>
      </c>
      <c r="AB204" s="40">
        <f t="shared" si="96"/>
        <v>1</v>
      </c>
      <c r="AC204" s="40">
        <f t="shared" si="97"/>
        <v>0</v>
      </c>
      <c r="AD204" s="40">
        <f t="shared" si="98"/>
        <v>0</v>
      </c>
      <c r="AE204" s="40">
        <f t="shared" si="99"/>
        <v>0</v>
      </c>
      <c r="AF204" s="40">
        <f t="shared" si="100"/>
        <v>0</v>
      </c>
      <c r="AG204" s="40">
        <f t="shared" si="101"/>
        <v>0</v>
      </c>
      <c r="AH204" s="40">
        <f t="shared" si="102"/>
        <v>0</v>
      </c>
      <c r="AI204" s="40">
        <f t="shared" si="103"/>
        <v>1</v>
      </c>
      <c r="AJ204" s="40">
        <f t="shared" si="104"/>
        <v>0</v>
      </c>
      <c r="AK204" s="40">
        <f t="shared" si="105"/>
        <v>0</v>
      </c>
      <c r="AL204" s="40">
        <f t="shared" si="106"/>
        <v>0</v>
      </c>
      <c r="AM204" s="40">
        <f t="shared" si="107"/>
        <v>0</v>
      </c>
      <c r="AN204" s="40">
        <f t="shared" si="108"/>
        <v>0</v>
      </c>
      <c r="AO204" s="40">
        <f t="shared" si="109"/>
        <v>0</v>
      </c>
      <c r="AP204" s="40">
        <f t="shared" si="110"/>
        <v>0</v>
      </c>
      <c r="AQ204" s="40">
        <f t="shared" si="111"/>
        <v>0</v>
      </c>
      <c r="AR204" s="40">
        <f t="shared" si="112"/>
        <v>0</v>
      </c>
      <c r="AS204" s="40">
        <f t="shared" si="113"/>
        <v>0</v>
      </c>
    </row>
    <row r="205" spans="2:45" s="2" customFormat="1" ht="14.4" customHeight="1" x14ac:dyDescent="0.25">
      <c r="B205" s="56" t="s">
        <v>20</v>
      </c>
      <c r="C205" s="57" t="s">
        <v>25</v>
      </c>
      <c r="D205" s="58" t="s">
        <v>28</v>
      </c>
      <c r="E205" s="62">
        <v>6.6499999999999988E-3</v>
      </c>
      <c r="F205" s="65">
        <f t="shared" si="114"/>
        <v>-5.0131384243143744</v>
      </c>
      <c r="S205" s="40">
        <f t="shared" si="87"/>
        <v>0</v>
      </c>
      <c r="T205" s="40">
        <f t="shared" si="88"/>
        <v>0</v>
      </c>
      <c r="U205" s="40">
        <f t="shared" si="89"/>
        <v>1</v>
      </c>
      <c r="V205" s="40">
        <f t="shared" si="90"/>
        <v>0</v>
      </c>
      <c r="W205" s="40">
        <f t="shared" si="91"/>
        <v>0</v>
      </c>
      <c r="X205" s="40">
        <f t="shared" si="92"/>
        <v>0</v>
      </c>
      <c r="Y205" s="40">
        <f t="shared" si="93"/>
        <v>0</v>
      </c>
      <c r="Z205" s="40">
        <f t="shared" si="94"/>
        <v>0</v>
      </c>
      <c r="AA205" s="40">
        <f t="shared" si="95"/>
        <v>0</v>
      </c>
      <c r="AB205" s="40">
        <f t="shared" si="96"/>
        <v>1</v>
      </c>
      <c r="AC205" s="40">
        <f t="shared" si="97"/>
        <v>0</v>
      </c>
      <c r="AD205" s="40">
        <f t="shared" si="98"/>
        <v>0</v>
      </c>
      <c r="AE205" s="40">
        <f t="shared" si="99"/>
        <v>0</v>
      </c>
      <c r="AF205" s="40">
        <f t="shared" si="100"/>
        <v>0</v>
      </c>
      <c r="AG205" s="40">
        <f t="shared" si="101"/>
        <v>0</v>
      </c>
      <c r="AH205" s="40">
        <f t="shared" si="102"/>
        <v>0</v>
      </c>
      <c r="AI205" s="40">
        <f t="shared" si="103"/>
        <v>0</v>
      </c>
      <c r="AJ205" s="40">
        <f t="shared" si="104"/>
        <v>0</v>
      </c>
      <c r="AK205" s="40">
        <f t="shared" si="105"/>
        <v>0</v>
      </c>
      <c r="AL205" s="40">
        <f t="shared" si="106"/>
        <v>0</v>
      </c>
      <c r="AM205" s="40">
        <f t="shared" si="107"/>
        <v>0</v>
      </c>
      <c r="AN205" s="40">
        <f t="shared" si="108"/>
        <v>0</v>
      </c>
      <c r="AO205" s="40">
        <f t="shared" si="109"/>
        <v>0</v>
      </c>
      <c r="AP205" s="40">
        <f t="shared" si="110"/>
        <v>0</v>
      </c>
      <c r="AQ205" s="40">
        <f t="shared" si="111"/>
        <v>0</v>
      </c>
      <c r="AR205" s="40">
        <f t="shared" si="112"/>
        <v>0</v>
      </c>
      <c r="AS205" s="40">
        <f t="shared" si="113"/>
        <v>1</v>
      </c>
    </row>
    <row r="206" spans="2:45" s="2" customFormat="1" ht="14.4" customHeight="1" x14ac:dyDescent="0.25">
      <c r="B206" s="56" t="s">
        <v>20</v>
      </c>
      <c r="C206" s="57" t="s">
        <v>25</v>
      </c>
      <c r="D206" s="58" t="s">
        <v>22</v>
      </c>
      <c r="E206" s="62">
        <v>2.4600000000000008E-3</v>
      </c>
      <c r="F206" s="65">
        <f t="shared" si="114"/>
        <v>-6.0075939290378653</v>
      </c>
      <c r="S206" s="40">
        <f t="shared" si="87"/>
        <v>0</v>
      </c>
      <c r="T206" s="40">
        <f t="shared" si="88"/>
        <v>0</v>
      </c>
      <c r="U206" s="40">
        <f t="shared" si="89"/>
        <v>1</v>
      </c>
      <c r="V206" s="40">
        <f t="shared" si="90"/>
        <v>0</v>
      </c>
      <c r="W206" s="40">
        <f t="shared" si="91"/>
        <v>0</v>
      </c>
      <c r="X206" s="40">
        <f t="shared" si="92"/>
        <v>0</v>
      </c>
      <c r="Y206" s="40">
        <f t="shared" si="93"/>
        <v>0</v>
      </c>
      <c r="Z206" s="40">
        <f t="shared" si="94"/>
        <v>0</v>
      </c>
      <c r="AA206" s="40">
        <f t="shared" si="95"/>
        <v>0</v>
      </c>
      <c r="AB206" s="40">
        <f t="shared" si="96"/>
        <v>1</v>
      </c>
      <c r="AC206" s="40">
        <f t="shared" si="97"/>
        <v>0</v>
      </c>
      <c r="AD206" s="40">
        <f t="shared" si="98"/>
        <v>0</v>
      </c>
      <c r="AE206" s="40">
        <f t="shared" si="99"/>
        <v>0</v>
      </c>
      <c r="AF206" s="40">
        <f t="shared" si="100"/>
        <v>0</v>
      </c>
      <c r="AG206" s="40">
        <f t="shared" si="101"/>
        <v>0</v>
      </c>
      <c r="AH206" s="40">
        <f t="shared" si="102"/>
        <v>1</v>
      </c>
      <c r="AI206" s="40">
        <f t="shared" si="103"/>
        <v>0</v>
      </c>
      <c r="AJ206" s="40">
        <f t="shared" si="104"/>
        <v>0</v>
      </c>
      <c r="AK206" s="40">
        <f t="shared" si="105"/>
        <v>0</v>
      </c>
      <c r="AL206" s="40">
        <f t="shared" si="106"/>
        <v>0</v>
      </c>
      <c r="AM206" s="40">
        <f t="shared" si="107"/>
        <v>0</v>
      </c>
      <c r="AN206" s="40">
        <f t="shared" si="108"/>
        <v>0</v>
      </c>
      <c r="AO206" s="40">
        <f t="shared" si="109"/>
        <v>0</v>
      </c>
      <c r="AP206" s="40">
        <f t="shared" si="110"/>
        <v>0</v>
      </c>
      <c r="AQ206" s="40">
        <f t="shared" si="111"/>
        <v>0</v>
      </c>
      <c r="AR206" s="40">
        <f t="shared" si="112"/>
        <v>0</v>
      </c>
      <c r="AS206" s="40">
        <f t="shared" si="113"/>
        <v>0</v>
      </c>
    </row>
    <row r="207" spans="2:45" s="2" customFormat="1" ht="14.4" customHeight="1" x14ac:dyDescent="0.25">
      <c r="B207" s="56" t="s">
        <v>20</v>
      </c>
      <c r="C207" s="57" t="s">
        <v>25</v>
      </c>
      <c r="D207" s="58" t="s">
        <v>27</v>
      </c>
      <c r="E207" s="62">
        <v>1.7200000000000006E-3</v>
      </c>
      <c r="F207" s="65">
        <f t="shared" si="114"/>
        <v>-6.365430988156775</v>
      </c>
      <c r="S207" s="40">
        <f t="shared" si="87"/>
        <v>0</v>
      </c>
      <c r="T207" s="40">
        <f t="shared" si="88"/>
        <v>0</v>
      </c>
      <c r="U207" s="40">
        <f t="shared" si="89"/>
        <v>1</v>
      </c>
      <c r="V207" s="40">
        <f t="shared" si="90"/>
        <v>0</v>
      </c>
      <c r="W207" s="40">
        <f t="shared" si="91"/>
        <v>0</v>
      </c>
      <c r="X207" s="40">
        <f t="shared" si="92"/>
        <v>0</v>
      </c>
      <c r="Y207" s="40">
        <f t="shared" si="93"/>
        <v>0</v>
      </c>
      <c r="Z207" s="40">
        <f t="shared" si="94"/>
        <v>0</v>
      </c>
      <c r="AA207" s="40">
        <f t="shared" si="95"/>
        <v>0</v>
      </c>
      <c r="AB207" s="40">
        <f t="shared" si="96"/>
        <v>1</v>
      </c>
      <c r="AC207" s="40">
        <f t="shared" si="97"/>
        <v>0</v>
      </c>
      <c r="AD207" s="40">
        <f t="shared" si="98"/>
        <v>0</v>
      </c>
      <c r="AE207" s="40">
        <f t="shared" si="99"/>
        <v>0</v>
      </c>
      <c r="AF207" s="40">
        <f t="shared" si="100"/>
        <v>0</v>
      </c>
      <c r="AG207" s="40">
        <f t="shared" si="101"/>
        <v>0</v>
      </c>
      <c r="AH207" s="40">
        <f t="shared" si="102"/>
        <v>0</v>
      </c>
      <c r="AI207" s="40">
        <f t="shared" si="103"/>
        <v>0</v>
      </c>
      <c r="AJ207" s="40">
        <f t="shared" si="104"/>
        <v>0</v>
      </c>
      <c r="AK207" s="40">
        <f t="shared" si="105"/>
        <v>0</v>
      </c>
      <c r="AL207" s="40">
        <f t="shared" si="106"/>
        <v>0</v>
      </c>
      <c r="AM207" s="40">
        <f t="shared" si="107"/>
        <v>0</v>
      </c>
      <c r="AN207" s="40">
        <f t="shared" si="108"/>
        <v>1</v>
      </c>
      <c r="AO207" s="40">
        <f t="shared" si="109"/>
        <v>0</v>
      </c>
      <c r="AP207" s="40">
        <f t="shared" si="110"/>
        <v>0</v>
      </c>
      <c r="AQ207" s="40">
        <f t="shared" si="111"/>
        <v>0</v>
      </c>
      <c r="AR207" s="40">
        <f t="shared" si="112"/>
        <v>0</v>
      </c>
      <c r="AS207" s="40">
        <f t="shared" si="113"/>
        <v>0</v>
      </c>
    </row>
    <row r="208" spans="2:45" s="2" customFormat="1" ht="14.4" customHeight="1" x14ac:dyDescent="0.25">
      <c r="B208" s="56" t="s">
        <v>20</v>
      </c>
      <c r="C208" s="57" t="s">
        <v>25</v>
      </c>
      <c r="D208" s="58" t="s">
        <v>29</v>
      </c>
      <c r="E208" s="62">
        <v>1.9199999999999996E-3</v>
      </c>
      <c r="F208" s="65">
        <f t="shared" si="114"/>
        <v>-6.2554300929424471</v>
      </c>
      <c r="S208" s="40">
        <f t="shared" si="87"/>
        <v>0</v>
      </c>
      <c r="T208" s="40">
        <f t="shared" si="88"/>
        <v>0</v>
      </c>
      <c r="U208" s="40">
        <f t="shared" si="89"/>
        <v>1</v>
      </c>
      <c r="V208" s="40">
        <f t="shared" si="90"/>
        <v>0</v>
      </c>
      <c r="W208" s="40">
        <f t="shared" si="91"/>
        <v>0</v>
      </c>
      <c r="X208" s="40">
        <f t="shared" si="92"/>
        <v>0</v>
      </c>
      <c r="Y208" s="40">
        <f t="shared" si="93"/>
        <v>0</v>
      </c>
      <c r="Z208" s="40">
        <f t="shared" si="94"/>
        <v>0</v>
      </c>
      <c r="AA208" s="40">
        <f t="shared" si="95"/>
        <v>0</v>
      </c>
      <c r="AB208" s="40">
        <f t="shared" si="96"/>
        <v>1</v>
      </c>
      <c r="AC208" s="40">
        <f t="shared" si="97"/>
        <v>0</v>
      </c>
      <c r="AD208" s="40">
        <f t="shared" si="98"/>
        <v>0</v>
      </c>
      <c r="AE208" s="40">
        <f t="shared" si="99"/>
        <v>0</v>
      </c>
      <c r="AF208" s="40">
        <f t="shared" si="100"/>
        <v>0</v>
      </c>
      <c r="AG208" s="40">
        <f t="shared" si="101"/>
        <v>0</v>
      </c>
      <c r="AH208" s="40">
        <f t="shared" si="102"/>
        <v>0</v>
      </c>
      <c r="AI208" s="40">
        <f t="shared" si="103"/>
        <v>0</v>
      </c>
      <c r="AJ208" s="40">
        <f t="shared" si="104"/>
        <v>0</v>
      </c>
      <c r="AK208" s="40">
        <f t="shared" si="105"/>
        <v>0</v>
      </c>
      <c r="AL208" s="40">
        <f t="shared" si="106"/>
        <v>1</v>
      </c>
      <c r="AM208" s="40">
        <f t="shared" si="107"/>
        <v>0</v>
      </c>
      <c r="AN208" s="40">
        <f t="shared" si="108"/>
        <v>0</v>
      </c>
      <c r="AO208" s="40">
        <f t="shared" si="109"/>
        <v>0</v>
      </c>
      <c r="AP208" s="40">
        <f t="shared" si="110"/>
        <v>0</v>
      </c>
      <c r="AQ208" s="40">
        <f t="shared" si="111"/>
        <v>0</v>
      </c>
      <c r="AR208" s="40">
        <f t="shared" si="112"/>
        <v>0</v>
      </c>
      <c r="AS208" s="40">
        <f t="shared" si="113"/>
        <v>0</v>
      </c>
    </row>
    <row r="209" spans="2:45" s="2" customFormat="1" ht="14.4" customHeight="1" x14ac:dyDescent="0.25">
      <c r="B209" s="56" t="s">
        <v>20</v>
      </c>
      <c r="C209" s="57" t="s">
        <v>25</v>
      </c>
      <c r="D209" s="58" t="s">
        <v>24</v>
      </c>
      <c r="E209" s="62">
        <v>6.2299999999999986E-3</v>
      </c>
      <c r="F209" s="65">
        <f t="shared" si="114"/>
        <v>-5.0783789461827755</v>
      </c>
      <c r="S209" s="40">
        <f t="shared" si="87"/>
        <v>0</v>
      </c>
      <c r="T209" s="40">
        <f t="shared" si="88"/>
        <v>0</v>
      </c>
      <c r="U209" s="40">
        <f t="shared" si="89"/>
        <v>1</v>
      </c>
      <c r="V209" s="40">
        <f t="shared" si="90"/>
        <v>0</v>
      </c>
      <c r="W209" s="40">
        <f t="shared" si="91"/>
        <v>0</v>
      </c>
      <c r="X209" s="40">
        <f t="shared" si="92"/>
        <v>0</v>
      </c>
      <c r="Y209" s="40">
        <f t="shared" si="93"/>
        <v>0</v>
      </c>
      <c r="Z209" s="40">
        <f t="shared" si="94"/>
        <v>0</v>
      </c>
      <c r="AA209" s="40">
        <f t="shared" si="95"/>
        <v>0</v>
      </c>
      <c r="AB209" s="40">
        <f t="shared" si="96"/>
        <v>1</v>
      </c>
      <c r="AC209" s="40">
        <f t="shared" si="97"/>
        <v>0</v>
      </c>
      <c r="AD209" s="40">
        <f t="shared" si="98"/>
        <v>0</v>
      </c>
      <c r="AE209" s="40">
        <f t="shared" si="99"/>
        <v>0</v>
      </c>
      <c r="AF209" s="40">
        <f t="shared" si="100"/>
        <v>0</v>
      </c>
      <c r="AG209" s="40">
        <f t="shared" si="101"/>
        <v>0</v>
      </c>
      <c r="AH209" s="40">
        <f t="shared" si="102"/>
        <v>0</v>
      </c>
      <c r="AI209" s="40">
        <f t="shared" si="103"/>
        <v>0</v>
      </c>
      <c r="AJ209" s="40">
        <f t="shared" si="104"/>
        <v>0</v>
      </c>
      <c r="AK209" s="40">
        <f t="shared" si="105"/>
        <v>0</v>
      </c>
      <c r="AL209" s="40">
        <f t="shared" si="106"/>
        <v>1</v>
      </c>
      <c r="AM209" s="40">
        <f t="shared" si="107"/>
        <v>0</v>
      </c>
      <c r="AN209" s="40">
        <f t="shared" si="108"/>
        <v>0</v>
      </c>
      <c r="AO209" s="40">
        <f t="shared" si="109"/>
        <v>0</v>
      </c>
      <c r="AP209" s="40">
        <f t="shared" si="110"/>
        <v>0</v>
      </c>
      <c r="AQ209" s="40">
        <f t="shared" si="111"/>
        <v>0</v>
      </c>
      <c r="AR209" s="40">
        <f t="shared" si="112"/>
        <v>0</v>
      </c>
      <c r="AS209" s="40">
        <f t="shared" si="113"/>
        <v>0</v>
      </c>
    </row>
    <row r="210" spans="2:45" s="2" customFormat="1" ht="14.4" customHeight="1" x14ac:dyDescent="0.25">
      <c r="B210" s="56" t="s">
        <v>20</v>
      </c>
      <c r="C210" s="57" t="s">
        <v>25</v>
      </c>
      <c r="D210" s="58" t="s">
        <v>24</v>
      </c>
      <c r="E210" s="62">
        <v>4.9600000000000009E-3</v>
      </c>
      <c r="F210" s="65">
        <f t="shared" si="114"/>
        <v>-5.3063495382453008</v>
      </c>
      <c r="S210" s="40">
        <f t="shared" si="87"/>
        <v>0</v>
      </c>
      <c r="T210" s="40">
        <f t="shared" si="88"/>
        <v>0</v>
      </c>
      <c r="U210" s="40">
        <f t="shared" si="89"/>
        <v>1</v>
      </c>
      <c r="V210" s="40">
        <f t="shared" si="90"/>
        <v>0</v>
      </c>
      <c r="W210" s="40">
        <f t="shared" si="91"/>
        <v>0</v>
      </c>
      <c r="X210" s="40">
        <f t="shared" si="92"/>
        <v>0</v>
      </c>
      <c r="Y210" s="40">
        <f t="shared" si="93"/>
        <v>0</v>
      </c>
      <c r="Z210" s="40">
        <f t="shared" si="94"/>
        <v>0</v>
      </c>
      <c r="AA210" s="40">
        <f t="shared" si="95"/>
        <v>0</v>
      </c>
      <c r="AB210" s="40">
        <f t="shared" si="96"/>
        <v>1</v>
      </c>
      <c r="AC210" s="40">
        <f t="shared" si="97"/>
        <v>0</v>
      </c>
      <c r="AD210" s="40">
        <f t="shared" si="98"/>
        <v>0</v>
      </c>
      <c r="AE210" s="40">
        <f t="shared" si="99"/>
        <v>0</v>
      </c>
      <c r="AF210" s="40">
        <f t="shared" si="100"/>
        <v>0</v>
      </c>
      <c r="AG210" s="40">
        <f t="shared" si="101"/>
        <v>0</v>
      </c>
      <c r="AH210" s="40">
        <f t="shared" si="102"/>
        <v>0</v>
      </c>
      <c r="AI210" s="40">
        <f t="shared" si="103"/>
        <v>0</v>
      </c>
      <c r="AJ210" s="40">
        <f t="shared" si="104"/>
        <v>0</v>
      </c>
      <c r="AK210" s="40">
        <f t="shared" si="105"/>
        <v>0</v>
      </c>
      <c r="AL210" s="40">
        <f t="shared" si="106"/>
        <v>1</v>
      </c>
      <c r="AM210" s="40">
        <f t="shared" si="107"/>
        <v>0</v>
      </c>
      <c r="AN210" s="40">
        <f t="shared" si="108"/>
        <v>0</v>
      </c>
      <c r="AO210" s="40">
        <f t="shared" si="109"/>
        <v>0</v>
      </c>
      <c r="AP210" s="40">
        <f t="shared" si="110"/>
        <v>0</v>
      </c>
      <c r="AQ210" s="40">
        <f t="shared" si="111"/>
        <v>0</v>
      </c>
      <c r="AR210" s="40">
        <f t="shared" si="112"/>
        <v>0</v>
      </c>
      <c r="AS210" s="40">
        <f t="shared" si="113"/>
        <v>0</v>
      </c>
    </row>
    <row r="211" spans="2:45" s="2" customFormat="1" ht="14.4" customHeight="1" x14ac:dyDescent="0.25">
      <c r="B211" s="56" t="s">
        <v>20</v>
      </c>
      <c r="C211" s="57" t="s">
        <v>25</v>
      </c>
      <c r="D211" s="58" t="s">
        <v>24</v>
      </c>
      <c r="E211" s="62">
        <v>3.3900000000000011E-3</v>
      </c>
      <c r="F211" s="65">
        <f t="shared" si="114"/>
        <v>-5.6869253575897778</v>
      </c>
      <c r="S211" s="40">
        <f t="shared" si="87"/>
        <v>0</v>
      </c>
      <c r="T211" s="40">
        <f t="shared" si="88"/>
        <v>0</v>
      </c>
      <c r="U211" s="40">
        <f t="shared" si="89"/>
        <v>1</v>
      </c>
      <c r="V211" s="40">
        <f t="shared" si="90"/>
        <v>0</v>
      </c>
      <c r="W211" s="40">
        <f t="shared" si="91"/>
        <v>0</v>
      </c>
      <c r="X211" s="40">
        <f t="shared" si="92"/>
        <v>0</v>
      </c>
      <c r="Y211" s="40">
        <f t="shared" si="93"/>
        <v>0</v>
      </c>
      <c r="Z211" s="40">
        <f t="shared" si="94"/>
        <v>0</v>
      </c>
      <c r="AA211" s="40">
        <f t="shared" si="95"/>
        <v>0</v>
      </c>
      <c r="AB211" s="40">
        <f t="shared" si="96"/>
        <v>1</v>
      </c>
      <c r="AC211" s="40">
        <f t="shared" si="97"/>
        <v>0</v>
      </c>
      <c r="AD211" s="40">
        <f t="shared" si="98"/>
        <v>0</v>
      </c>
      <c r="AE211" s="40">
        <f t="shared" si="99"/>
        <v>0</v>
      </c>
      <c r="AF211" s="40">
        <f t="shared" si="100"/>
        <v>0</v>
      </c>
      <c r="AG211" s="40">
        <f t="shared" si="101"/>
        <v>0</v>
      </c>
      <c r="AH211" s="40">
        <f t="shared" si="102"/>
        <v>0</v>
      </c>
      <c r="AI211" s="40">
        <f t="shared" si="103"/>
        <v>1</v>
      </c>
      <c r="AJ211" s="40">
        <f t="shared" si="104"/>
        <v>0</v>
      </c>
      <c r="AK211" s="40">
        <f t="shared" si="105"/>
        <v>0</v>
      </c>
      <c r="AL211" s="40">
        <f t="shared" si="106"/>
        <v>0</v>
      </c>
      <c r="AM211" s="40">
        <f t="shared" si="107"/>
        <v>0</v>
      </c>
      <c r="AN211" s="40">
        <f t="shared" si="108"/>
        <v>0</v>
      </c>
      <c r="AO211" s="40">
        <f t="shared" si="109"/>
        <v>0</v>
      </c>
      <c r="AP211" s="40">
        <f t="shared" si="110"/>
        <v>0</v>
      </c>
      <c r="AQ211" s="40">
        <f t="shared" si="111"/>
        <v>0</v>
      </c>
      <c r="AR211" s="40">
        <f t="shared" si="112"/>
        <v>0</v>
      </c>
      <c r="AS211" s="40">
        <f t="shared" si="113"/>
        <v>0</v>
      </c>
    </row>
    <row r="212" spans="2:45" s="2" customFormat="1" ht="14.4" customHeight="1" x14ac:dyDescent="0.25">
      <c r="B212" s="56" t="s">
        <v>20</v>
      </c>
      <c r="C212" s="57" t="s">
        <v>25</v>
      </c>
      <c r="D212" s="58" t="s">
        <v>28</v>
      </c>
      <c r="E212" s="62">
        <v>3.8199999999999996E-3</v>
      </c>
      <c r="F212" s="65">
        <f t="shared" si="114"/>
        <v>-5.5675048563636533</v>
      </c>
      <c r="S212" s="40">
        <f t="shared" si="87"/>
        <v>0</v>
      </c>
      <c r="T212" s="40">
        <f t="shared" si="88"/>
        <v>0</v>
      </c>
      <c r="U212" s="40">
        <f t="shared" si="89"/>
        <v>1</v>
      </c>
      <c r="V212" s="40">
        <f t="shared" si="90"/>
        <v>0</v>
      </c>
      <c r="W212" s="40">
        <f t="shared" si="91"/>
        <v>0</v>
      </c>
      <c r="X212" s="40">
        <f t="shared" si="92"/>
        <v>0</v>
      </c>
      <c r="Y212" s="40">
        <f t="shared" si="93"/>
        <v>0</v>
      </c>
      <c r="Z212" s="40">
        <f t="shared" si="94"/>
        <v>0</v>
      </c>
      <c r="AA212" s="40">
        <f t="shared" si="95"/>
        <v>0</v>
      </c>
      <c r="AB212" s="40">
        <f t="shared" si="96"/>
        <v>1</v>
      </c>
      <c r="AC212" s="40">
        <f t="shared" si="97"/>
        <v>0</v>
      </c>
      <c r="AD212" s="40">
        <f t="shared" si="98"/>
        <v>0</v>
      </c>
      <c r="AE212" s="40">
        <f t="shared" si="99"/>
        <v>0</v>
      </c>
      <c r="AF212" s="40">
        <f t="shared" si="100"/>
        <v>0</v>
      </c>
      <c r="AG212" s="40">
        <f t="shared" si="101"/>
        <v>0</v>
      </c>
      <c r="AH212" s="40">
        <f t="shared" si="102"/>
        <v>0</v>
      </c>
      <c r="AI212" s="40">
        <f t="shared" si="103"/>
        <v>0</v>
      </c>
      <c r="AJ212" s="40">
        <f t="shared" si="104"/>
        <v>0</v>
      </c>
      <c r="AK212" s="40">
        <f t="shared" si="105"/>
        <v>0</v>
      </c>
      <c r="AL212" s="40">
        <f t="shared" si="106"/>
        <v>1</v>
      </c>
      <c r="AM212" s="40">
        <f t="shared" si="107"/>
        <v>0</v>
      </c>
      <c r="AN212" s="40">
        <f t="shared" si="108"/>
        <v>0</v>
      </c>
      <c r="AO212" s="40">
        <f t="shared" si="109"/>
        <v>0</v>
      </c>
      <c r="AP212" s="40">
        <f t="shared" si="110"/>
        <v>0</v>
      </c>
      <c r="AQ212" s="40">
        <f t="shared" si="111"/>
        <v>0</v>
      </c>
      <c r="AR212" s="40">
        <f t="shared" si="112"/>
        <v>0</v>
      </c>
      <c r="AS212" s="40">
        <f t="shared" si="113"/>
        <v>0</v>
      </c>
    </row>
    <row r="213" spans="2:45" s="2" customFormat="1" ht="14.4" customHeight="1" x14ac:dyDescent="0.25">
      <c r="B213" s="56" t="s">
        <v>20</v>
      </c>
      <c r="C213" s="57" t="s">
        <v>25</v>
      </c>
      <c r="D213" s="58" t="s">
        <v>24</v>
      </c>
      <c r="E213" s="62">
        <v>6.0399999999999994E-3</v>
      </c>
      <c r="F213" s="65">
        <f t="shared" si="114"/>
        <v>-5.1093512670354135</v>
      </c>
      <c r="S213" s="40">
        <f t="shared" si="87"/>
        <v>0</v>
      </c>
      <c r="T213" s="40">
        <f t="shared" si="88"/>
        <v>0</v>
      </c>
      <c r="U213" s="40">
        <f t="shared" si="89"/>
        <v>1</v>
      </c>
      <c r="V213" s="40">
        <f t="shared" si="90"/>
        <v>0</v>
      </c>
      <c r="W213" s="40">
        <f t="shared" si="91"/>
        <v>0</v>
      </c>
      <c r="X213" s="40">
        <f t="shared" si="92"/>
        <v>0</v>
      </c>
      <c r="Y213" s="40">
        <f t="shared" si="93"/>
        <v>0</v>
      </c>
      <c r="Z213" s="40">
        <f t="shared" si="94"/>
        <v>0</v>
      </c>
      <c r="AA213" s="40">
        <f t="shared" si="95"/>
        <v>0</v>
      </c>
      <c r="AB213" s="40">
        <f t="shared" si="96"/>
        <v>1</v>
      </c>
      <c r="AC213" s="40">
        <f t="shared" si="97"/>
        <v>0</v>
      </c>
      <c r="AD213" s="40">
        <f t="shared" si="98"/>
        <v>0</v>
      </c>
      <c r="AE213" s="40">
        <f t="shared" si="99"/>
        <v>0</v>
      </c>
      <c r="AF213" s="40">
        <f t="shared" si="100"/>
        <v>0</v>
      </c>
      <c r="AG213" s="40">
        <f t="shared" si="101"/>
        <v>0</v>
      </c>
      <c r="AH213" s="40">
        <f t="shared" si="102"/>
        <v>0</v>
      </c>
      <c r="AI213" s="40">
        <f t="shared" si="103"/>
        <v>0</v>
      </c>
      <c r="AJ213" s="40">
        <f t="shared" si="104"/>
        <v>0</v>
      </c>
      <c r="AK213" s="40">
        <f t="shared" si="105"/>
        <v>0</v>
      </c>
      <c r="AL213" s="40">
        <f t="shared" si="106"/>
        <v>1</v>
      </c>
      <c r="AM213" s="40">
        <f t="shared" si="107"/>
        <v>0</v>
      </c>
      <c r="AN213" s="40">
        <f t="shared" si="108"/>
        <v>0</v>
      </c>
      <c r="AO213" s="40">
        <f t="shared" si="109"/>
        <v>0</v>
      </c>
      <c r="AP213" s="40">
        <f t="shared" si="110"/>
        <v>0</v>
      </c>
      <c r="AQ213" s="40">
        <f t="shared" si="111"/>
        <v>0</v>
      </c>
      <c r="AR213" s="40">
        <f t="shared" si="112"/>
        <v>0</v>
      </c>
      <c r="AS213" s="40">
        <f t="shared" si="113"/>
        <v>0</v>
      </c>
    </row>
    <row r="214" spans="2:45" s="2" customFormat="1" ht="14.4" customHeight="1" x14ac:dyDescent="0.25">
      <c r="B214" s="56" t="s">
        <v>20</v>
      </c>
      <c r="C214" s="57" t="s">
        <v>25</v>
      </c>
      <c r="D214" s="58" t="s">
        <v>24</v>
      </c>
      <c r="E214" s="62">
        <v>4.0900000000000008E-3</v>
      </c>
      <c r="F214" s="65">
        <f t="shared" si="114"/>
        <v>-5.4992103089274265</v>
      </c>
      <c r="S214" s="40">
        <f t="shared" si="87"/>
        <v>0</v>
      </c>
      <c r="T214" s="40">
        <f t="shared" si="88"/>
        <v>0</v>
      </c>
      <c r="U214" s="40">
        <f t="shared" si="89"/>
        <v>1</v>
      </c>
      <c r="V214" s="40">
        <f t="shared" si="90"/>
        <v>0</v>
      </c>
      <c r="W214" s="40">
        <f t="shared" si="91"/>
        <v>0</v>
      </c>
      <c r="X214" s="40">
        <f t="shared" si="92"/>
        <v>0</v>
      </c>
      <c r="Y214" s="40">
        <f t="shared" si="93"/>
        <v>0</v>
      </c>
      <c r="Z214" s="40">
        <f t="shared" si="94"/>
        <v>0</v>
      </c>
      <c r="AA214" s="40">
        <f t="shared" si="95"/>
        <v>0</v>
      </c>
      <c r="AB214" s="40">
        <f t="shared" si="96"/>
        <v>1</v>
      </c>
      <c r="AC214" s="40">
        <f t="shared" si="97"/>
        <v>0</v>
      </c>
      <c r="AD214" s="40">
        <f t="shared" si="98"/>
        <v>0</v>
      </c>
      <c r="AE214" s="40">
        <f t="shared" si="99"/>
        <v>0</v>
      </c>
      <c r="AF214" s="40">
        <f t="shared" si="100"/>
        <v>0</v>
      </c>
      <c r="AG214" s="40">
        <f t="shared" si="101"/>
        <v>0</v>
      </c>
      <c r="AH214" s="40">
        <f t="shared" si="102"/>
        <v>1</v>
      </c>
      <c r="AI214" s="40">
        <f t="shared" si="103"/>
        <v>0</v>
      </c>
      <c r="AJ214" s="40">
        <f t="shared" si="104"/>
        <v>0</v>
      </c>
      <c r="AK214" s="40">
        <f t="shared" si="105"/>
        <v>0</v>
      </c>
      <c r="AL214" s="40">
        <f t="shared" si="106"/>
        <v>0</v>
      </c>
      <c r="AM214" s="40">
        <f t="shared" si="107"/>
        <v>0</v>
      </c>
      <c r="AN214" s="40">
        <f t="shared" si="108"/>
        <v>0</v>
      </c>
      <c r="AO214" s="40">
        <f t="shared" si="109"/>
        <v>0</v>
      </c>
      <c r="AP214" s="40">
        <f t="shared" si="110"/>
        <v>0</v>
      </c>
      <c r="AQ214" s="40">
        <f t="shared" si="111"/>
        <v>0</v>
      </c>
      <c r="AR214" s="40">
        <f t="shared" si="112"/>
        <v>0</v>
      </c>
      <c r="AS214" s="40">
        <f t="shared" si="113"/>
        <v>0</v>
      </c>
    </row>
    <row r="215" spans="2:45" s="2" customFormat="1" ht="14.4" customHeight="1" x14ac:dyDescent="0.25">
      <c r="B215" s="56" t="s">
        <v>20</v>
      </c>
      <c r="C215" s="57" t="s">
        <v>25</v>
      </c>
      <c r="D215" s="58" t="s">
        <v>27</v>
      </c>
      <c r="E215" s="62">
        <v>2.1099999999999999E-3</v>
      </c>
      <c r="F215" s="65">
        <f t="shared" si="114"/>
        <v>-6.161067331494162</v>
      </c>
      <c r="S215" s="40">
        <f t="shared" si="87"/>
        <v>0</v>
      </c>
      <c r="T215" s="40">
        <f t="shared" si="88"/>
        <v>0</v>
      </c>
      <c r="U215" s="40">
        <f t="shared" si="89"/>
        <v>1</v>
      </c>
      <c r="V215" s="40">
        <f t="shared" si="90"/>
        <v>0</v>
      </c>
      <c r="W215" s="40">
        <f t="shared" si="91"/>
        <v>0</v>
      </c>
      <c r="X215" s="40">
        <f t="shared" si="92"/>
        <v>0</v>
      </c>
      <c r="Y215" s="40">
        <f t="shared" si="93"/>
        <v>0</v>
      </c>
      <c r="Z215" s="40">
        <f t="shared" si="94"/>
        <v>0</v>
      </c>
      <c r="AA215" s="40">
        <f t="shared" si="95"/>
        <v>0</v>
      </c>
      <c r="AB215" s="40">
        <f t="shared" si="96"/>
        <v>1</v>
      </c>
      <c r="AC215" s="40">
        <f t="shared" si="97"/>
        <v>0</v>
      </c>
      <c r="AD215" s="40">
        <f t="shared" si="98"/>
        <v>0</v>
      </c>
      <c r="AE215" s="40">
        <f t="shared" si="99"/>
        <v>0</v>
      </c>
      <c r="AF215" s="40">
        <f t="shared" si="100"/>
        <v>0</v>
      </c>
      <c r="AG215" s="40">
        <f t="shared" si="101"/>
        <v>0</v>
      </c>
      <c r="AH215" s="40">
        <f t="shared" si="102"/>
        <v>0</v>
      </c>
      <c r="AI215" s="40">
        <f t="shared" si="103"/>
        <v>0</v>
      </c>
      <c r="AJ215" s="40">
        <f t="shared" si="104"/>
        <v>0</v>
      </c>
      <c r="AK215" s="40">
        <f t="shared" si="105"/>
        <v>0</v>
      </c>
      <c r="AL215" s="40">
        <f t="shared" si="106"/>
        <v>1</v>
      </c>
      <c r="AM215" s="40">
        <f t="shared" si="107"/>
        <v>0</v>
      </c>
      <c r="AN215" s="40">
        <f t="shared" si="108"/>
        <v>0</v>
      </c>
      <c r="AO215" s="40">
        <f t="shared" si="109"/>
        <v>0</v>
      </c>
      <c r="AP215" s="40">
        <f t="shared" si="110"/>
        <v>0</v>
      </c>
      <c r="AQ215" s="40">
        <f t="shared" si="111"/>
        <v>0</v>
      </c>
      <c r="AR215" s="40">
        <f t="shared" si="112"/>
        <v>0</v>
      </c>
      <c r="AS215" s="40">
        <f t="shared" si="113"/>
        <v>0</v>
      </c>
    </row>
    <row r="216" spans="2:45" s="2" customFormat="1" ht="14.4" customHeight="1" x14ac:dyDescent="0.25">
      <c r="B216" s="56" t="s">
        <v>20</v>
      </c>
      <c r="C216" s="57" t="s">
        <v>25</v>
      </c>
      <c r="D216" s="58" t="s">
        <v>24</v>
      </c>
      <c r="E216" s="62">
        <v>3.0500000000000002E-3</v>
      </c>
      <c r="F216" s="65">
        <f t="shared" si="114"/>
        <v>-5.7926136883628168</v>
      </c>
      <c r="S216" s="40">
        <f t="shared" si="87"/>
        <v>0</v>
      </c>
      <c r="T216" s="40">
        <f t="shared" si="88"/>
        <v>0</v>
      </c>
      <c r="U216" s="40">
        <f t="shared" si="89"/>
        <v>1</v>
      </c>
      <c r="V216" s="40">
        <f t="shared" si="90"/>
        <v>0</v>
      </c>
      <c r="W216" s="40">
        <f t="shared" si="91"/>
        <v>0</v>
      </c>
      <c r="X216" s="40">
        <f t="shared" si="92"/>
        <v>0</v>
      </c>
      <c r="Y216" s="40">
        <f t="shared" si="93"/>
        <v>0</v>
      </c>
      <c r="Z216" s="40">
        <f t="shared" si="94"/>
        <v>0</v>
      </c>
      <c r="AA216" s="40">
        <f t="shared" si="95"/>
        <v>0</v>
      </c>
      <c r="AB216" s="40">
        <f t="shared" si="96"/>
        <v>1</v>
      </c>
      <c r="AC216" s="40">
        <f t="shared" si="97"/>
        <v>0</v>
      </c>
      <c r="AD216" s="40">
        <f t="shared" si="98"/>
        <v>0</v>
      </c>
      <c r="AE216" s="40">
        <f t="shared" si="99"/>
        <v>0</v>
      </c>
      <c r="AF216" s="40">
        <f t="shared" si="100"/>
        <v>0</v>
      </c>
      <c r="AG216" s="40">
        <f t="shared" si="101"/>
        <v>0</v>
      </c>
      <c r="AH216" s="40">
        <f t="shared" si="102"/>
        <v>0</v>
      </c>
      <c r="AI216" s="40">
        <f t="shared" si="103"/>
        <v>0</v>
      </c>
      <c r="AJ216" s="40">
        <f t="shared" si="104"/>
        <v>0</v>
      </c>
      <c r="AK216" s="40">
        <f t="shared" si="105"/>
        <v>0</v>
      </c>
      <c r="AL216" s="40">
        <f t="shared" si="106"/>
        <v>0</v>
      </c>
      <c r="AM216" s="40">
        <f t="shared" si="107"/>
        <v>0</v>
      </c>
      <c r="AN216" s="40">
        <f t="shared" si="108"/>
        <v>0</v>
      </c>
      <c r="AO216" s="40">
        <f t="shared" si="109"/>
        <v>0</v>
      </c>
      <c r="AP216" s="40">
        <f t="shared" si="110"/>
        <v>0</v>
      </c>
      <c r="AQ216" s="40">
        <f t="shared" si="111"/>
        <v>0</v>
      </c>
      <c r="AR216" s="40">
        <f t="shared" si="112"/>
        <v>0</v>
      </c>
      <c r="AS216" s="40">
        <f t="shared" si="113"/>
        <v>1</v>
      </c>
    </row>
    <row r="217" spans="2:45" s="2" customFormat="1" ht="14.4" customHeight="1" x14ac:dyDescent="0.25">
      <c r="B217" s="56" t="s">
        <v>20</v>
      </c>
      <c r="C217" s="57" t="s">
        <v>25</v>
      </c>
      <c r="D217" s="58" t="s">
        <v>22</v>
      </c>
      <c r="E217" s="62">
        <v>4.8199999999999988E-3</v>
      </c>
      <c r="F217" s="65">
        <f t="shared" si="114"/>
        <v>-5.3349813509196284</v>
      </c>
      <c r="S217" s="40">
        <f t="shared" si="87"/>
        <v>0</v>
      </c>
      <c r="T217" s="40">
        <f t="shared" si="88"/>
        <v>0</v>
      </c>
      <c r="U217" s="40">
        <f t="shared" si="89"/>
        <v>1</v>
      </c>
      <c r="V217" s="40">
        <f t="shared" si="90"/>
        <v>0</v>
      </c>
      <c r="W217" s="40">
        <f t="shared" si="91"/>
        <v>0</v>
      </c>
      <c r="X217" s="40">
        <f t="shared" si="92"/>
        <v>0</v>
      </c>
      <c r="Y217" s="40">
        <f t="shared" si="93"/>
        <v>0</v>
      </c>
      <c r="Z217" s="40">
        <f t="shared" si="94"/>
        <v>0</v>
      </c>
      <c r="AA217" s="40">
        <f t="shared" si="95"/>
        <v>0</v>
      </c>
      <c r="AB217" s="40">
        <f t="shared" si="96"/>
        <v>1</v>
      </c>
      <c r="AC217" s="40">
        <f t="shared" si="97"/>
        <v>0</v>
      </c>
      <c r="AD217" s="40">
        <f t="shared" si="98"/>
        <v>0</v>
      </c>
      <c r="AE217" s="40">
        <f t="shared" si="99"/>
        <v>0</v>
      </c>
      <c r="AF217" s="40">
        <f t="shared" si="100"/>
        <v>0</v>
      </c>
      <c r="AG217" s="40">
        <f t="shared" si="101"/>
        <v>0</v>
      </c>
      <c r="AH217" s="40">
        <f t="shared" si="102"/>
        <v>0</v>
      </c>
      <c r="AI217" s="40">
        <f t="shared" si="103"/>
        <v>0</v>
      </c>
      <c r="AJ217" s="40">
        <f t="shared" si="104"/>
        <v>0</v>
      </c>
      <c r="AK217" s="40">
        <f t="shared" si="105"/>
        <v>0</v>
      </c>
      <c r="AL217" s="40">
        <f t="shared" si="106"/>
        <v>1</v>
      </c>
      <c r="AM217" s="40">
        <f t="shared" si="107"/>
        <v>0</v>
      </c>
      <c r="AN217" s="40">
        <f t="shared" si="108"/>
        <v>0</v>
      </c>
      <c r="AO217" s="40">
        <f t="shared" si="109"/>
        <v>0</v>
      </c>
      <c r="AP217" s="40">
        <f t="shared" si="110"/>
        <v>0</v>
      </c>
      <c r="AQ217" s="40">
        <f t="shared" si="111"/>
        <v>0</v>
      </c>
      <c r="AR217" s="40">
        <f t="shared" si="112"/>
        <v>0</v>
      </c>
      <c r="AS217" s="40">
        <f t="shared" si="113"/>
        <v>0</v>
      </c>
    </row>
    <row r="218" spans="2:45" s="2" customFormat="1" ht="14.4" customHeight="1" x14ac:dyDescent="0.25">
      <c r="B218" s="56" t="s">
        <v>20</v>
      </c>
      <c r="C218" s="57" t="s">
        <v>25</v>
      </c>
      <c r="D218" s="58" t="s">
        <v>24</v>
      </c>
      <c r="E218" s="62">
        <v>4.4900000000000001E-3</v>
      </c>
      <c r="F218" s="65">
        <f t="shared" si="114"/>
        <v>-5.4059025772279741</v>
      </c>
      <c r="S218" s="40">
        <f t="shared" si="87"/>
        <v>0</v>
      </c>
      <c r="T218" s="40">
        <f t="shared" si="88"/>
        <v>0</v>
      </c>
      <c r="U218" s="40">
        <f t="shared" si="89"/>
        <v>1</v>
      </c>
      <c r="V218" s="40">
        <f t="shared" si="90"/>
        <v>0</v>
      </c>
      <c r="W218" s="40">
        <f t="shared" si="91"/>
        <v>0</v>
      </c>
      <c r="X218" s="40">
        <f t="shared" si="92"/>
        <v>0</v>
      </c>
      <c r="Y218" s="40">
        <f t="shared" si="93"/>
        <v>0</v>
      </c>
      <c r="Z218" s="40">
        <f t="shared" si="94"/>
        <v>0</v>
      </c>
      <c r="AA218" s="40">
        <f t="shared" si="95"/>
        <v>0</v>
      </c>
      <c r="AB218" s="40">
        <f t="shared" si="96"/>
        <v>1</v>
      </c>
      <c r="AC218" s="40">
        <f t="shared" si="97"/>
        <v>0</v>
      </c>
      <c r="AD218" s="40">
        <f t="shared" si="98"/>
        <v>0</v>
      </c>
      <c r="AE218" s="40">
        <f t="shared" si="99"/>
        <v>0</v>
      </c>
      <c r="AF218" s="40">
        <f t="shared" si="100"/>
        <v>0</v>
      </c>
      <c r="AG218" s="40">
        <f t="shared" si="101"/>
        <v>0</v>
      </c>
      <c r="AH218" s="40">
        <f t="shared" si="102"/>
        <v>0</v>
      </c>
      <c r="AI218" s="40">
        <f t="shared" si="103"/>
        <v>0</v>
      </c>
      <c r="AJ218" s="40">
        <f t="shared" si="104"/>
        <v>0</v>
      </c>
      <c r="AK218" s="40">
        <f t="shared" si="105"/>
        <v>0</v>
      </c>
      <c r="AL218" s="40">
        <f t="shared" si="106"/>
        <v>1</v>
      </c>
      <c r="AM218" s="40">
        <f t="shared" si="107"/>
        <v>0</v>
      </c>
      <c r="AN218" s="40">
        <f t="shared" si="108"/>
        <v>0</v>
      </c>
      <c r="AO218" s="40">
        <f t="shared" si="109"/>
        <v>0</v>
      </c>
      <c r="AP218" s="40">
        <f t="shared" si="110"/>
        <v>0</v>
      </c>
      <c r="AQ218" s="40">
        <f t="shared" si="111"/>
        <v>0</v>
      </c>
      <c r="AR218" s="40">
        <f t="shared" si="112"/>
        <v>0</v>
      </c>
      <c r="AS218" s="40">
        <f t="shared" si="113"/>
        <v>0</v>
      </c>
    </row>
    <row r="219" spans="2:45" s="2" customFormat="1" ht="14.4" customHeight="1" x14ac:dyDescent="0.25">
      <c r="B219" s="56" t="s">
        <v>20</v>
      </c>
      <c r="C219" s="57" t="s">
        <v>25</v>
      </c>
      <c r="D219" s="58" t="s">
        <v>24</v>
      </c>
      <c r="E219" s="62">
        <v>4.5800000000000007E-3</v>
      </c>
      <c r="F219" s="65">
        <f t="shared" si="114"/>
        <v>-5.3860562808560433</v>
      </c>
      <c r="S219" s="40">
        <f t="shared" si="87"/>
        <v>0</v>
      </c>
      <c r="T219" s="40">
        <f t="shared" si="88"/>
        <v>0</v>
      </c>
      <c r="U219" s="40">
        <f t="shared" si="89"/>
        <v>1</v>
      </c>
      <c r="V219" s="40">
        <f t="shared" si="90"/>
        <v>0</v>
      </c>
      <c r="W219" s="40">
        <f t="shared" si="91"/>
        <v>0</v>
      </c>
      <c r="X219" s="40">
        <f t="shared" si="92"/>
        <v>0</v>
      </c>
      <c r="Y219" s="40">
        <f t="shared" si="93"/>
        <v>0</v>
      </c>
      <c r="Z219" s="40">
        <f t="shared" si="94"/>
        <v>0</v>
      </c>
      <c r="AA219" s="40">
        <f t="shared" si="95"/>
        <v>0</v>
      </c>
      <c r="AB219" s="40">
        <f t="shared" si="96"/>
        <v>1</v>
      </c>
      <c r="AC219" s="40">
        <f t="shared" si="97"/>
        <v>0</v>
      </c>
      <c r="AD219" s="40">
        <f t="shared" si="98"/>
        <v>0</v>
      </c>
      <c r="AE219" s="40">
        <f t="shared" si="99"/>
        <v>0</v>
      </c>
      <c r="AF219" s="40">
        <f t="shared" si="100"/>
        <v>0</v>
      </c>
      <c r="AG219" s="40">
        <f t="shared" si="101"/>
        <v>0</v>
      </c>
      <c r="AH219" s="40">
        <f t="shared" si="102"/>
        <v>0</v>
      </c>
      <c r="AI219" s="40">
        <f t="shared" si="103"/>
        <v>0</v>
      </c>
      <c r="AJ219" s="40">
        <f t="shared" si="104"/>
        <v>1</v>
      </c>
      <c r="AK219" s="40">
        <f t="shared" si="105"/>
        <v>0</v>
      </c>
      <c r="AL219" s="40">
        <f t="shared" si="106"/>
        <v>0</v>
      </c>
      <c r="AM219" s="40">
        <f t="shared" si="107"/>
        <v>0</v>
      </c>
      <c r="AN219" s="40">
        <f t="shared" si="108"/>
        <v>0</v>
      </c>
      <c r="AO219" s="40">
        <f t="shared" si="109"/>
        <v>0</v>
      </c>
      <c r="AP219" s="40">
        <f t="shared" si="110"/>
        <v>0</v>
      </c>
      <c r="AQ219" s="40">
        <f t="shared" si="111"/>
        <v>0</v>
      </c>
      <c r="AR219" s="40">
        <f t="shared" si="112"/>
        <v>0</v>
      </c>
      <c r="AS219" s="40">
        <f t="shared" si="113"/>
        <v>0</v>
      </c>
    </row>
    <row r="220" spans="2:45" s="2" customFormat="1" ht="14.4" customHeight="1" x14ac:dyDescent="0.25">
      <c r="B220" s="56" t="s">
        <v>20</v>
      </c>
      <c r="C220" s="57" t="s">
        <v>25</v>
      </c>
      <c r="D220" s="58" t="s">
        <v>37</v>
      </c>
      <c r="E220" s="62">
        <v>2.4099999999999989E-3</v>
      </c>
      <c r="F220" s="65">
        <f t="shared" si="114"/>
        <v>-6.0281285314795738</v>
      </c>
      <c r="S220" s="40">
        <f t="shared" si="87"/>
        <v>0</v>
      </c>
      <c r="T220" s="40">
        <f t="shared" si="88"/>
        <v>0</v>
      </c>
      <c r="U220" s="40">
        <f t="shared" si="89"/>
        <v>1</v>
      </c>
      <c r="V220" s="40">
        <f t="shared" si="90"/>
        <v>0</v>
      </c>
      <c r="W220" s="40">
        <f t="shared" si="91"/>
        <v>0</v>
      </c>
      <c r="X220" s="40">
        <f t="shared" si="92"/>
        <v>0</v>
      </c>
      <c r="Y220" s="40">
        <f t="shared" si="93"/>
        <v>0</v>
      </c>
      <c r="Z220" s="40">
        <f t="shared" si="94"/>
        <v>0</v>
      </c>
      <c r="AA220" s="40">
        <f t="shared" si="95"/>
        <v>0</v>
      </c>
      <c r="AB220" s="40">
        <f t="shared" si="96"/>
        <v>1</v>
      </c>
      <c r="AC220" s="40">
        <f t="shared" si="97"/>
        <v>0</v>
      </c>
      <c r="AD220" s="40">
        <f t="shared" si="98"/>
        <v>0</v>
      </c>
      <c r="AE220" s="40">
        <f t="shared" si="99"/>
        <v>0</v>
      </c>
      <c r="AF220" s="40">
        <f t="shared" si="100"/>
        <v>0</v>
      </c>
      <c r="AG220" s="40">
        <f t="shared" si="101"/>
        <v>0</v>
      </c>
      <c r="AH220" s="40">
        <f t="shared" si="102"/>
        <v>0</v>
      </c>
      <c r="AI220" s="40">
        <f t="shared" si="103"/>
        <v>1</v>
      </c>
      <c r="AJ220" s="40">
        <f t="shared" si="104"/>
        <v>0</v>
      </c>
      <c r="AK220" s="40">
        <f t="shared" si="105"/>
        <v>0</v>
      </c>
      <c r="AL220" s="40">
        <f t="shared" si="106"/>
        <v>0</v>
      </c>
      <c r="AM220" s="40">
        <f t="shared" si="107"/>
        <v>0</v>
      </c>
      <c r="AN220" s="40">
        <f t="shared" si="108"/>
        <v>0</v>
      </c>
      <c r="AO220" s="40">
        <f t="shared" si="109"/>
        <v>0</v>
      </c>
      <c r="AP220" s="40">
        <f t="shared" si="110"/>
        <v>0</v>
      </c>
      <c r="AQ220" s="40">
        <f t="shared" si="111"/>
        <v>0</v>
      </c>
      <c r="AR220" s="40">
        <f t="shared" si="112"/>
        <v>0</v>
      </c>
      <c r="AS220" s="40">
        <f t="shared" si="113"/>
        <v>0</v>
      </c>
    </row>
    <row r="221" spans="2:45" s="2" customFormat="1" ht="14.4" customHeight="1" x14ac:dyDescent="0.25">
      <c r="B221" s="56" t="s">
        <v>20</v>
      </c>
      <c r="C221" s="57" t="s">
        <v>25</v>
      </c>
      <c r="D221" s="58" t="s">
        <v>28</v>
      </c>
      <c r="E221" s="62">
        <v>6.729999999999999E-3</v>
      </c>
      <c r="F221" s="65">
        <f t="shared" si="114"/>
        <v>-5.0011801353255008</v>
      </c>
      <c r="S221" s="40">
        <f t="shared" si="87"/>
        <v>0</v>
      </c>
      <c r="T221" s="40">
        <f t="shared" si="88"/>
        <v>0</v>
      </c>
      <c r="U221" s="40">
        <f t="shared" si="89"/>
        <v>1</v>
      </c>
      <c r="V221" s="40">
        <f t="shared" si="90"/>
        <v>0</v>
      </c>
      <c r="W221" s="40">
        <f t="shared" si="91"/>
        <v>0</v>
      </c>
      <c r="X221" s="40">
        <f t="shared" si="92"/>
        <v>0</v>
      </c>
      <c r="Y221" s="40">
        <f t="shared" si="93"/>
        <v>0</v>
      </c>
      <c r="Z221" s="40">
        <f t="shared" si="94"/>
        <v>0</v>
      </c>
      <c r="AA221" s="40">
        <f t="shared" si="95"/>
        <v>0</v>
      </c>
      <c r="AB221" s="40">
        <f t="shared" si="96"/>
        <v>1</v>
      </c>
      <c r="AC221" s="40">
        <f t="shared" si="97"/>
        <v>0</v>
      </c>
      <c r="AD221" s="40">
        <f t="shared" si="98"/>
        <v>0</v>
      </c>
      <c r="AE221" s="40">
        <f t="shared" si="99"/>
        <v>0</v>
      </c>
      <c r="AF221" s="40">
        <f t="shared" si="100"/>
        <v>0</v>
      </c>
      <c r="AG221" s="40">
        <f t="shared" si="101"/>
        <v>0</v>
      </c>
      <c r="AH221" s="40">
        <f t="shared" si="102"/>
        <v>0</v>
      </c>
      <c r="AI221" s="40">
        <f t="shared" si="103"/>
        <v>0</v>
      </c>
      <c r="AJ221" s="40">
        <f t="shared" si="104"/>
        <v>0</v>
      </c>
      <c r="AK221" s="40">
        <f t="shared" si="105"/>
        <v>0</v>
      </c>
      <c r="AL221" s="40">
        <f t="shared" si="106"/>
        <v>0</v>
      </c>
      <c r="AM221" s="40">
        <f t="shared" si="107"/>
        <v>0</v>
      </c>
      <c r="AN221" s="40">
        <f t="shared" si="108"/>
        <v>0</v>
      </c>
      <c r="AO221" s="40">
        <f t="shared" si="109"/>
        <v>1</v>
      </c>
      <c r="AP221" s="40">
        <f t="shared" si="110"/>
        <v>0</v>
      </c>
      <c r="AQ221" s="40">
        <f t="shared" si="111"/>
        <v>0</v>
      </c>
      <c r="AR221" s="40">
        <f t="shared" si="112"/>
        <v>0</v>
      </c>
      <c r="AS221" s="40">
        <f t="shared" si="113"/>
        <v>0</v>
      </c>
    </row>
    <row r="222" spans="2:45" s="2" customFormat="1" ht="14.4" customHeight="1" x14ac:dyDescent="0.25">
      <c r="B222" s="56" t="s">
        <v>20</v>
      </c>
      <c r="C222" s="57" t="s">
        <v>25</v>
      </c>
      <c r="D222" s="58" t="s">
        <v>31</v>
      </c>
      <c r="E222" s="62">
        <v>3.0399999999999997E-3</v>
      </c>
      <c r="F222" s="65">
        <f t="shared" si="114"/>
        <v>-5.7958977635640068</v>
      </c>
      <c r="S222" s="40">
        <f t="shared" si="87"/>
        <v>0</v>
      </c>
      <c r="T222" s="40">
        <f t="shared" si="88"/>
        <v>0</v>
      </c>
      <c r="U222" s="40">
        <f t="shared" si="89"/>
        <v>1</v>
      </c>
      <c r="V222" s="40">
        <f t="shared" si="90"/>
        <v>0</v>
      </c>
      <c r="W222" s="40">
        <f t="shared" si="91"/>
        <v>0</v>
      </c>
      <c r="X222" s="40">
        <f t="shared" si="92"/>
        <v>0</v>
      </c>
      <c r="Y222" s="40">
        <f t="shared" si="93"/>
        <v>0</v>
      </c>
      <c r="Z222" s="40">
        <f t="shared" si="94"/>
        <v>0</v>
      </c>
      <c r="AA222" s="40">
        <f t="shared" si="95"/>
        <v>0</v>
      </c>
      <c r="AB222" s="40">
        <f t="shared" si="96"/>
        <v>1</v>
      </c>
      <c r="AC222" s="40">
        <f t="shared" si="97"/>
        <v>0</v>
      </c>
      <c r="AD222" s="40">
        <f t="shared" si="98"/>
        <v>0</v>
      </c>
      <c r="AE222" s="40">
        <f t="shared" si="99"/>
        <v>0</v>
      </c>
      <c r="AF222" s="40">
        <f t="shared" si="100"/>
        <v>0</v>
      </c>
      <c r="AG222" s="40">
        <f t="shared" si="101"/>
        <v>0</v>
      </c>
      <c r="AH222" s="40">
        <f t="shared" si="102"/>
        <v>0</v>
      </c>
      <c r="AI222" s="40">
        <f t="shared" si="103"/>
        <v>0</v>
      </c>
      <c r="AJ222" s="40">
        <f t="shared" si="104"/>
        <v>0</v>
      </c>
      <c r="AK222" s="40">
        <f t="shared" si="105"/>
        <v>0</v>
      </c>
      <c r="AL222" s="40">
        <f t="shared" si="106"/>
        <v>1</v>
      </c>
      <c r="AM222" s="40">
        <f t="shared" si="107"/>
        <v>0</v>
      </c>
      <c r="AN222" s="40">
        <f t="shared" si="108"/>
        <v>0</v>
      </c>
      <c r="AO222" s="40">
        <f t="shared" si="109"/>
        <v>0</v>
      </c>
      <c r="AP222" s="40">
        <f t="shared" si="110"/>
        <v>0</v>
      </c>
      <c r="AQ222" s="40">
        <f t="shared" si="111"/>
        <v>0</v>
      </c>
      <c r="AR222" s="40">
        <f t="shared" si="112"/>
        <v>0</v>
      </c>
      <c r="AS222" s="40">
        <f t="shared" si="113"/>
        <v>0</v>
      </c>
    </row>
    <row r="223" spans="2:45" s="2" customFormat="1" ht="14.4" customHeight="1" x14ac:dyDescent="0.25">
      <c r="B223" s="56" t="s">
        <v>20</v>
      </c>
      <c r="C223" s="57" t="s">
        <v>25</v>
      </c>
      <c r="D223" s="58" t="s">
        <v>24</v>
      </c>
      <c r="E223" s="62">
        <v>7.2299999999999994E-3</v>
      </c>
      <c r="F223" s="65">
        <f t="shared" si="114"/>
        <v>-4.9295162428114638</v>
      </c>
      <c r="S223" s="40">
        <f t="shared" si="87"/>
        <v>0</v>
      </c>
      <c r="T223" s="40">
        <f t="shared" si="88"/>
        <v>0</v>
      </c>
      <c r="U223" s="40">
        <f t="shared" si="89"/>
        <v>1</v>
      </c>
      <c r="V223" s="40">
        <f t="shared" si="90"/>
        <v>0</v>
      </c>
      <c r="W223" s="40">
        <f t="shared" si="91"/>
        <v>0</v>
      </c>
      <c r="X223" s="40">
        <f t="shared" si="92"/>
        <v>0</v>
      </c>
      <c r="Y223" s="40">
        <f t="shared" si="93"/>
        <v>0</v>
      </c>
      <c r="Z223" s="40">
        <f t="shared" si="94"/>
        <v>0</v>
      </c>
      <c r="AA223" s="40">
        <f t="shared" si="95"/>
        <v>0</v>
      </c>
      <c r="AB223" s="40">
        <f t="shared" si="96"/>
        <v>1</v>
      </c>
      <c r="AC223" s="40">
        <f t="shared" si="97"/>
        <v>0</v>
      </c>
      <c r="AD223" s="40">
        <f t="shared" si="98"/>
        <v>0</v>
      </c>
      <c r="AE223" s="40">
        <f t="shared" si="99"/>
        <v>0</v>
      </c>
      <c r="AF223" s="40">
        <f t="shared" si="100"/>
        <v>0</v>
      </c>
      <c r="AG223" s="40">
        <f t="shared" si="101"/>
        <v>0</v>
      </c>
      <c r="AH223" s="40">
        <f t="shared" si="102"/>
        <v>0</v>
      </c>
      <c r="AI223" s="40">
        <f t="shared" si="103"/>
        <v>0</v>
      </c>
      <c r="AJ223" s="40">
        <f t="shared" si="104"/>
        <v>1</v>
      </c>
      <c r="AK223" s="40">
        <f t="shared" si="105"/>
        <v>0</v>
      </c>
      <c r="AL223" s="40">
        <f t="shared" si="106"/>
        <v>0</v>
      </c>
      <c r="AM223" s="40">
        <f t="shared" si="107"/>
        <v>0</v>
      </c>
      <c r="AN223" s="40">
        <f t="shared" si="108"/>
        <v>0</v>
      </c>
      <c r="AO223" s="40">
        <f t="shared" si="109"/>
        <v>0</v>
      </c>
      <c r="AP223" s="40">
        <f t="shared" si="110"/>
        <v>0</v>
      </c>
      <c r="AQ223" s="40">
        <f t="shared" si="111"/>
        <v>0</v>
      </c>
      <c r="AR223" s="40">
        <f t="shared" si="112"/>
        <v>0</v>
      </c>
      <c r="AS223" s="40">
        <f t="shared" si="113"/>
        <v>0</v>
      </c>
    </row>
    <row r="224" spans="2:45" s="2" customFormat="1" ht="14.4" customHeight="1" x14ac:dyDescent="0.25">
      <c r="B224" s="56" t="s">
        <v>20</v>
      </c>
      <c r="C224" s="57" t="s">
        <v>25</v>
      </c>
      <c r="D224" s="58" t="s">
        <v>37</v>
      </c>
      <c r="E224" s="62">
        <v>2.9300000000000003E-3</v>
      </c>
      <c r="F224" s="65">
        <f t="shared" si="114"/>
        <v>-5.832752855953161</v>
      </c>
      <c r="S224" s="40">
        <f t="shared" si="87"/>
        <v>0</v>
      </c>
      <c r="T224" s="40">
        <f t="shared" si="88"/>
        <v>0</v>
      </c>
      <c r="U224" s="40">
        <f t="shared" si="89"/>
        <v>1</v>
      </c>
      <c r="V224" s="40">
        <f t="shared" si="90"/>
        <v>0</v>
      </c>
      <c r="W224" s="40">
        <f t="shared" si="91"/>
        <v>0</v>
      </c>
      <c r="X224" s="40">
        <f t="shared" si="92"/>
        <v>0</v>
      </c>
      <c r="Y224" s="40">
        <f t="shared" si="93"/>
        <v>0</v>
      </c>
      <c r="Z224" s="40">
        <f t="shared" si="94"/>
        <v>0</v>
      </c>
      <c r="AA224" s="40">
        <f t="shared" si="95"/>
        <v>0</v>
      </c>
      <c r="AB224" s="40">
        <f t="shared" si="96"/>
        <v>1</v>
      </c>
      <c r="AC224" s="40">
        <f t="shared" si="97"/>
        <v>0</v>
      </c>
      <c r="AD224" s="40">
        <f t="shared" si="98"/>
        <v>0</v>
      </c>
      <c r="AE224" s="40">
        <f t="shared" si="99"/>
        <v>0</v>
      </c>
      <c r="AF224" s="40">
        <f t="shared" si="100"/>
        <v>0</v>
      </c>
      <c r="AG224" s="40">
        <f t="shared" si="101"/>
        <v>0</v>
      </c>
      <c r="AH224" s="40">
        <f t="shared" si="102"/>
        <v>0</v>
      </c>
      <c r="AI224" s="40">
        <f t="shared" si="103"/>
        <v>0</v>
      </c>
      <c r="AJ224" s="40">
        <f t="shared" si="104"/>
        <v>0</v>
      </c>
      <c r="AK224" s="40">
        <f t="shared" si="105"/>
        <v>0</v>
      </c>
      <c r="AL224" s="40">
        <f t="shared" si="106"/>
        <v>1</v>
      </c>
      <c r="AM224" s="40">
        <f t="shared" si="107"/>
        <v>0</v>
      </c>
      <c r="AN224" s="40">
        <f t="shared" si="108"/>
        <v>0</v>
      </c>
      <c r="AO224" s="40">
        <f t="shared" si="109"/>
        <v>0</v>
      </c>
      <c r="AP224" s="40">
        <f t="shared" si="110"/>
        <v>0</v>
      </c>
      <c r="AQ224" s="40">
        <f t="shared" si="111"/>
        <v>0</v>
      </c>
      <c r="AR224" s="40">
        <f t="shared" si="112"/>
        <v>0</v>
      </c>
      <c r="AS224" s="40">
        <f t="shared" si="113"/>
        <v>0</v>
      </c>
    </row>
    <row r="225" spans="2:45" s="2" customFormat="1" ht="14.4" customHeight="1" x14ac:dyDescent="0.25">
      <c r="B225" s="56" t="s">
        <v>20</v>
      </c>
      <c r="C225" s="57" t="s">
        <v>25</v>
      </c>
      <c r="D225" s="58" t="s">
        <v>24</v>
      </c>
      <c r="E225" s="62">
        <v>7.3699999999999972E-3</v>
      </c>
      <c r="F225" s="65">
        <f t="shared" si="114"/>
        <v>-4.9103375727808922</v>
      </c>
      <c r="S225" s="40">
        <f t="shared" si="87"/>
        <v>0</v>
      </c>
      <c r="T225" s="40">
        <f t="shared" si="88"/>
        <v>0</v>
      </c>
      <c r="U225" s="40">
        <f t="shared" si="89"/>
        <v>1</v>
      </c>
      <c r="V225" s="40">
        <f t="shared" si="90"/>
        <v>0</v>
      </c>
      <c r="W225" s="40">
        <f t="shared" si="91"/>
        <v>0</v>
      </c>
      <c r="X225" s="40">
        <f t="shared" si="92"/>
        <v>0</v>
      </c>
      <c r="Y225" s="40">
        <f t="shared" si="93"/>
        <v>0</v>
      </c>
      <c r="Z225" s="40">
        <f t="shared" si="94"/>
        <v>0</v>
      </c>
      <c r="AA225" s="40">
        <f t="shared" si="95"/>
        <v>0</v>
      </c>
      <c r="AB225" s="40">
        <f t="shared" si="96"/>
        <v>1</v>
      </c>
      <c r="AC225" s="40">
        <f t="shared" si="97"/>
        <v>0</v>
      </c>
      <c r="AD225" s="40">
        <f t="shared" si="98"/>
        <v>0</v>
      </c>
      <c r="AE225" s="40">
        <f t="shared" si="99"/>
        <v>0</v>
      </c>
      <c r="AF225" s="40">
        <f t="shared" si="100"/>
        <v>0</v>
      </c>
      <c r="AG225" s="40">
        <f t="shared" si="101"/>
        <v>0</v>
      </c>
      <c r="AH225" s="40">
        <f t="shared" si="102"/>
        <v>0</v>
      </c>
      <c r="AI225" s="40">
        <f t="shared" si="103"/>
        <v>0</v>
      </c>
      <c r="AJ225" s="40">
        <f t="shared" si="104"/>
        <v>0</v>
      </c>
      <c r="AK225" s="40">
        <f t="shared" si="105"/>
        <v>0</v>
      </c>
      <c r="AL225" s="40">
        <f t="shared" si="106"/>
        <v>1</v>
      </c>
      <c r="AM225" s="40">
        <f t="shared" si="107"/>
        <v>0</v>
      </c>
      <c r="AN225" s="40">
        <f t="shared" si="108"/>
        <v>0</v>
      </c>
      <c r="AO225" s="40">
        <f t="shared" si="109"/>
        <v>0</v>
      </c>
      <c r="AP225" s="40">
        <f t="shared" si="110"/>
        <v>0</v>
      </c>
      <c r="AQ225" s="40">
        <f t="shared" si="111"/>
        <v>0</v>
      </c>
      <c r="AR225" s="40">
        <f t="shared" si="112"/>
        <v>0</v>
      </c>
      <c r="AS225" s="40">
        <f t="shared" si="113"/>
        <v>0</v>
      </c>
    </row>
    <row r="226" spans="2:45" s="2" customFormat="1" ht="14.4" customHeight="1" x14ac:dyDescent="0.25">
      <c r="B226" s="56" t="s">
        <v>20</v>
      </c>
      <c r="C226" s="57" t="s">
        <v>25</v>
      </c>
      <c r="D226" s="58" t="s">
        <v>24</v>
      </c>
      <c r="E226" s="62">
        <v>5.009999999999998E-3</v>
      </c>
      <c r="F226" s="65">
        <f t="shared" si="114"/>
        <v>-5.2963193638853641</v>
      </c>
      <c r="S226" s="40">
        <f t="shared" si="87"/>
        <v>0</v>
      </c>
      <c r="T226" s="40">
        <f t="shared" si="88"/>
        <v>0</v>
      </c>
      <c r="U226" s="40">
        <f t="shared" si="89"/>
        <v>1</v>
      </c>
      <c r="V226" s="40">
        <f t="shared" si="90"/>
        <v>0</v>
      </c>
      <c r="W226" s="40">
        <f t="shared" si="91"/>
        <v>0</v>
      </c>
      <c r="X226" s="40">
        <f t="shared" si="92"/>
        <v>0</v>
      </c>
      <c r="Y226" s="40">
        <f t="shared" si="93"/>
        <v>0</v>
      </c>
      <c r="Z226" s="40">
        <f t="shared" si="94"/>
        <v>0</v>
      </c>
      <c r="AA226" s="40">
        <f t="shared" si="95"/>
        <v>0</v>
      </c>
      <c r="AB226" s="40">
        <f t="shared" si="96"/>
        <v>1</v>
      </c>
      <c r="AC226" s="40">
        <f t="shared" si="97"/>
        <v>0</v>
      </c>
      <c r="AD226" s="40">
        <f t="shared" si="98"/>
        <v>0</v>
      </c>
      <c r="AE226" s="40">
        <f t="shared" si="99"/>
        <v>0</v>
      </c>
      <c r="AF226" s="40">
        <f t="shared" si="100"/>
        <v>0</v>
      </c>
      <c r="AG226" s="40">
        <f t="shared" si="101"/>
        <v>0</v>
      </c>
      <c r="AH226" s="40">
        <f t="shared" si="102"/>
        <v>0</v>
      </c>
      <c r="AI226" s="40">
        <f t="shared" si="103"/>
        <v>0</v>
      </c>
      <c r="AJ226" s="40">
        <f t="shared" si="104"/>
        <v>0</v>
      </c>
      <c r="AK226" s="40">
        <f t="shared" si="105"/>
        <v>0</v>
      </c>
      <c r="AL226" s="40">
        <f t="shared" si="106"/>
        <v>0</v>
      </c>
      <c r="AM226" s="40">
        <f t="shared" si="107"/>
        <v>0</v>
      </c>
      <c r="AN226" s="40">
        <f t="shared" si="108"/>
        <v>0</v>
      </c>
      <c r="AO226" s="40">
        <f t="shared" si="109"/>
        <v>0</v>
      </c>
      <c r="AP226" s="40">
        <f t="shared" si="110"/>
        <v>0</v>
      </c>
      <c r="AQ226" s="40">
        <f t="shared" si="111"/>
        <v>0</v>
      </c>
      <c r="AR226" s="40">
        <f t="shared" si="112"/>
        <v>0</v>
      </c>
      <c r="AS226" s="40">
        <f t="shared" si="113"/>
        <v>1</v>
      </c>
    </row>
    <row r="227" spans="2:45" s="2" customFormat="1" ht="14.4" customHeight="1" x14ac:dyDescent="0.25">
      <c r="B227" s="56" t="s">
        <v>20</v>
      </c>
      <c r="C227" s="57" t="s">
        <v>25</v>
      </c>
      <c r="D227" s="58" t="s">
        <v>22</v>
      </c>
      <c r="E227" s="62">
        <v>5.4800000000000005E-3</v>
      </c>
      <c r="F227" s="65">
        <f t="shared" si="114"/>
        <v>-5.2066501780222127</v>
      </c>
      <c r="S227" s="40">
        <f t="shared" si="87"/>
        <v>0</v>
      </c>
      <c r="T227" s="40">
        <f t="shared" si="88"/>
        <v>0</v>
      </c>
      <c r="U227" s="40">
        <f t="shared" si="89"/>
        <v>1</v>
      </c>
      <c r="V227" s="40">
        <f t="shared" si="90"/>
        <v>0</v>
      </c>
      <c r="W227" s="40">
        <f t="shared" si="91"/>
        <v>0</v>
      </c>
      <c r="X227" s="40">
        <f t="shared" si="92"/>
        <v>0</v>
      </c>
      <c r="Y227" s="40">
        <f t="shared" si="93"/>
        <v>0</v>
      </c>
      <c r="Z227" s="40">
        <f t="shared" si="94"/>
        <v>0</v>
      </c>
      <c r="AA227" s="40">
        <f t="shared" si="95"/>
        <v>0</v>
      </c>
      <c r="AB227" s="40">
        <f t="shared" si="96"/>
        <v>1</v>
      </c>
      <c r="AC227" s="40">
        <f t="shared" si="97"/>
        <v>0</v>
      </c>
      <c r="AD227" s="40">
        <f t="shared" si="98"/>
        <v>0</v>
      </c>
      <c r="AE227" s="40">
        <f t="shared" si="99"/>
        <v>0</v>
      </c>
      <c r="AF227" s="40">
        <f t="shared" si="100"/>
        <v>0</v>
      </c>
      <c r="AG227" s="40">
        <f t="shared" si="101"/>
        <v>0</v>
      </c>
      <c r="AH227" s="40">
        <f t="shared" si="102"/>
        <v>0</v>
      </c>
      <c r="AI227" s="40">
        <f t="shared" si="103"/>
        <v>0</v>
      </c>
      <c r="AJ227" s="40">
        <f t="shared" si="104"/>
        <v>0</v>
      </c>
      <c r="AK227" s="40">
        <f t="shared" si="105"/>
        <v>0</v>
      </c>
      <c r="AL227" s="40">
        <f t="shared" si="106"/>
        <v>1</v>
      </c>
      <c r="AM227" s="40">
        <f t="shared" si="107"/>
        <v>0</v>
      </c>
      <c r="AN227" s="40">
        <f t="shared" si="108"/>
        <v>0</v>
      </c>
      <c r="AO227" s="40">
        <f t="shared" si="109"/>
        <v>0</v>
      </c>
      <c r="AP227" s="40">
        <f t="shared" si="110"/>
        <v>0</v>
      </c>
      <c r="AQ227" s="40">
        <f t="shared" si="111"/>
        <v>0</v>
      </c>
      <c r="AR227" s="40">
        <f t="shared" si="112"/>
        <v>0</v>
      </c>
      <c r="AS227" s="40">
        <f t="shared" si="113"/>
        <v>0</v>
      </c>
    </row>
    <row r="228" spans="2:45" s="2" customFormat="1" ht="14.4" customHeight="1" x14ac:dyDescent="0.25">
      <c r="B228" s="56" t="s">
        <v>20</v>
      </c>
      <c r="C228" s="57" t="s">
        <v>25</v>
      </c>
      <c r="D228" s="58" t="s">
        <v>24</v>
      </c>
      <c r="E228" s="62">
        <v>3.5899999999999981E-3</v>
      </c>
      <c r="F228" s="65">
        <f t="shared" si="114"/>
        <v>-5.62960307648195</v>
      </c>
      <c r="S228" s="40">
        <f t="shared" si="87"/>
        <v>0</v>
      </c>
      <c r="T228" s="40">
        <f t="shared" si="88"/>
        <v>0</v>
      </c>
      <c r="U228" s="40">
        <f t="shared" si="89"/>
        <v>1</v>
      </c>
      <c r="V228" s="40">
        <f t="shared" si="90"/>
        <v>0</v>
      </c>
      <c r="W228" s="40">
        <f t="shared" si="91"/>
        <v>0</v>
      </c>
      <c r="X228" s="40">
        <f t="shared" si="92"/>
        <v>0</v>
      </c>
      <c r="Y228" s="40">
        <f t="shared" si="93"/>
        <v>0</v>
      </c>
      <c r="Z228" s="40">
        <f t="shared" si="94"/>
        <v>0</v>
      </c>
      <c r="AA228" s="40">
        <f t="shared" si="95"/>
        <v>0</v>
      </c>
      <c r="AB228" s="40">
        <f t="shared" si="96"/>
        <v>1</v>
      </c>
      <c r="AC228" s="40">
        <f t="shared" si="97"/>
        <v>0</v>
      </c>
      <c r="AD228" s="40">
        <f t="shared" si="98"/>
        <v>0</v>
      </c>
      <c r="AE228" s="40">
        <f t="shared" si="99"/>
        <v>0</v>
      </c>
      <c r="AF228" s="40">
        <f t="shared" si="100"/>
        <v>0</v>
      </c>
      <c r="AG228" s="40">
        <f t="shared" si="101"/>
        <v>0</v>
      </c>
      <c r="AH228" s="40">
        <f t="shared" si="102"/>
        <v>0</v>
      </c>
      <c r="AI228" s="40">
        <f t="shared" si="103"/>
        <v>1</v>
      </c>
      <c r="AJ228" s="40">
        <f t="shared" si="104"/>
        <v>0</v>
      </c>
      <c r="AK228" s="40">
        <f t="shared" si="105"/>
        <v>0</v>
      </c>
      <c r="AL228" s="40">
        <f t="shared" si="106"/>
        <v>0</v>
      </c>
      <c r="AM228" s="40">
        <f t="shared" si="107"/>
        <v>0</v>
      </c>
      <c r="AN228" s="40">
        <f t="shared" si="108"/>
        <v>0</v>
      </c>
      <c r="AO228" s="40">
        <f t="shared" si="109"/>
        <v>0</v>
      </c>
      <c r="AP228" s="40">
        <f t="shared" si="110"/>
        <v>0</v>
      </c>
      <c r="AQ228" s="40">
        <f t="shared" si="111"/>
        <v>0</v>
      </c>
      <c r="AR228" s="40">
        <f t="shared" si="112"/>
        <v>0</v>
      </c>
      <c r="AS228" s="40">
        <f t="shared" si="113"/>
        <v>0</v>
      </c>
    </row>
    <row r="229" spans="2:45" s="2" customFormat="1" ht="14.4" customHeight="1" x14ac:dyDescent="0.25">
      <c r="B229" s="56" t="s">
        <v>20</v>
      </c>
      <c r="C229" s="57" t="s">
        <v>25</v>
      </c>
      <c r="D229" s="58" t="s">
        <v>28</v>
      </c>
      <c r="E229" s="62">
        <v>4.4399999999999986E-3</v>
      </c>
      <c r="F229" s="65">
        <f t="shared" si="114"/>
        <v>-5.4171009025380039</v>
      </c>
      <c r="S229" s="40">
        <f t="shared" si="87"/>
        <v>0</v>
      </c>
      <c r="T229" s="40">
        <f t="shared" si="88"/>
        <v>0</v>
      </c>
      <c r="U229" s="40">
        <f t="shared" si="89"/>
        <v>1</v>
      </c>
      <c r="V229" s="40">
        <f t="shared" si="90"/>
        <v>0</v>
      </c>
      <c r="W229" s="40">
        <f t="shared" si="91"/>
        <v>0</v>
      </c>
      <c r="X229" s="40">
        <f t="shared" si="92"/>
        <v>0</v>
      </c>
      <c r="Y229" s="40">
        <f t="shared" si="93"/>
        <v>0</v>
      </c>
      <c r="Z229" s="40">
        <f t="shared" si="94"/>
        <v>0</v>
      </c>
      <c r="AA229" s="40">
        <f t="shared" si="95"/>
        <v>0</v>
      </c>
      <c r="AB229" s="40">
        <f t="shared" si="96"/>
        <v>1</v>
      </c>
      <c r="AC229" s="40">
        <f t="shared" si="97"/>
        <v>0</v>
      </c>
      <c r="AD229" s="40">
        <f t="shared" si="98"/>
        <v>0</v>
      </c>
      <c r="AE229" s="40">
        <f t="shared" si="99"/>
        <v>0</v>
      </c>
      <c r="AF229" s="40">
        <f t="shared" si="100"/>
        <v>0</v>
      </c>
      <c r="AG229" s="40">
        <f t="shared" si="101"/>
        <v>0</v>
      </c>
      <c r="AH229" s="40">
        <f t="shared" si="102"/>
        <v>0</v>
      </c>
      <c r="AI229" s="40">
        <f t="shared" si="103"/>
        <v>1</v>
      </c>
      <c r="AJ229" s="40">
        <f t="shared" si="104"/>
        <v>0</v>
      </c>
      <c r="AK229" s="40">
        <f t="shared" si="105"/>
        <v>0</v>
      </c>
      <c r="AL229" s="40">
        <f t="shared" si="106"/>
        <v>0</v>
      </c>
      <c r="AM229" s="40">
        <f t="shared" si="107"/>
        <v>0</v>
      </c>
      <c r="AN229" s="40">
        <f t="shared" si="108"/>
        <v>0</v>
      </c>
      <c r="AO229" s="40">
        <f t="shared" si="109"/>
        <v>0</v>
      </c>
      <c r="AP229" s="40">
        <f t="shared" si="110"/>
        <v>0</v>
      </c>
      <c r="AQ229" s="40">
        <f t="shared" si="111"/>
        <v>0</v>
      </c>
      <c r="AR229" s="40">
        <f t="shared" si="112"/>
        <v>0</v>
      </c>
      <c r="AS229" s="40">
        <f t="shared" si="113"/>
        <v>0</v>
      </c>
    </row>
    <row r="230" spans="2:45" s="2" customFormat="1" ht="14.4" customHeight="1" x14ac:dyDescent="0.25">
      <c r="B230" s="56" t="s">
        <v>20</v>
      </c>
      <c r="C230" s="57" t="s">
        <v>25</v>
      </c>
      <c r="D230" s="58" t="s">
        <v>28</v>
      </c>
      <c r="E230" s="62">
        <v>4.3899999999999998E-3</v>
      </c>
      <c r="F230" s="65">
        <f t="shared" si="114"/>
        <v>-5.4284260518950571</v>
      </c>
      <c r="S230" s="40">
        <f t="shared" si="87"/>
        <v>0</v>
      </c>
      <c r="T230" s="40">
        <f t="shared" si="88"/>
        <v>0</v>
      </c>
      <c r="U230" s="40">
        <f t="shared" si="89"/>
        <v>1</v>
      </c>
      <c r="V230" s="40">
        <f t="shared" si="90"/>
        <v>0</v>
      </c>
      <c r="W230" s="40">
        <f t="shared" si="91"/>
        <v>0</v>
      </c>
      <c r="X230" s="40">
        <f t="shared" si="92"/>
        <v>0</v>
      </c>
      <c r="Y230" s="40">
        <f t="shared" si="93"/>
        <v>0</v>
      </c>
      <c r="Z230" s="40">
        <f t="shared" si="94"/>
        <v>0</v>
      </c>
      <c r="AA230" s="40">
        <f t="shared" si="95"/>
        <v>0</v>
      </c>
      <c r="AB230" s="40">
        <f t="shared" si="96"/>
        <v>1</v>
      </c>
      <c r="AC230" s="40">
        <f t="shared" si="97"/>
        <v>0</v>
      </c>
      <c r="AD230" s="40">
        <f t="shared" si="98"/>
        <v>0</v>
      </c>
      <c r="AE230" s="40">
        <f t="shared" si="99"/>
        <v>0</v>
      </c>
      <c r="AF230" s="40">
        <f t="shared" si="100"/>
        <v>0</v>
      </c>
      <c r="AG230" s="40">
        <f t="shared" si="101"/>
        <v>0</v>
      </c>
      <c r="AH230" s="40">
        <f t="shared" si="102"/>
        <v>0</v>
      </c>
      <c r="AI230" s="40">
        <f t="shared" si="103"/>
        <v>0</v>
      </c>
      <c r="AJ230" s="40">
        <f t="shared" si="104"/>
        <v>0</v>
      </c>
      <c r="AK230" s="40">
        <f t="shared" si="105"/>
        <v>0</v>
      </c>
      <c r="AL230" s="40">
        <f t="shared" si="106"/>
        <v>1</v>
      </c>
      <c r="AM230" s="40">
        <f t="shared" si="107"/>
        <v>0</v>
      </c>
      <c r="AN230" s="40">
        <f t="shared" si="108"/>
        <v>0</v>
      </c>
      <c r="AO230" s="40">
        <f t="shared" si="109"/>
        <v>0</v>
      </c>
      <c r="AP230" s="40">
        <f t="shared" si="110"/>
        <v>0</v>
      </c>
      <c r="AQ230" s="40">
        <f t="shared" si="111"/>
        <v>0</v>
      </c>
      <c r="AR230" s="40">
        <f t="shared" si="112"/>
        <v>0</v>
      </c>
      <c r="AS230" s="40">
        <f t="shared" si="113"/>
        <v>0</v>
      </c>
    </row>
    <row r="231" spans="2:45" s="2" customFormat="1" ht="14.4" customHeight="1" x14ac:dyDescent="0.25">
      <c r="B231" s="56" t="s">
        <v>20</v>
      </c>
      <c r="C231" s="57" t="s">
        <v>25</v>
      </c>
      <c r="D231" s="58" t="s">
        <v>24</v>
      </c>
      <c r="E231" s="62">
        <v>8.0299999999999972E-3</v>
      </c>
      <c r="F231" s="65">
        <f t="shared" si="114"/>
        <v>-4.824570751023467</v>
      </c>
      <c r="S231" s="40">
        <f t="shared" si="87"/>
        <v>0</v>
      </c>
      <c r="T231" s="40">
        <f t="shared" si="88"/>
        <v>0</v>
      </c>
      <c r="U231" s="40">
        <f t="shared" si="89"/>
        <v>1</v>
      </c>
      <c r="V231" s="40">
        <f t="shared" si="90"/>
        <v>0</v>
      </c>
      <c r="W231" s="40">
        <f t="shared" si="91"/>
        <v>0</v>
      </c>
      <c r="X231" s="40">
        <f t="shared" si="92"/>
        <v>0</v>
      </c>
      <c r="Y231" s="40">
        <f t="shared" si="93"/>
        <v>0</v>
      </c>
      <c r="Z231" s="40">
        <f t="shared" si="94"/>
        <v>0</v>
      </c>
      <c r="AA231" s="40">
        <f t="shared" si="95"/>
        <v>0</v>
      </c>
      <c r="AB231" s="40">
        <f t="shared" si="96"/>
        <v>1</v>
      </c>
      <c r="AC231" s="40">
        <f t="shared" si="97"/>
        <v>0</v>
      </c>
      <c r="AD231" s="40">
        <f t="shared" si="98"/>
        <v>0</v>
      </c>
      <c r="AE231" s="40">
        <f t="shared" si="99"/>
        <v>0</v>
      </c>
      <c r="AF231" s="40">
        <f t="shared" si="100"/>
        <v>0</v>
      </c>
      <c r="AG231" s="40">
        <f t="shared" si="101"/>
        <v>0</v>
      </c>
      <c r="AH231" s="40">
        <f t="shared" si="102"/>
        <v>0</v>
      </c>
      <c r="AI231" s="40">
        <f t="shared" si="103"/>
        <v>0</v>
      </c>
      <c r="AJ231" s="40">
        <f t="shared" si="104"/>
        <v>1</v>
      </c>
      <c r="AK231" s="40">
        <f t="shared" si="105"/>
        <v>0</v>
      </c>
      <c r="AL231" s="40">
        <f t="shared" si="106"/>
        <v>0</v>
      </c>
      <c r="AM231" s="40">
        <f t="shared" si="107"/>
        <v>0</v>
      </c>
      <c r="AN231" s="40">
        <f t="shared" si="108"/>
        <v>0</v>
      </c>
      <c r="AO231" s="40">
        <f t="shared" si="109"/>
        <v>0</v>
      </c>
      <c r="AP231" s="40">
        <f t="shared" si="110"/>
        <v>0</v>
      </c>
      <c r="AQ231" s="40">
        <f t="shared" si="111"/>
        <v>0</v>
      </c>
      <c r="AR231" s="40">
        <f t="shared" si="112"/>
        <v>0</v>
      </c>
      <c r="AS231" s="40">
        <f t="shared" si="113"/>
        <v>0</v>
      </c>
    </row>
    <row r="232" spans="2:45" s="2" customFormat="1" ht="14.4" customHeight="1" x14ac:dyDescent="0.25">
      <c r="B232" s="56" t="s">
        <v>20</v>
      </c>
      <c r="C232" s="57" t="s">
        <v>25</v>
      </c>
      <c r="D232" s="58" t="s">
        <v>37</v>
      </c>
      <c r="E232" s="62">
        <v>2.2100000000000006E-3</v>
      </c>
      <c r="F232" s="65">
        <f t="shared" si="114"/>
        <v>-6.1147627634524753</v>
      </c>
      <c r="S232" s="40">
        <f t="shared" si="87"/>
        <v>0</v>
      </c>
      <c r="T232" s="40">
        <f t="shared" si="88"/>
        <v>0</v>
      </c>
      <c r="U232" s="40">
        <f t="shared" si="89"/>
        <v>1</v>
      </c>
      <c r="V232" s="40">
        <f t="shared" si="90"/>
        <v>0</v>
      </c>
      <c r="W232" s="40">
        <f t="shared" si="91"/>
        <v>0</v>
      </c>
      <c r="X232" s="40">
        <f t="shared" si="92"/>
        <v>0</v>
      </c>
      <c r="Y232" s="40">
        <f t="shared" si="93"/>
        <v>0</v>
      </c>
      <c r="Z232" s="40">
        <f t="shared" si="94"/>
        <v>0</v>
      </c>
      <c r="AA232" s="40">
        <f t="shared" si="95"/>
        <v>0</v>
      </c>
      <c r="AB232" s="40">
        <f t="shared" si="96"/>
        <v>1</v>
      </c>
      <c r="AC232" s="40">
        <f t="shared" si="97"/>
        <v>0</v>
      </c>
      <c r="AD232" s="40">
        <f t="shared" si="98"/>
        <v>0</v>
      </c>
      <c r="AE232" s="40">
        <f t="shared" si="99"/>
        <v>0</v>
      </c>
      <c r="AF232" s="40">
        <f t="shared" si="100"/>
        <v>0</v>
      </c>
      <c r="AG232" s="40">
        <f t="shared" si="101"/>
        <v>0</v>
      </c>
      <c r="AH232" s="40">
        <f t="shared" si="102"/>
        <v>0</v>
      </c>
      <c r="AI232" s="40">
        <f t="shared" si="103"/>
        <v>0</v>
      </c>
      <c r="AJ232" s="40">
        <f t="shared" si="104"/>
        <v>0</v>
      </c>
      <c r="AK232" s="40">
        <f t="shared" si="105"/>
        <v>0</v>
      </c>
      <c r="AL232" s="40">
        <f t="shared" si="106"/>
        <v>1</v>
      </c>
      <c r="AM232" s="40">
        <f t="shared" si="107"/>
        <v>0</v>
      </c>
      <c r="AN232" s="40">
        <f t="shared" si="108"/>
        <v>0</v>
      </c>
      <c r="AO232" s="40">
        <f t="shared" si="109"/>
        <v>0</v>
      </c>
      <c r="AP232" s="40">
        <f t="shared" si="110"/>
        <v>0</v>
      </c>
      <c r="AQ232" s="40">
        <f t="shared" si="111"/>
        <v>0</v>
      </c>
      <c r="AR232" s="40">
        <f t="shared" si="112"/>
        <v>0</v>
      </c>
      <c r="AS232" s="40">
        <f t="shared" si="113"/>
        <v>0</v>
      </c>
    </row>
    <row r="233" spans="2:45" s="2" customFormat="1" ht="14.4" customHeight="1" x14ac:dyDescent="0.25">
      <c r="B233" s="56" t="s">
        <v>20</v>
      </c>
      <c r="C233" s="57" t="s">
        <v>25</v>
      </c>
      <c r="D233" s="58" t="s">
        <v>24</v>
      </c>
      <c r="E233" s="62">
        <v>7.0200000000000028E-3</v>
      </c>
      <c r="F233" s="65">
        <f t="shared" si="114"/>
        <v>-4.9589920609444169</v>
      </c>
      <c r="S233" s="40">
        <f t="shared" si="87"/>
        <v>0</v>
      </c>
      <c r="T233" s="40">
        <f t="shared" si="88"/>
        <v>0</v>
      </c>
      <c r="U233" s="40">
        <f t="shared" si="89"/>
        <v>1</v>
      </c>
      <c r="V233" s="40">
        <f t="shared" si="90"/>
        <v>0</v>
      </c>
      <c r="W233" s="40">
        <f t="shared" si="91"/>
        <v>0</v>
      </c>
      <c r="X233" s="40">
        <f t="shared" si="92"/>
        <v>0</v>
      </c>
      <c r="Y233" s="40">
        <f t="shared" si="93"/>
        <v>0</v>
      </c>
      <c r="Z233" s="40">
        <f t="shared" si="94"/>
        <v>0</v>
      </c>
      <c r="AA233" s="40">
        <f t="shared" si="95"/>
        <v>0</v>
      </c>
      <c r="AB233" s="40">
        <f t="shared" si="96"/>
        <v>1</v>
      </c>
      <c r="AC233" s="40">
        <f t="shared" si="97"/>
        <v>0</v>
      </c>
      <c r="AD233" s="40">
        <f t="shared" si="98"/>
        <v>0</v>
      </c>
      <c r="AE233" s="40">
        <f t="shared" si="99"/>
        <v>0</v>
      </c>
      <c r="AF233" s="40">
        <f t="shared" si="100"/>
        <v>0</v>
      </c>
      <c r="AG233" s="40">
        <f t="shared" si="101"/>
        <v>0</v>
      </c>
      <c r="AH233" s="40">
        <f t="shared" si="102"/>
        <v>0</v>
      </c>
      <c r="AI233" s="40">
        <f t="shared" si="103"/>
        <v>0</v>
      </c>
      <c r="AJ233" s="40">
        <f t="shared" si="104"/>
        <v>0</v>
      </c>
      <c r="AK233" s="40">
        <f t="shared" si="105"/>
        <v>0</v>
      </c>
      <c r="AL233" s="40">
        <f t="shared" si="106"/>
        <v>1</v>
      </c>
      <c r="AM233" s="40">
        <f t="shared" si="107"/>
        <v>0</v>
      </c>
      <c r="AN233" s="40">
        <f t="shared" si="108"/>
        <v>0</v>
      </c>
      <c r="AO233" s="40">
        <f t="shared" si="109"/>
        <v>0</v>
      </c>
      <c r="AP233" s="40">
        <f t="shared" si="110"/>
        <v>0</v>
      </c>
      <c r="AQ233" s="40">
        <f t="shared" si="111"/>
        <v>0</v>
      </c>
      <c r="AR233" s="40">
        <f t="shared" si="112"/>
        <v>0</v>
      </c>
      <c r="AS233" s="40">
        <f t="shared" si="113"/>
        <v>0</v>
      </c>
    </row>
    <row r="234" spans="2:45" s="2" customFormat="1" ht="14.4" customHeight="1" x14ac:dyDescent="0.25">
      <c r="B234" s="56" t="s">
        <v>20</v>
      </c>
      <c r="C234" s="57" t="s">
        <v>25</v>
      </c>
      <c r="D234" s="58" t="s">
        <v>24</v>
      </c>
      <c r="E234" s="62">
        <v>4.4799999999999979E-3</v>
      </c>
      <c r="F234" s="65">
        <f t="shared" si="114"/>
        <v>-5.4081322325552437</v>
      </c>
      <c r="S234" s="40">
        <f t="shared" si="87"/>
        <v>0</v>
      </c>
      <c r="T234" s="40">
        <f t="shared" si="88"/>
        <v>0</v>
      </c>
      <c r="U234" s="40">
        <f t="shared" si="89"/>
        <v>1</v>
      </c>
      <c r="V234" s="40">
        <f t="shared" si="90"/>
        <v>0</v>
      </c>
      <c r="W234" s="40">
        <f t="shared" si="91"/>
        <v>0</v>
      </c>
      <c r="X234" s="40">
        <f t="shared" si="92"/>
        <v>0</v>
      </c>
      <c r="Y234" s="40">
        <f t="shared" si="93"/>
        <v>0</v>
      </c>
      <c r="Z234" s="40">
        <f t="shared" si="94"/>
        <v>0</v>
      </c>
      <c r="AA234" s="40">
        <f t="shared" si="95"/>
        <v>0</v>
      </c>
      <c r="AB234" s="40">
        <f t="shared" si="96"/>
        <v>1</v>
      </c>
      <c r="AC234" s="40">
        <f t="shared" si="97"/>
        <v>0</v>
      </c>
      <c r="AD234" s="40">
        <f t="shared" si="98"/>
        <v>0</v>
      </c>
      <c r="AE234" s="40">
        <f t="shared" si="99"/>
        <v>0</v>
      </c>
      <c r="AF234" s="40">
        <f t="shared" si="100"/>
        <v>0</v>
      </c>
      <c r="AG234" s="40">
        <f t="shared" si="101"/>
        <v>0</v>
      </c>
      <c r="AH234" s="40">
        <f t="shared" si="102"/>
        <v>0</v>
      </c>
      <c r="AI234" s="40">
        <f t="shared" si="103"/>
        <v>0</v>
      </c>
      <c r="AJ234" s="40">
        <f t="shared" si="104"/>
        <v>0</v>
      </c>
      <c r="AK234" s="40">
        <f t="shared" si="105"/>
        <v>0</v>
      </c>
      <c r="AL234" s="40">
        <f t="shared" si="106"/>
        <v>1</v>
      </c>
      <c r="AM234" s="40">
        <f t="shared" si="107"/>
        <v>0</v>
      </c>
      <c r="AN234" s="40">
        <f t="shared" si="108"/>
        <v>0</v>
      </c>
      <c r="AO234" s="40">
        <f t="shared" si="109"/>
        <v>0</v>
      </c>
      <c r="AP234" s="40">
        <f t="shared" si="110"/>
        <v>0</v>
      </c>
      <c r="AQ234" s="40">
        <f t="shared" si="111"/>
        <v>0</v>
      </c>
      <c r="AR234" s="40">
        <f t="shared" si="112"/>
        <v>0</v>
      </c>
      <c r="AS234" s="40">
        <f t="shared" si="113"/>
        <v>0</v>
      </c>
    </row>
    <row r="235" spans="2:45" s="2" customFormat="1" ht="14.4" customHeight="1" x14ac:dyDescent="0.25">
      <c r="B235" s="56" t="s">
        <v>20</v>
      </c>
      <c r="C235" s="57" t="s">
        <v>25</v>
      </c>
      <c r="D235" s="58" t="s">
        <v>24</v>
      </c>
      <c r="E235" s="62">
        <v>2.2299999999999998E-3</v>
      </c>
      <c r="F235" s="65">
        <f t="shared" si="114"/>
        <v>-6.1057536935101098</v>
      </c>
      <c r="S235" s="40">
        <f t="shared" si="87"/>
        <v>0</v>
      </c>
      <c r="T235" s="40">
        <f t="shared" si="88"/>
        <v>0</v>
      </c>
      <c r="U235" s="40">
        <f t="shared" si="89"/>
        <v>1</v>
      </c>
      <c r="V235" s="40">
        <f t="shared" si="90"/>
        <v>0</v>
      </c>
      <c r="W235" s="40">
        <f t="shared" si="91"/>
        <v>0</v>
      </c>
      <c r="X235" s="40">
        <f t="shared" si="92"/>
        <v>0</v>
      </c>
      <c r="Y235" s="40">
        <f t="shared" si="93"/>
        <v>0</v>
      </c>
      <c r="Z235" s="40">
        <f t="shared" si="94"/>
        <v>0</v>
      </c>
      <c r="AA235" s="40">
        <f t="shared" si="95"/>
        <v>0</v>
      </c>
      <c r="AB235" s="40">
        <f t="shared" si="96"/>
        <v>1</v>
      </c>
      <c r="AC235" s="40">
        <f t="shared" si="97"/>
        <v>0</v>
      </c>
      <c r="AD235" s="40">
        <f t="shared" si="98"/>
        <v>0</v>
      </c>
      <c r="AE235" s="40">
        <f t="shared" si="99"/>
        <v>0</v>
      </c>
      <c r="AF235" s="40">
        <f t="shared" si="100"/>
        <v>0</v>
      </c>
      <c r="AG235" s="40">
        <f t="shared" si="101"/>
        <v>0</v>
      </c>
      <c r="AH235" s="40">
        <f t="shared" si="102"/>
        <v>0</v>
      </c>
      <c r="AI235" s="40">
        <f t="shared" si="103"/>
        <v>1</v>
      </c>
      <c r="AJ235" s="40">
        <f t="shared" si="104"/>
        <v>0</v>
      </c>
      <c r="AK235" s="40">
        <f t="shared" si="105"/>
        <v>0</v>
      </c>
      <c r="AL235" s="40">
        <f t="shared" si="106"/>
        <v>0</v>
      </c>
      <c r="AM235" s="40">
        <f t="shared" si="107"/>
        <v>0</v>
      </c>
      <c r="AN235" s="40">
        <f t="shared" si="108"/>
        <v>0</v>
      </c>
      <c r="AO235" s="40">
        <f t="shared" si="109"/>
        <v>0</v>
      </c>
      <c r="AP235" s="40">
        <f t="shared" si="110"/>
        <v>0</v>
      </c>
      <c r="AQ235" s="40">
        <f t="shared" si="111"/>
        <v>0</v>
      </c>
      <c r="AR235" s="40">
        <f t="shared" si="112"/>
        <v>0</v>
      </c>
      <c r="AS235" s="40">
        <f t="shared" si="113"/>
        <v>0</v>
      </c>
    </row>
    <row r="236" spans="2:45" s="2" customFormat="1" ht="14.4" customHeight="1" x14ac:dyDescent="0.25">
      <c r="B236" s="56" t="s">
        <v>20</v>
      </c>
      <c r="C236" s="57" t="s">
        <v>25</v>
      </c>
      <c r="D236" s="58" t="s">
        <v>28</v>
      </c>
      <c r="E236" s="62">
        <v>3.7999999999999996E-3</v>
      </c>
      <c r="F236" s="65">
        <f t="shared" si="114"/>
        <v>-5.5727542122497971</v>
      </c>
      <c r="S236" s="40">
        <f t="shared" si="87"/>
        <v>0</v>
      </c>
      <c r="T236" s="40">
        <f t="shared" si="88"/>
        <v>0</v>
      </c>
      <c r="U236" s="40">
        <f t="shared" si="89"/>
        <v>1</v>
      </c>
      <c r="V236" s="40">
        <f t="shared" si="90"/>
        <v>0</v>
      </c>
      <c r="W236" s="40">
        <f t="shared" si="91"/>
        <v>0</v>
      </c>
      <c r="X236" s="40">
        <f t="shared" si="92"/>
        <v>0</v>
      </c>
      <c r="Y236" s="40">
        <f t="shared" si="93"/>
        <v>0</v>
      </c>
      <c r="Z236" s="40">
        <f t="shared" si="94"/>
        <v>0</v>
      </c>
      <c r="AA236" s="40">
        <f t="shared" si="95"/>
        <v>0</v>
      </c>
      <c r="AB236" s="40">
        <f t="shared" si="96"/>
        <v>1</v>
      </c>
      <c r="AC236" s="40">
        <f t="shared" si="97"/>
        <v>0</v>
      </c>
      <c r="AD236" s="40">
        <f t="shared" si="98"/>
        <v>0</v>
      </c>
      <c r="AE236" s="40">
        <f t="shared" si="99"/>
        <v>0</v>
      </c>
      <c r="AF236" s="40">
        <f t="shared" si="100"/>
        <v>0</v>
      </c>
      <c r="AG236" s="40">
        <f t="shared" si="101"/>
        <v>0</v>
      </c>
      <c r="AH236" s="40">
        <f t="shared" si="102"/>
        <v>0</v>
      </c>
      <c r="AI236" s="40">
        <f t="shared" si="103"/>
        <v>0</v>
      </c>
      <c r="AJ236" s="40">
        <f t="shared" si="104"/>
        <v>0</v>
      </c>
      <c r="AK236" s="40">
        <f t="shared" si="105"/>
        <v>0</v>
      </c>
      <c r="AL236" s="40">
        <f t="shared" si="106"/>
        <v>0</v>
      </c>
      <c r="AM236" s="40">
        <f t="shared" si="107"/>
        <v>0</v>
      </c>
      <c r="AN236" s="40">
        <f t="shared" si="108"/>
        <v>0</v>
      </c>
      <c r="AO236" s="40">
        <f t="shared" si="109"/>
        <v>0</v>
      </c>
      <c r="AP236" s="40">
        <f t="shared" si="110"/>
        <v>0</v>
      </c>
      <c r="AQ236" s="40">
        <f t="shared" si="111"/>
        <v>0</v>
      </c>
      <c r="AR236" s="40">
        <f t="shared" si="112"/>
        <v>1</v>
      </c>
      <c r="AS236" s="40">
        <f t="shared" si="113"/>
        <v>0</v>
      </c>
    </row>
    <row r="237" spans="2:45" s="2" customFormat="1" ht="14.4" customHeight="1" x14ac:dyDescent="0.25">
      <c r="B237" s="56" t="s">
        <v>20</v>
      </c>
      <c r="C237" s="57" t="s">
        <v>25</v>
      </c>
      <c r="D237" s="58" t="s">
        <v>33</v>
      </c>
      <c r="E237" s="62">
        <v>3.1400000000000013E-3</v>
      </c>
      <c r="F237" s="65">
        <f t="shared" si="114"/>
        <v>-5.7635324790619746</v>
      </c>
      <c r="S237" s="40">
        <f t="shared" si="87"/>
        <v>0</v>
      </c>
      <c r="T237" s="40">
        <f t="shared" si="88"/>
        <v>0</v>
      </c>
      <c r="U237" s="40">
        <f t="shared" si="89"/>
        <v>1</v>
      </c>
      <c r="V237" s="40">
        <f t="shared" si="90"/>
        <v>0</v>
      </c>
      <c r="W237" s="40">
        <f t="shared" si="91"/>
        <v>0</v>
      </c>
      <c r="X237" s="40">
        <f t="shared" si="92"/>
        <v>0</v>
      </c>
      <c r="Y237" s="40">
        <f t="shared" si="93"/>
        <v>0</v>
      </c>
      <c r="Z237" s="40">
        <f t="shared" si="94"/>
        <v>0</v>
      </c>
      <c r="AA237" s="40">
        <f t="shared" si="95"/>
        <v>0</v>
      </c>
      <c r="AB237" s="40">
        <f t="shared" si="96"/>
        <v>1</v>
      </c>
      <c r="AC237" s="40">
        <f t="shared" si="97"/>
        <v>0</v>
      </c>
      <c r="AD237" s="40">
        <f t="shared" si="98"/>
        <v>0</v>
      </c>
      <c r="AE237" s="40">
        <f t="shared" si="99"/>
        <v>0</v>
      </c>
      <c r="AF237" s="40">
        <f t="shared" si="100"/>
        <v>0</v>
      </c>
      <c r="AG237" s="40">
        <f t="shared" si="101"/>
        <v>0</v>
      </c>
      <c r="AH237" s="40">
        <f t="shared" si="102"/>
        <v>0</v>
      </c>
      <c r="AI237" s="40">
        <f t="shared" si="103"/>
        <v>1</v>
      </c>
      <c r="AJ237" s="40">
        <f t="shared" si="104"/>
        <v>0</v>
      </c>
      <c r="AK237" s="40">
        <f t="shared" si="105"/>
        <v>0</v>
      </c>
      <c r="AL237" s="40">
        <f t="shared" si="106"/>
        <v>0</v>
      </c>
      <c r="AM237" s="40">
        <f t="shared" si="107"/>
        <v>0</v>
      </c>
      <c r="AN237" s="40">
        <f t="shared" si="108"/>
        <v>0</v>
      </c>
      <c r="AO237" s="40">
        <f t="shared" si="109"/>
        <v>0</v>
      </c>
      <c r="AP237" s="40">
        <f t="shared" si="110"/>
        <v>0</v>
      </c>
      <c r="AQ237" s="40">
        <f t="shared" si="111"/>
        <v>0</v>
      </c>
      <c r="AR237" s="40">
        <f t="shared" si="112"/>
        <v>0</v>
      </c>
      <c r="AS237" s="40">
        <f t="shared" si="113"/>
        <v>0</v>
      </c>
    </row>
    <row r="238" spans="2:45" s="2" customFormat="1" ht="14.4" customHeight="1" x14ac:dyDescent="0.25">
      <c r="B238" s="56" t="s">
        <v>20</v>
      </c>
      <c r="C238" s="57" t="s">
        <v>25</v>
      </c>
      <c r="D238" s="58" t="s">
        <v>28</v>
      </c>
      <c r="E238" s="62">
        <v>5.850000000000001E-3</v>
      </c>
      <c r="F238" s="65">
        <f t="shared" si="114"/>
        <v>-5.1413136177383718</v>
      </c>
      <c r="S238" s="40">
        <f t="shared" si="87"/>
        <v>0</v>
      </c>
      <c r="T238" s="40">
        <f t="shared" si="88"/>
        <v>0</v>
      </c>
      <c r="U238" s="40">
        <f t="shared" si="89"/>
        <v>1</v>
      </c>
      <c r="V238" s="40">
        <f t="shared" si="90"/>
        <v>0</v>
      </c>
      <c r="W238" s="40">
        <f t="shared" si="91"/>
        <v>0</v>
      </c>
      <c r="X238" s="40">
        <f t="shared" si="92"/>
        <v>0</v>
      </c>
      <c r="Y238" s="40">
        <f t="shared" si="93"/>
        <v>0</v>
      </c>
      <c r="Z238" s="40">
        <f t="shared" si="94"/>
        <v>0</v>
      </c>
      <c r="AA238" s="40">
        <f t="shared" si="95"/>
        <v>0</v>
      </c>
      <c r="AB238" s="40">
        <f t="shared" si="96"/>
        <v>1</v>
      </c>
      <c r="AC238" s="40">
        <f t="shared" si="97"/>
        <v>0</v>
      </c>
      <c r="AD238" s="40">
        <f t="shared" si="98"/>
        <v>0</v>
      </c>
      <c r="AE238" s="40">
        <f t="shared" si="99"/>
        <v>0</v>
      </c>
      <c r="AF238" s="40">
        <f t="shared" si="100"/>
        <v>0</v>
      </c>
      <c r="AG238" s="40">
        <f t="shared" si="101"/>
        <v>0</v>
      </c>
      <c r="AH238" s="40">
        <f t="shared" si="102"/>
        <v>0</v>
      </c>
      <c r="AI238" s="40">
        <f t="shared" si="103"/>
        <v>0</v>
      </c>
      <c r="AJ238" s="40">
        <f t="shared" si="104"/>
        <v>0</v>
      </c>
      <c r="AK238" s="40">
        <f t="shared" si="105"/>
        <v>0</v>
      </c>
      <c r="AL238" s="40">
        <f t="shared" si="106"/>
        <v>1</v>
      </c>
      <c r="AM238" s="40">
        <f t="shared" si="107"/>
        <v>0</v>
      </c>
      <c r="AN238" s="40">
        <f t="shared" si="108"/>
        <v>0</v>
      </c>
      <c r="AO238" s="40">
        <f t="shared" si="109"/>
        <v>0</v>
      </c>
      <c r="AP238" s="40">
        <f t="shared" si="110"/>
        <v>0</v>
      </c>
      <c r="AQ238" s="40">
        <f t="shared" si="111"/>
        <v>0</v>
      </c>
      <c r="AR238" s="40">
        <f t="shared" si="112"/>
        <v>0</v>
      </c>
      <c r="AS238" s="40">
        <f t="shared" si="113"/>
        <v>0</v>
      </c>
    </row>
    <row r="239" spans="2:45" s="2" customFormat="1" ht="14.4" customHeight="1" x14ac:dyDescent="0.25">
      <c r="B239" s="56" t="s">
        <v>20</v>
      </c>
      <c r="C239" s="57" t="s">
        <v>25</v>
      </c>
      <c r="D239" s="58" t="s">
        <v>24</v>
      </c>
      <c r="E239" s="62">
        <v>4.080000000000002E-3</v>
      </c>
      <c r="F239" s="65">
        <f t="shared" si="114"/>
        <v>-5.5016582905660663</v>
      </c>
      <c r="S239" s="40">
        <f t="shared" si="87"/>
        <v>0</v>
      </c>
      <c r="T239" s="40">
        <f t="shared" si="88"/>
        <v>0</v>
      </c>
      <c r="U239" s="40">
        <f t="shared" si="89"/>
        <v>1</v>
      </c>
      <c r="V239" s="40">
        <f t="shared" si="90"/>
        <v>0</v>
      </c>
      <c r="W239" s="40">
        <f t="shared" si="91"/>
        <v>0</v>
      </c>
      <c r="X239" s="40">
        <f t="shared" si="92"/>
        <v>0</v>
      </c>
      <c r="Y239" s="40">
        <f t="shared" si="93"/>
        <v>0</v>
      </c>
      <c r="Z239" s="40">
        <f t="shared" si="94"/>
        <v>0</v>
      </c>
      <c r="AA239" s="40">
        <f t="shared" si="95"/>
        <v>0</v>
      </c>
      <c r="AB239" s="40">
        <f t="shared" si="96"/>
        <v>0</v>
      </c>
      <c r="AC239" s="40">
        <f t="shared" si="97"/>
        <v>1</v>
      </c>
      <c r="AD239" s="40">
        <f t="shared" si="98"/>
        <v>0</v>
      </c>
      <c r="AE239" s="40">
        <f t="shared" si="99"/>
        <v>0</v>
      </c>
      <c r="AF239" s="40">
        <f t="shared" si="100"/>
        <v>0</v>
      </c>
      <c r="AG239" s="40">
        <f t="shared" si="101"/>
        <v>0</v>
      </c>
      <c r="AH239" s="40">
        <f t="shared" si="102"/>
        <v>0</v>
      </c>
      <c r="AI239" s="40">
        <f t="shared" si="103"/>
        <v>0</v>
      </c>
      <c r="AJ239" s="40">
        <f t="shared" si="104"/>
        <v>1</v>
      </c>
      <c r="AK239" s="40">
        <f t="shared" si="105"/>
        <v>0</v>
      </c>
      <c r="AL239" s="40">
        <f t="shared" si="106"/>
        <v>0</v>
      </c>
      <c r="AM239" s="40">
        <f t="shared" si="107"/>
        <v>0</v>
      </c>
      <c r="AN239" s="40">
        <f t="shared" si="108"/>
        <v>0</v>
      </c>
      <c r="AO239" s="40">
        <f t="shared" si="109"/>
        <v>0</v>
      </c>
      <c r="AP239" s="40">
        <f t="shared" si="110"/>
        <v>0</v>
      </c>
      <c r="AQ239" s="40">
        <f t="shared" si="111"/>
        <v>0</v>
      </c>
      <c r="AR239" s="40">
        <f t="shared" si="112"/>
        <v>0</v>
      </c>
      <c r="AS239" s="40">
        <f t="shared" si="113"/>
        <v>0</v>
      </c>
    </row>
    <row r="240" spans="2:45" s="2" customFormat="1" ht="14.4" customHeight="1" x14ac:dyDescent="0.25">
      <c r="B240" s="56" t="s">
        <v>20</v>
      </c>
      <c r="C240" s="57" t="s">
        <v>23</v>
      </c>
      <c r="D240" s="58" t="s">
        <v>37</v>
      </c>
      <c r="E240" s="62">
        <v>2.2700000000000003E-3</v>
      </c>
      <c r="F240" s="65">
        <f t="shared" si="114"/>
        <v>-6.0879754474888257</v>
      </c>
      <c r="S240" s="40">
        <f t="shared" si="87"/>
        <v>0</v>
      </c>
      <c r="T240" s="40">
        <f t="shared" si="88"/>
        <v>0</v>
      </c>
      <c r="U240" s="40">
        <f t="shared" si="89"/>
        <v>1</v>
      </c>
      <c r="V240" s="40">
        <f t="shared" si="90"/>
        <v>0</v>
      </c>
      <c r="W240" s="40">
        <f t="shared" si="91"/>
        <v>0</v>
      </c>
      <c r="X240" s="40">
        <f t="shared" si="92"/>
        <v>0</v>
      </c>
      <c r="Y240" s="40">
        <f t="shared" si="93"/>
        <v>0</v>
      </c>
      <c r="Z240" s="40">
        <f t="shared" si="94"/>
        <v>0</v>
      </c>
      <c r="AA240" s="40">
        <f t="shared" si="95"/>
        <v>0</v>
      </c>
      <c r="AB240" s="40">
        <f t="shared" si="96"/>
        <v>0</v>
      </c>
      <c r="AC240" s="40">
        <f t="shared" si="97"/>
        <v>1</v>
      </c>
      <c r="AD240" s="40">
        <f t="shared" si="98"/>
        <v>0</v>
      </c>
      <c r="AE240" s="40">
        <f t="shared" si="99"/>
        <v>0</v>
      </c>
      <c r="AF240" s="40">
        <f t="shared" si="100"/>
        <v>0</v>
      </c>
      <c r="AG240" s="40">
        <f t="shared" si="101"/>
        <v>0</v>
      </c>
      <c r="AH240" s="40">
        <f t="shared" si="102"/>
        <v>0</v>
      </c>
      <c r="AI240" s="40">
        <f t="shared" si="103"/>
        <v>0</v>
      </c>
      <c r="AJ240" s="40">
        <f t="shared" si="104"/>
        <v>0</v>
      </c>
      <c r="AK240" s="40">
        <f t="shared" si="105"/>
        <v>0</v>
      </c>
      <c r="AL240" s="40">
        <f t="shared" si="106"/>
        <v>1</v>
      </c>
      <c r="AM240" s="40">
        <f t="shared" si="107"/>
        <v>0</v>
      </c>
      <c r="AN240" s="40">
        <f t="shared" si="108"/>
        <v>0</v>
      </c>
      <c r="AO240" s="40">
        <f t="shared" si="109"/>
        <v>0</v>
      </c>
      <c r="AP240" s="40">
        <f t="shared" si="110"/>
        <v>0</v>
      </c>
      <c r="AQ240" s="40">
        <f t="shared" si="111"/>
        <v>0</v>
      </c>
      <c r="AR240" s="40">
        <f t="shared" si="112"/>
        <v>0</v>
      </c>
      <c r="AS240" s="40">
        <f t="shared" si="113"/>
        <v>0</v>
      </c>
    </row>
    <row r="241" spans="2:45" s="2" customFormat="1" ht="14.4" customHeight="1" x14ac:dyDescent="0.25">
      <c r="B241" s="56" t="s">
        <v>20</v>
      </c>
      <c r="C241" s="57" t="s">
        <v>23</v>
      </c>
      <c r="D241" s="58" t="s">
        <v>24</v>
      </c>
      <c r="E241" s="62">
        <v>6.4199999999999986E-3</v>
      </c>
      <c r="F241" s="65">
        <f t="shared" si="114"/>
        <v>-5.0483371612802674</v>
      </c>
      <c r="S241" s="40">
        <f t="shared" si="87"/>
        <v>0</v>
      </c>
      <c r="T241" s="40">
        <f t="shared" si="88"/>
        <v>0</v>
      </c>
      <c r="U241" s="40">
        <f t="shared" si="89"/>
        <v>1</v>
      </c>
      <c r="V241" s="40">
        <f t="shared" si="90"/>
        <v>0</v>
      </c>
      <c r="W241" s="40">
        <f t="shared" si="91"/>
        <v>0</v>
      </c>
      <c r="X241" s="40">
        <f t="shared" si="92"/>
        <v>0</v>
      </c>
      <c r="Y241" s="40">
        <f t="shared" si="93"/>
        <v>0</v>
      </c>
      <c r="Z241" s="40">
        <f t="shared" si="94"/>
        <v>0</v>
      </c>
      <c r="AA241" s="40">
        <f t="shared" si="95"/>
        <v>0</v>
      </c>
      <c r="AB241" s="40">
        <f t="shared" si="96"/>
        <v>0</v>
      </c>
      <c r="AC241" s="40">
        <f t="shared" si="97"/>
        <v>1</v>
      </c>
      <c r="AD241" s="40">
        <f t="shared" si="98"/>
        <v>0</v>
      </c>
      <c r="AE241" s="40">
        <f t="shared" si="99"/>
        <v>0</v>
      </c>
      <c r="AF241" s="40">
        <f t="shared" si="100"/>
        <v>0</v>
      </c>
      <c r="AG241" s="40">
        <f t="shared" si="101"/>
        <v>0</v>
      </c>
      <c r="AH241" s="40">
        <f t="shared" si="102"/>
        <v>0</v>
      </c>
      <c r="AI241" s="40">
        <f t="shared" si="103"/>
        <v>0</v>
      </c>
      <c r="AJ241" s="40">
        <f t="shared" si="104"/>
        <v>0</v>
      </c>
      <c r="AK241" s="40">
        <f t="shared" si="105"/>
        <v>0</v>
      </c>
      <c r="AL241" s="40">
        <f t="shared" si="106"/>
        <v>0</v>
      </c>
      <c r="AM241" s="40">
        <f t="shared" si="107"/>
        <v>0</v>
      </c>
      <c r="AN241" s="40">
        <f t="shared" si="108"/>
        <v>1</v>
      </c>
      <c r="AO241" s="40">
        <f t="shared" si="109"/>
        <v>0</v>
      </c>
      <c r="AP241" s="40">
        <f t="shared" si="110"/>
        <v>0</v>
      </c>
      <c r="AQ241" s="40">
        <f t="shared" si="111"/>
        <v>0</v>
      </c>
      <c r="AR241" s="40">
        <f t="shared" si="112"/>
        <v>0</v>
      </c>
      <c r="AS241" s="40">
        <f t="shared" si="113"/>
        <v>0</v>
      </c>
    </row>
    <row r="242" spans="2:45" s="2" customFormat="1" ht="14.4" customHeight="1" x14ac:dyDescent="0.25">
      <c r="B242" s="56" t="s">
        <v>20</v>
      </c>
      <c r="C242" s="57" t="s">
        <v>23</v>
      </c>
      <c r="D242" s="58" t="s">
        <v>29</v>
      </c>
      <c r="E242" s="62">
        <v>4.1399999999999987E-3</v>
      </c>
      <c r="F242" s="65">
        <f t="shared" si="114"/>
        <v>-5.4870594911449144</v>
      </c>
      <c r="S242" s="40">
        <f t="shared" si="87"/>
        <v>0</v>
      </c>
      <c r="T242" s="40">
        <f t="shared" si="88"/>
        <v>0</v>
      </c>
      <c r="U242" s="40">
        <f t="shared" si="89"/>
        <v>1</v>
      </c>
      <c r="V242" s="40">
        <f t="shared" si="90"/>
        <v>0</v>
      </c>
      <c r="W242" s="40">
        <f t="shared" si="91"/>
        <v>0</v>
      </c>
      <c r="X242" s="40">
        <f t="shared" si="92"/>
        <v>0</v>
      </c>
      <c r="Y242" s="40">
        <f t="shared" si="93"/>
        <v>0</v>
      </c>
      <c r="Z242" s="40">
        <f t="shared" si="94"/>
        <v>0</v>
      </c>
      <c r="AA242" s="40">
        <f t="shared" si="95"/>
        <v>0</v>
      </c>
      <c r="AB242" s="40">
        <f t="shared" si="96"/>
        <v>0</v>
      </c>
      <c r="AC242" s="40">
        <f t="shared" si="97"/>
        <v>1</v>
      </c>
      <c r="AD242" s="40">
        <f t="shared" si="98"/>
        <v>0</v>
      </c>
      <c r="AE242" s="40">
        <f t="shared" si="99"/>
        <v>0</v>
      </c>
      <c r="AF242" s="40">
        <f t="shared" si="100"/>
        <v>0</v>
      </c>
      <c r="AG242" s="40">
        <f t="shared" si="101"/>
        <v>0</v>
      </c>
      <c r="AH242" s="40">
        <f t="shared" si="102"/>
        <v>0</v>
      </c>
      <c r="AI242" s="40">
        <f t="shared" si="103"/>
        <v>1</v>
      </c>
      <c r="AJ242" s="40">
        <f t="shared" si="104"/>
        <v>0</v>
      </c>
      <c r="AK242" s="40">
        <f t="shared" si="105"/>
        <v>0</v>
      </c>
      <c r="AL242" s="40">
        <f t="shared" si="106"/>
        <v>0</v>
      </c>
      <c r="AM242" s="40">
        <f t="shared" si="107"/>
        <v>0</v>
      </c>
      <c r="AN242" s="40">
        <f t="shared" si="108"/>
        <v>0</v>
      </c>
      <c r="AO242" s="40">
        <f t="shared" si="109"/>
        <v>0</v>
      </c>
      <c r="AP242" s="40">
        <f t="shared" si="110"/>
        <v>0</v>
      </c>
      <c r="AQ242" s="40">
        <f t="shared" si="111"/>
        <v>0</v>
      </c>
      <c r="AR242" s="40">
        <f t="shared" si="112"/>
        <v>0</v>
      </c>
      <c r="AS242" s="40">
        <f t="shared" si="113"/>
        <v>0</v>
      </c>
    </row>
    <row r="243" spans="2:45" s="2" customFormat="1" ht="14.4" customHeight="1" x14ac:dyDescent="0.25">
      <c r="B243" s="56" t="s">
        <v>20</v>
      </c>
      <c r="C243" s="57" t="s">
        <v>23</v>
      </c>
      <c r="D243" s="58" t="s">
        <v>28</v>
      </c>
      <c r="E243" s="62">
        <v>2.8400000000000001E-3</v>
      </c>
      <c r="F243" s="65">
        <f t="shared" si="114"/>
        <v>-5.8639512268090224</v>
      </c>
      <c r="S243" s="40">
        <f t="shared" si="87"/>
        <v>0</v>
      </c>
      <c r="T243" s="40">
        <f t="shared" si="88"/>
        <v>0</v>
      </c>
      <c r="U243" s="40">
        <f t="shared" si="89"/>
        <v>1</v>
      </c>
      <c r="V243" s="40">
        <f t="shared" si="90"/>
        <v>0</v>
      </c>
      <c r="W243" s="40">
        <f t="shared" si="91"/>
        <v>0</v>
      </c>
      <c r="X243" s="40">
        <f t="shared" si="92"/>
        <v>0</v>
      </c>
      <c r="Y243" s="40">
        <f t="shared" si="93"/>
        <v>0</v>
      </c>
      <c r="Z243" s="40">
        <f t="shared" si="94"/>
        <v>0</v>
      </c>
      <c r="AA243" s="40">
        <f t="shared" si="95"/>
        <v>0</v>
      </c>
      <c r="AB243" s="40">
        <f t="shared" si="96"/>
        <v>0</v>
      </c>
      <c r="AC243" s="40">
        <f t="shared" si="97"/>
        <v>1</v>
      </c>
      <c r="AD243" s="40">
        <f t="shared" si="98"/>
        <v>0</v>
      </c>
      <c r="AE243" s="40">
        <f t="shared" si="99"/>
        <v>0</v>
      </c>
      <c r="AF243" s="40">
        <f t="shared" si="100"/>
        <v>0</v>
      </c>
      <c r="AG243" s="40">
        <f t="shared" si="101"/>
        <v>0</v>
      </c>
      <c r="AH243" s="40">
        <f t="shared" si="102"/>
        <v>0</v>
      </c>
      <c r="AI243" s="40">
        <f t="shared" si="103"/>
        <v>1</v>
      </c>
      <c r="AJ243" s="40">
        <f t="shared" si="104"/>
        <v>0</v>
      </c>
      <c r="AK243" s="40">
        <f t="shared" si="105"/>
        <v>0</v>
      </c>
      <c r="AL243" s="40">
        <f t="shared" si="106"/>
        <v>0</v>
      </c>
      <c r="AM243" s="40">
        <f t="shared" si="107"/>
        <v>0</v>
      </c>
      <c r="AN243" s="40">
        <f t="shared" si="108"/>
        <v>0</v>
      </c>
      <c r="AO243" s="40">
        <f t="shared" si="109"/>
        <v>0</v>
      </c>
      <c r="AP243" s="40">
        <f t="shared" si="110"/>
        <v>0</v>
      </c>
      <c r="AQ243" s="40">
        <f t="shared" si="111"/>
        <v>0</v>
      </c>
      <c r="AR243" s="40">
        <f t="shared" si="112"/>
        <v>0</v>
      </c>
      <c r="AS243" s="40">
        <f t="shared" si="113"/>
        <v>0</v>
      </c>
    </row>
    <row r="244" spans="2:45" s="2" customFormat="1" ht="14.4" customHeight="1" x14ac:dyDescent="0.25">
      <c r="B244" s="56" t="s">
        <v>20</v>
      </c>
      <c r="C244" s="57" t="s">
        <v>23</v>
      </c>
      <c r="D244" s="58" t="s">
        <v>28</v>
      </c>
      <c r="E244" s="62">
        <v>2.3100000000000009E-3</v>
      </c>
      <c r="F244" s="65">
        <f t="shared" si="114"/>
        <v>-6.0705077544484345</v>
      </c>
      <c r="S244" s="40">
        <f t="shared" si="87"/>
        <v>0</v>
      </c>
      <c r="T244" s="40">
        <f t="shared" si="88"/>
        <v>0</v>
      </c>
      <c r="U244" s="40">
        <f t="shared" si="89"/>
        <v>1</v>
      </c>
      <c r="V244" s="40">
        <f t="shared" si="90"/>
        <v>0</v>
      </c>
      <c r="W244" s="40">
        <f t="shared" si="91"/>
        <v>0</v>
      </c>
      <c r="X244" s="40">
        <f t="shared" si="92"/>
        <v>0</v>
      </c>
      <c r="Y244" s="40">
        <f t="shared" si="93"/>
        <v>0</v>
      </c>
      <c r="Z244" s="40">
        <f t="shared" si="94"/>
        <v>0</v>
      </c>
      <c r="AA244" s="40">
        <f t="shared" si="95"/>
        <v>0</v>
      </c>
      <c r="AB244" s="40">
        <f t="shared" si="96"/>
        <v>0</v>
      </c>
      <c r="AC244" s="40">
        <f t="shared" si="97"/>
        <v>1</v>
      </c>
      <c r="AD244" s="40">
        <f t="shared" si="98"/>
        <v>0</v>
      </c>
      <c r="AE244" s="40">
        <f t="shared" si="99"/>
        <v>0</v>
      </c>
      <c r="AF244" s="40">
        <f t="shared" si="100"/>
        <v>0</v>
      </c>
      <c r="AG244" s="40">
        <f t="shared" si="101"/>
        <v>0</v>
      </c>
      <c r="AH244" s="40">
        <f t="shared" si="102"/>
        <v>0</v>
      </c>
      <c r="AI244" s="40">
        <f t="shared" si="103"/>
        <v>0</v>
      </c>
      <c r="AJ244" s="40">
        <f t="shared" si="104"/>
        <v>0</v>
      </c>
      <c r="AK244" s="40">
        <f t="shared" si="105"/>
        <v>0</v>
      </c>
      <c r="AL244" s="40">
        <f t="shared" si="106"/>
        <v>1</v>
      </c>
      <c r="AM244" s="40">
        <f t="shared" si="107"/>
        <v>0</v>
      </c>
      <c r="AN244" s="40">
        <f t="shared" si="108"/>
        <v>0</v>
      </c>
      <c r="AO244" s="40">
        <f t="shared" si="109"/>
        <v>0</v>
      </c>
      <c r="AP244" s="40">
        <f t="shared" si="110"/>
        <v>0</v>
      </c>
      <c r="AQ244" s="40">
        <f t="shared" si="111"/>
        <v>0</v>
      </c>
      <c r="AR244" s="40">
        <f t="shared" si="112"/>
        <v>0</v>
      </c>
      <c r="AS244" s="40">
        <f t="shared" si="113"/>
        <v>0</v>
      </c>
    </row>
    <row r="245" spans="2:45" s="2" customFormat="1" ht="14.4" customHeight="1" x14ac:dyDescent="0.25">
      <c r="B245" s="56" t="s">
        <v>20</v>
      </c>
      <c r="C245" s="57" t="s">
        <v>23</v>
      </c>
      <c r="D245" s="58" t="s">
        <v>24</v>
      </c>
      <c r="E245" s="62">
        <v>2.8299999999999996E-3</v>
      </c>
      <c r="F245" s="65">
        <f t="shared" si="114"/>
        <v>-5.8674785673269909</v>
      </c>
      <c r="S245" s="40">
        <f t="shared" si="87"/>
        <v>0</v>
      </c>
      <c r="T245" s="40">
        <f t="shared" si="88"/>
        <v>0</v>
      </c>
      <c r="U245" s="40">
        <f t="shared" si="89"/>
        <v>1</v>
      </c>
      <c r="V245" s="40">
        <f t="shared" si="90"/>
        <v>0</v>
      </c>
      <c r="W245" s="40">
        <f t="shared" si="91"/>
        <v>0</v>
      </c>
      <c r="X245" s="40">
        <f t="shared" si="92"/>
        <v>0</v>
      </c>
      <c r="Y245" s="40">
        <f t="shared" si="93"/>
        <v>0</v>
      </c>
      <c r="Z245" s="40">
        <f t="shared" si="94"/>
        <v>0</v>
      </c>
      <c r="AA245" s="40">
        <f t="shared" si="95"/>
        <v>0</v>
      </c>
      <c r="AB245" s="40">
        <f t="shared" si="96"/>
        <v>0</v>
      </c>
      <c r="AC245" s="40">
        <f t="shared" si="97"/>
        <v>1</v>
      </c>
      <c r="AD245" s="40">
        <f t="shared" si="98"/>
        <v>0</v>
      </c>
      <c r="AE245" s="40">
        <f t="shared" si="99"/>
        <v>0</v>
      </c>
      <c r="AF245" s="40">
        <f t="shared" si="100"/>
        <v>0</v>
      </c>
      <c r="AG245" s="40">
        <f t="shared" si="101"/>
        <v>0</v>
      </c>
      <c r="AH245" s="40">
        <f t="shared" si="102"/>
        <v>0</v>
      </c>
      <c r="AI245" s="40">
        <f t="shared" si="103"/>
        <v>0</v>
      </c>
      <c r="AJ245" s="40">
        <f t="shared" si="104"/>
        <v>0</v>
      </c>
      <c r="AK245" s="40">
        <f t="shared" si="105"/>
        <v>0</v>
      </c>
      <c r="AL245" s="40">
        <f t="shared" si="106"/>
        <v>1</v>
      </c>
      <c r="AM245" s="40">
        <f t="shared" si="107"/>
        <v>0</v>
      </c>
      <c r="AN245" s="40">
        <f t="shared" si="108"/>
        <v>0</v>
      </c>
      <c r="AO245" s="40">
        <f t="shared" si="109"/>
        <v>0</v>
      </c>
      <c r="AP245" s="40">
        <f t="shared" si="110"/>
        <v>0</v>
      </c>
      <c r="AQ245" s="40">
        <f t="shared" si="111"/>
        <v>0</v>
      </c>
      <c r="AR245" s="40">
        <f t="shared" si="112"/>
        <v>0</v>
      </c>
      <c r="AS245" s="40">
        <f t="shared" si="113"/>
        <v>0</v>
      </c>
    </row>
    <row r="246" spans="2:45" s="2" customFormat="1" ht="14.4" customHeight="1" x14ac:dyDescent="0.25">
      <c r="B246" s="56" t="s">
        <v>20</v>
      </c>
      <c r="C246" s="57" t="s">
        <v>23</v>
      </c>
      <c r="D246" s="58" t="s">
        <v>24</v>
      </c>
      <c r="E246" s="62">
        <v>3.8199999999999996E-3</v>
      </c>
      <c r="F246" s="65">
        <f t="shared" si="114"/>
        <v>-5.5675048563636533</v>
      </c>
      <c r="S246" s="40">
        <f t="shared" si="87"/>
        <v>0</v>
      </c>
      <c r="T246" s="40">
        <f t="shared" si="88"/>
        <v>0</v>
      </c>
      <c r="U246" s="40">
        <f t="shared" si="89"/>
        <v>1</v>
      </c>
      <c r="V246" s="40">
        <f t="shared" si="90"/>
        <v>0</v>
      </c>
      <c r="W246" s="40">
        <f t="shared" si="91"/>
        <v>0</v>
      </c>
      <c r="X246" s="40">
        <f t="shared" si="92"/>
        <v>0</v>
      </c>
      <c r="Y246" s="40">
        <f t="shared" si="93"/>
        <v>0</v>
      </c>
      <c r="Z246" s="40">
        <f t="shared" si="94"/>
        <v>0</v>
      </c>
      <c r="AA246" s="40">
        <f t="shared" si="95"/>
        <v>0</v>
      </c>
      <c r="AB246" s="40">
        <f t="shared" si="96"/>
        <v>0</v>
      </c>
      <c r="AC246" s="40">
        <f t="shared" si="97"/>
        <v>1</v>
      </c>
      <c r="AD246" s="40">
        <f t="shared" si="98"/>
        <v>0</v>
      </c>
      <c r="AE246" s="40">
        <f t="shared" si="99"/>
        <v>0</v>
      </c>
      <c r="AF246" s="40">
        <f t="shared" si="100"/>
        <v>0</v>
      </c>
      <c r="AG246" s="40">
        <f t="shared" si="101"/>
        <v>0</v>
      </c>
      <c r="AH246" s="40">
        <f t="shared" si="102"/>
        <v>0</v>
      </c>
      <c r="AI246" s="40">
        <f t="shared" si="103"/>
        <v>0</v>
      </c>
      <c r="AJ246" s="40">
        <f t="shared" si="104"/>
        <v>0</v>
      </c>
      <c r="AK246" s="40">
        <f t="shared" si="105"/>
        <v>0</v>
      </c>
      <c r="AL246" s="40">
        <f t="shared" si="106"/>
        <v>1</v>
      </c>
      <c r="AM246" s="40">
        <f t="shared" si="107"/>
        <v>0</v>
      </c>
      <c r="AN246" s="40">
        <f t="shared" si="108"/>
        <v>0</v>
      </c>
      <c r="AO246" s="40">
        <f t="shared" si="109"/>
        <v>0</v>
      </c>
      <c r="AP246" s="40">
        <f t="shared" si="110"/>
        <v>0</v>
      </c>
      <c r="AQ246" s="40">
        <f t="shared" si="111"/>
        <v>0</v>
      </c>
      <c r="AR246" s="40">
        <f t="shared" si="112"/>
        <v>0</v>
      </c>
      <c r="AS246" s="40">
        <f t="shared" si="113"/>
        <v>0</v>
      </c>
    </row>
    <row r="247" spans="2:45" s="2" customFormat="1" ht="14.4" customHeight="1" x14ac:dyDescent="0.25">
      <c r="B247" s="56" t="s">
        <v>20</v>
      </c>
      <c r="C247" s="57" t="s">
        <v>23</v>
      </c>
      <c r="D247" s="58" t="s">
        <v>24</v>
      </c>
      <c r="E247" s="62">
        <v>2.8000000000000008E-3</v>
      </c>
      <c r="F247" s="65">
        <f t="shared" si="114"/>
        <v>-5.8781358618009785</v>
      </c>
      <c r="S247" s="40">
        <f t="shared" si="87"/>
        <v>0</v>
      </c>
      <c r="T247" s="40">
        <f t="shared" si="88"/>
        <v>0</v>
      </c>
      <c r="U247" s="40">
        <f t="shared" si="89"/>
        <v>1</v>
      </c>
      <c r="V247" s="40">
        <f t="shared" si="90"/>
        <v>0</v>
      </c>
      <c r="W247" s="40">
        <f t="shared" si="91"/>
        <v>0</v>
      </c>
      <c r="X247" s="40">
        <f t="shared" si="92"/>
        <v>0</v>
      </c>
      <c r="Y247" s="40">
        <f t="shared" si="93"/>
        <v>0</v>
      </c>
      <c r="Z247" s="40">
        <f t="shared" si="94"/>
        <v>0</v>
      </c>
      <c r="AA247" s="40">
        <f t="shared" si="95"/>
        <v>0</v>
      </c>
      <c r="AB247" s="40">
        <f t="shared" si="96"/>
        <v>0</v>
      </c>
      <c r="AC247" s="40">
        <f t="shared" si="97"/>
        <v>1</v>
      </c>
      <c r="AD247" s="40">
        <f t="shared" si="98"/>
        <v>0</v>
      </c>
      <c r="AE247" s="40">
        <f t="shared" si="99"/>
        <v>0</v>
      </c>
      <c r="AF247" s="40">
        <f t="shared" si="100"/>
        <v>0</v>
      </c>
      <c r="AG247" s="40">
        <f t="shared" si="101"/>
        <v>0</v>
      </c>
      <c r="AH247" s="40">
        <f t="shared" si="102"/>
        <v>0</v>
      </c>
      <c r="AI247" s="40">
        <f t="shared" si="103"/>
        <v>0</v>
      </c>
      <c r="AJ247" s="40">
        <f t="shared" si="104"/>
        <v>0</v>
      </c>
      <c r="AK247" s="40">
        <f t="shared" si="105"/>
        <v>0</v>
      </c>
      <c r="AL247" s="40">
        <f t="shared" si="106"/>
        <v>0</v>
      </c>
      <c r="AM247" s="40">
        <f t="shared" si="107"/>
        <v>0</v>
      </c>
      <c r="AN247" s="40">
        <f t="shared" si="108"/>
        <v>0</v>
      </c>
      <c r="AO247" s="40">
        <f t="shared" si="109"/>
        <v>1</v>
      </c>
      <c r="AP247" s="40">
        <f t="shared" si="110"/>
        <v>0</v>
      </c>
      <c r="AQ247" s="40">
        <f t="shared" si="111"/>
        <v>0</v>
      </c>
      <c r="AR247" s="40">
        <f t="shared" si="112"/>
        <v>0</v>
      </c>
      <c r="AS247" s="40">
        <f t="shared" si="113"/>
        <v>0</v>
      </c>
    </row>
    <row r="248" spans="2:45" s="2" customFormat="1" ht="14.4" customHeight="1" x14ac:dyDescent="0.25">
      <c r="B248" s="56" t="s">
        <v>20</v>
      </c>
      <c r="C248" s="57" t="s">
        <v>23</v>
      </c>
      <c r="D248" s="58" t="s">
        <v>31</v>
      </c>
      <c r="E248" s="62">
        <v>3.6200000000000008E-3</v>
      </c>
      <c r="F248" s="65">
        <f t="shared" si="114"/>
        <v>-5.6212812531444571</v>
      </c>
      <c r="S248" s="40">
        <f t="shared" si="87"/>
        <v>0</v>
      </c>
      <c r="T248" s="40">
        <f t="shared" si="88"/>
        <v>0</v>
      </c>
      <c r="U248" s="40">
        <f t="shared" si="89"/>
        <v>1</v>
      </c>
      <c r="V248" s="40">
        <f t="shared" si="90"/>
        <v>0</v>
      </c>
      <c r="W248" s="40">
        <f t="shared" si="91"/>
        <v>0</v>
      </c>
      <c r="X248" s="40">
        <f t="shared" si="92"/>
        <v>0</v>
      </c>
      <c r="Y248" s="40">
        <f t="shared" si="93"/>
        <v>0</v>
      </c>
      <c r="Z248" s="40">
        <f t="shared" si="94"/>
        <v>0</v>
      </c>
      <c r="AA248" s="40">
        <f t="shared" si="95"/>
        <v>0</v>
      </c>
      <c r="AB248" s="40">
        <f t="shared" si="96"/>
        <v>0</v>
      </c>
      <c r="AC248" s="40">
        <f t="shared" si="97"/>
        <v>1</v>
      </c>
      <c r="AD248" s="40">
        <f t="shared" si="98"/>
        <v>0</v>
      </c>
      <c r="AE248" s="40">
        <f t="shared" si="99"/>
        <v>0</v>
      </c>
      <c r="AF248" s="40">
        <f t="shared" si="100"/>
        <v>0</v>
      </c>
      <c r="AG248" s="40">
        <f t="shared" si="101"/>
        <v>0</v>
      </c>
      <c r="AH248" s="40">
        <f t="shared" si="102"/>
        <v>0</v>
      </c>
      <c r="AI248" s="40">
        <f t="shared" si="103"/>
        <v>0</v>
      </c>
      <c r="AJ248" s="40">
        <f t="shared" si="104"/>
        <v>0</v>
      </c>
      <c r="AK248" s="40">
        <f t="shared" si="105"/>
        <v>0</v>
      </c>
      <c r="AL248" s="40">
        <f t="shared" si="106"/>
        <v>1</v>
      </c>
      <c r="AM248" s="40">
        <f t="shared" si="107"/>
        <v>0</v>
      </c>
      <c r="AN248" s="40">
        <f t="shared" si="108"/>
        <v>0</v>
      </c>
      <c r="AO248" s="40">
        <f t="shared" si="109"/>
        <v>0</v>
      </c>
      <c r="AP248" s="40">
        <f t="shared" si="110"/>
        <v>0</v>
      </c>
      <c r="AQ248" s="40">
        <f t="shared" si="111"/>
        <v>0</v>
      </c>
      <c r="AR248" s="40">
        <f t="shared" si="112"/>
        <v>0</v>
      </c>
      <c r="AS248" s="40">
        <f t="shared" si="113"/>
        <v>0</v>
      </c>
    </row>
    <row r="249" spans="2:45" s="2" customFormat="1" ht="14.4" customHeight="1" x14ac:dyDescent="0.25">
      <c r="B249" s="56" t="s">
        <v>20</v>
      </c>
      <c r="C249" s="57" t="s">
        <v>23</v>
      </c>
      <c r="D249" s="58" t="s">
        <v>24</v>
      </c>
      <c r="E249" s="62">
        <v>5.0299999999999989E-3</v>
      </c>
      <c r="F249" s="65">
        <f t="shared" si="114"/>
        <v>-5.2923352948704894</v>
      </c>
      <c r="S249" s="40">
        <f t="shared" si="87"/>
        <v>0</v>
      </c>
      <c r="T249" s="40">
        <f t="shared" si="88"/>
        <v>0</v>
      </c>
      <c r="U249" s="40">
        <f t="shared" si="89"/>
        <v>1</v>
      </c>
      <c r="V249" s="40">
        <f t="shared" si="90"/>
        <v>0</v>
      </c>
      <c r="W249" s="40">
        <f t="shared" si="91"/>
        <v>0</v>
      </c>
      <c r="X249" s="40">
        <f t="shared" si="92"/>
        <v>0</v>
      </c>
      <c r="Y249" s="40">
        <f t="shared" si="93"/>
        <v>0</v>
      </c>
      <c r="Z249" s="40">
        <f t="shared" si="94"/>
        <v>0</v>
      </c>
      <c r="AA249" s="40">
        <f t="shared" si="95"/>
        <v>0</v>
      </c>
      <c r="AB249" s="40">
        <f t="shared" si="96"/>
        <v>0</v>
      </c>
      <c r="AC249" s="40">
        <f t="shared" si="97"/>
        <v>1</v>
      </c>
      <c r="AD249" s="40">
        <f t="shared" si="98"/>
        <v>0</v>
      </c>
      <c r="AE249" s="40">
        <f t="shared" si="99"/>
        <v>0</v>
      </c>
      <c r="AF249" s="40">
        <f t="shared" si="100"/>
        <v>0</v>
      </c>
      <c r="AG249" s="40">
        <f t="shared" si="101"/>
        <v>0</v>
      </c>
      <c r="AH249" s="40">
        <f t="shared" si="102"/>
        <v>0</v>
      </c>
      <c r="AI249" s="40">
        <f t="shared" si="103"/>
        <v>0</v>
      </c>
      <c r="AJ249" s="40">
        <f t="shared" si="104"/>
        <v>0</v>
      </c>
      <c r="AK249" s="40">
        <f t="shared" si="105"/>
        <v>0</v>
      </c>
      <c r="AL249" s="40">
        <f t="shared" si="106"/>
        <v>1</v>
      </c>
      <c r="AM249" s="40">
        <f t="shared" si="107"/>
        <v>0</v>
      </c>
      <c r="AN249" s="40">
        <f t="shared" si="108"/>
        <v>0</v>
      </c>
      <c r="AO249" s="40">
        <f t="shared" si="109"/>
        <v>0</v>
      </c>
      <c r="AP249" s="40">
        <f t="shared" si="110"/>
        <v>0</v>
      </c>
      <c r="AQ249" s="40">
        <f t="shared" si="111"/>
        <v>0</v>
      </c>
      <c r="AR249" s="40">
        <f t="shared" si="112"/>
        <v>0</v>
      </c>
      <c r="AS249" s="40">
        <f t="shared" si="113"/>
        <v>0</v>
      </c>
    </row>
    <row r="250" spans="2:45" s="2" customFormat="1" ht="14.4" customHeight="1" x14ac:dyDescent="0.25">
      <c r="B250" s="56" t="s">
        <v>20</v>
      </c>
      <c r="C250" s="57" t="s">
        <v>23</v>
      </c>
      <c r="D250" s="58" t="s">
        <v>24</v>
      </c>
      <c r="E250" s="62">
        <v>6.0399999999999994E-3</v>
      </c>
      <c r="F250" s="65">
        <f t="shared" si="114"/>
        <v>-5.1093512670354135</v>
      </c>
      <c r="S250" s="40">
        <f t="shared" si="87"/>
        <v>0</v>
      </c>
      <c r="T250" s="40">
        <f t="shared" si="88"/>
        <v>0</v>
      </c>
      <c r="U250" s="40">
        <f t="shared" si="89"/>
        <v>1</v>
      </c>
      <c r="V250" s="40">
        <f t="shared" si="90"/>
        <v>0</v>
      </c>
      <c r="W250" s="40">
        <f t="shared" si="91"/>
        <v>0</v>
      </c>
      <c r="X250" s="40">
        <f t="shared" si="92"/>
        <v>0</v>
      </c>
      <c r="Y250" s="40">
        <f t="shared" si="93"/>
        <v>0</v>
      </c>
      <c r="Z250" s="40">
        <f t="shared" si="94"/>
        <v>0</v>
      </c>
      <c r="AA250" s="40">
        <f t="shared" si="95"/>
        <v>0</v>
      </c>
      <c r="AB250" s="40">
        <f t="shared" si="96"/>
        <v>0</v>
      </c>
      <c r="AC250" s="40">
        <f t="shared" si="97"/>
        <v>1</v>
      </c>
      <c r="AD250" s="40">
        <f t="shared" si="98"/>
        <v>0</v>
      </c>
      <c r="AE250" s="40">
        <f t="shared" si="99"/>
        <v>0</v>
      </c>
      <c r="AF250" s="40">
        <f t="shared" si="100"/>
        <v>0</v>
      </c>
      <c r="AG250" s="40">
        <f t="shared" si="101"/>
        <v>0</v>
      </c>
      <c r="AH250" s="40">
        <f t="shared" si="102"/>
        <v>0</v>
      </c>
      <c r="AI250" s="40">
        <f t="shared" si="103"/>
        <v>0</v>
      </c>
      <c r="AJ250" s="40">
        <f t="shared" si="104"/>
        <v>0</v>
      </c>
      <c r="AK250" s="40">
        <f t="shared" si="105"/>
        <v>0</v>
      </c>
      <c r="AL250" s="40">
        <f t="shared" si="106"/>
        <v>1</v>
      </c>
      <c r="AM250" s="40">
        <f t="shared" si="107"/>
        <v>0</v>
      </c>
      <c r="AN250" s="40">
        <f t="shared" si="108"/>
        <v>0</v>
      </c>
      <c r="AO250" s="40">
        <f t="shared" si="109"/>
        <v>0</v>
      </c>
      <c r="AP250" s="40">
        <f t="shared" si="110"/>
        <v>0</v>
      </c>
      <c r="AQ250" s="40">
        <f t="shared" si="111"/>
        <v>0</v>
      </c>
      <c r="AR250" s="40">
        <f t="shared" si="112"/>
        <v>0</v>
      </c>
      <c r="AS250" s="40">
        <f t="shared" si="113"/>
        <v>0</v>
      </c>
    </row>
    <row r="251" spans="2:45" s="2" customFormat="1" ht="14.4" customHeight="1" x14ac:dyDescent="0.25">
      <c r="B251" s="56" t="s">
        <v>20</v>
      </c>
      <c r="C251" s="57" t="s">
        <v>23</v>
      </c>
      <c r="D251" s="58" t="s">
        <v>24</v>
      </c>
      <c r="E251" s="62">
        <v>2.7600000000000007E-3</v>
      </c>
      <c r="F251" s="65">
        <f t="shared" si="114"/>
        <v>-5.8925245992530781</v>
      </c>
      <c r="S251" s="40">
        <f t="shared" si="87"/>
        <v>0</v>
      </c>
      <c r="T251" s="40">
        <f t="shared" si="88"/>
        <v>0</v>
      </c>
      <c r="U251" s="40">
        <f t="shared" si="89"/>
        <v>1</v>
      </c>
      <c r="V251" s="40">
        <f t="shared" si="90"/>
        <v>0</v>
      </c>
      <c r="W251" s="40">
        <f t="shared" si="91"/>
        <v>0</v>
      </c>
      <c r="X251" s="40">
        <f t="shared" si="92"/>
        <v>0</v>
      </c>
      <c r="Y251" s="40">
        <f t="shared" si="93"/>
        <v>0</v>
      </c>
      <c r="Z251" s="40">
        <f t="shared" si="94"/>
        <v>0</v>
      </c>
      <c r="AA251" s="40">
        <f t="shared" si="95"/>
        <v>0</v>
      </c>
      <c r="AB251" s="40">
        <f t="shared" si="96"/>
        <v>0</v>
      </c>
      <c r="AC251" s="40">
        <f t="shared" si="97"/>
        <v>1</v>
      </c>
      <c r="AD251" s="40">
        <f t="shared" si="98"/>
        <v>0</v>
      </c>
      <c r="AE251" s="40">
        <f t="shared" si="99"/>
        <v>0</v>
      </c>
      <c r="AF251" s="40">
        <f t="shared" si="100"/>
        <v>0</v>
      </c>
      <c r="AG251" s="40">
        <f t="shared" si="101"/>
        <v>0</v>
      </c>
      <c r="AH251" s="40">
        <f t="shared" si="102"/>
        <v>0</v>
      </c>
      <c r="AI251" s="40">
        <f t="shared" si="103"/>
        <v>0</v>
      </c>
      <c r="AJ251" s="40">
        <f t="shared" si="104"/>
        <v>0</v>
      </c>
      <c r="AK251" s="40">
        <f t="shared" si="105"/>
        <v>0</v>
      </c>
      <c r="AL251" s="40">
        <f t="shared" si="106"/>
        <v>1</v>
      </c>
      <c r="AM251" s="40">
        <f t="shared" si="107"/>
        <v>0</v>
      </c>
      <c r="AN251" s="40">
        <f t="shared" si="108"/>
        <v>0</v>
      </c>
      <c r="AO251" s="40">
        <f t="shared" si="109"/>
        <v>0</v>
      </c>
      <c r="AP251" s="40">
        <f t="shared" si="110"/>
        <v>0</v>
      </c>
      <c r="AQ251" s="40">
        <f t="shared" si="111"/>
        <v>0</v>
      </c>
      <c r="AR251" s="40">
        <f t="shared" si="112"/>
        <v>0</v>
      </c>
      <c r="AS251" s="40">
        <f t="shared" si="113"/>
        <v>0</v>
      </c>
    </row>
    <row r="252" spans="2:45" s="2" customFormat="1" ht="14.4" customHeight="1" x14ac:dyDescent="0.25">
      <c r="B252" s="56" t="s">
        <v>20</v>
      </c>
      <c r="C252" s="57" t="s">
        <v>23</v>
      </c>
      <c r="D252" s="58" t="s">
        <v>24</v>
      </c>
      <c r="E252" s="62">
        <v>2.98E-3</v>
      </c>
      <c r="F252" s="65">
        <f t="shared" si="114"/>
        <v>-5.815831978464824</v>
      </c>
      <c r="S252" s="40">
        <f t="shared" si="87"/>
        <v>0</v>
      </c>
      <c r="T252" s="40">
        <f t="shared" si="88"/>
        <v>0</v>
      </c>
      <c r="U252" s="40">
        <f t="shared" si="89"/>
        <v>1</v>
      </c>
      <c r="V252" s="40">
        <f t="shared" si="90"/>
        <v>0</v>
      </c>
      <c r="W252" s="40">
        <f t="shared" si="91"/>
        <v>0</v>
      </c>
      <c r="X252" s="40">
        <f t="shared" si="92"/>
        <v>0</v>
      </c>
      <c r="Y252" s="40">
        <f t="shared" si="93"/>
        <v>0</v>
      </c>
      <c r="Z252" s="40">
        <f t="shared" si="94"/>
        <v>0</v>
      </c>
      <c r="AA252" s="40">
        <f t="shared" si="95"/>
        <v>0</v>
      </c>
      <c r="AB252" s="40">
        <f t="shared" si="96"/>
        <v>0</v>
      </c>
      <c r="AC252" s="40">
        <f t="shared" si="97"/>
        <v>1</v>
      </c>
      <c r="AD252" s="40">
        <f t="shared" si="98"/>
        <v>0</v>
      </c>
      <c r="AE252" s="40">
        <f t="shared" si="99"/>
        <v>0</v>
      </c>
      <c r="AF252" s="40">
        <f t="shared" si="100"/>
        <v>0</v>
      </c>
      <c r="AG252" s="40">
        <f t="shared" si="101"/>
        <v>0</v>
      </c>
      <c r="AH252" s="40">
        <f t="shared" si="102"/>
        <v>0</v>
      </c>
      <c r="AI252" s="40">
        <f t="shared" si="103"/>
        <v>0</v>
      </c>
      <c r="AJ252" s="40">
        <f t="shared" si="104"/>
        <v>0</v>
      </c>
      <c r="AK252" s="40">
        <f t="shared" si="105"/>
        <v>0</v>
      </c>
      <c r="AL252" s="40">
        <f t="shared" si="106"/>
        <v>1</v>
      </c>
      <c r="AM252" s="40">
        <f t="shared" si="107"/>
        <v>0</v>
      </c>
      <c r="AN252" s="40">
        <f t="shared" si="108"/>
        <v>0</v>
      </c>
      <c r="AO252" s="40">
        <f t="shared" si="109"/>
        <v>0</v>
      </c>
      <c r="AP252" s="40">
        <f t="shared" si="110"/>
        <v>0</v>
      </c>
      <c r="AQ252" s="40">
        <f t="shared" si="111"/>
        <v>0</v>
      </c>
      <c r="AR252" s="40">
        <f t="shared" si="112"/>
        <v>0</v>
      </c>
      <c r="AS252" s="40">
        <f t="shared" si="113"/>
        <v>0</v>
      </c>
    </row>
    <row r="253" spans="2:45" s="2" customFormat="1" ht="14.4" customHeight="1" x14ac:dyDescent="0.25">
      <c r="B253" s="56" t="s">
        <v>20</v>
      </c>
      <c r="C253" s="57" t="s">
        <v>23</v>
      </c>
      <c r="D253" s="58" t="s">
        <v>24</v>
      </c>
      <c r="E253" s="62">
        <v>2.9199999999999994E-3</v>
      </c>
      <c r="F253" s="65">
        <f t="shared" si="114"/>
        <v>-5.8361716627019469</v>
      </c>
      <c r="S253" s="40">
        <f t="shared" si="87"/>
        <v>0</v>
      </c>
      <c r="T253" s="40">
        <f t="shared" si="88"/>
        <v>0</v>
      </c>
      <c r="U253" s="40">
        <f t="shared" si="89"/>
        <v>1</v>
      </c>
      <c r="V253" s="40">
        <f t="shared" si="90"/>
        <v>0</v>
      </c>
      <c r="W253" s="40">
        <f t="shared" si="91"/>
        <v>0</v>
      </c>
      <c r="X253" s="40">
        <f t="shared" si="92"/>
        <v>0</v>
      </c>
      <c r="Y253" s="40">
        <f t="shared" si="93"/>
        <v>0</v>
      </c>
      <c r="Z253" s="40">
        <f t="shared" si="94"/>
        <v>0</v>
      </c>
      <c r="AA253" s="40">
        <f t="shared" si="95"/>
        <v>0</v>
      </c>
      <c r="AB253" s="40">
        <f t="shared" si="96"/>
        <v>0</v>
      </c>
      <c r="AC253" s="40">
        <f t="shared" si="97"/>
        <v>1</v>
      </c>
      <c r="AD253" s="40">
        <f t="shared" si="98"/>
        <v>0</v>
      </c>
      <c r="AE253" s="40">
        <f t="shared" si="99"/>
        <v>0</v>
      </c>
      <c r="AF253" s="40">
        <f t="shared" si="100"/>
        <v>0</v>
      </c>
      <c r="AG253" s="40">
        <f t="shared" si="101"/>
        <v>0</v>
      </c>
      <c r="AH253" s="40">
        <f t="shared" si="102"/>
        <v>1</v>
      </c>
      <c r="AI253" s="40">
        <f t="shared" si="103"/>
        <v>0</v>
      </c>
      <c r="AJ253" s="40">
        <f t="shared" si="104"/>
        <v>0</v>
      </c>
      <c r="AK253" s="40">
        <f t="shared" si="105"/>
        <v>0</v>
      </c>
      <c r="AL253" s="40">
        <f t="shared" si="106"/>
        <v>0</v>
      </c>
      <c r="AM253" s="40">
        <f t="shared" si="107"/>
        <v>0</v>
      </c>
      <c r="AN253" s="40">
        <f t="shared" si="108"/>
        <v>0</v>
      </c>
      <c r="AO253" s="40">
        <f t="shared" si="109"/>
        <v>0</v>
      </c>
      <c r="AP253" s="40">
        <f t="shared" si="110"/>
        <v>0</v>
      </c>
      <c r="AQ253" s="40">
        <f t="shared" si="111"/>
        <v>0</v>
      </c>
      <c r="AR253" s="40">
        <f t="shared" si="112"/>
        <v>0</v>
      </c>
      <c r="AS253" s="40">
        <f t="shared" si="113"/>
        <v>0</v>
      </c>
    </row>
    <row r="254" spans="2:45" s="2" customFormat="1" ht="14.4" customHeight="1" x14ac:dyDescent="0.25">
      <c r="B254" s="56" t="s">
        <v>20</v>
      </c>
      <c r="C254" s="57" t="s">
        <v>23</v>
      </c>
      <c r="D254" s="58" t="s">
        <v>27</v>
      </c>
      <c r="E254" s="62">
        <v>4.1500000000000009E-3</v>
      </c>
      <c r="F254" s="65">
        <f t="shared" si="114"/>
        <v>-5.4846469447395299</v>
      </c>
      <c r="S254" s="40">
        <f t="shared" si="87"/>
        <v>0</v>
      </c>
      <c r="T254" s="40">
        <f t="shared" si="88"/>
        <v>0</v>
      </c>
      <c r="U254" s="40">
        <f t="shared" si="89"/>
        <v>1</v>
      </c>
      <c r="V254" s="40">
        <f t="shared" si="90"/>
        <v>0</v>
      </c>
      <c r="W254" s="40">
        <f t="shared" si="91"/>
        <v>0</v>
      </c>
      <c r="X254" s="40">
        <f t="shared" si="92"/>
        <v>0</v>
      </c>
      <c r="Y254" s="40">
        <f t="shared" si="93"/>
        <v>0</v>
      </c>
      <c r="Z254" s="40">
        <f t="shared" si="94"/>
        <v>0</v>
      </c>
      <c r="AA254" s="40">
        <f t="shared" si="95"/>
        <v>0</v>
      </c>
      <c r="AB254" s="40">
        <f t="shared" si="96"/>
        <v>0</v>
      </c>
      <c r="AC254" s="40">
        <f t="shared" si="97"/>
        <v>1</v>
      </c>
      <c r="AD254" s="40">
        <f t="shared" si="98"/>
        <v>0</v>
      </c>
      <c r="AE254" s="40">
        <f t="shared" si="99"/>
        <v>0</v>
      </c>
      <c r="AF254" s="40">
        <f t="shared" si="100"/>
        <v>0</v>
      </c>
      <c r="AG254" s="40">
        <f t="shared" si="101"/>
        <v>0</v>
      </c>
      <c r="AH254" s="40">
        <f t="shared" si="102"/>
        <v>0</v>
      </c>
      <c r="AI254" s="40">
        <f t="shared" si="103"/>
        <v>1</v>
      </c>
      <c r="AJ254" s="40">
        <f t="shared" si="104"/>
        <v>0</v>
      </c>
      <c r="AK254" s="40">
        <f t="shared" si="105"/>
        <v>0</v>
      </c>
      <c r="AL254" s="40">
        <f t="shared" si="106"/>
        <v>0</v>
      </c>
      <c r="AM254" s="40">
        <f t="shared" si="107"/>
        <v>0</v>
      </c>
      <c r="AN254" s="40">
        <f t="shared" si="108"/>
        <v>0</v>
      </c>
      <c r="AO254" s="40">
        <f t="shared" si="109"/>
        <v>0</v>
      </c>
      <c r="AP254" s="40">
        <f t="shared" si="110"/>
        <v>0</v>
      </c>
      <c r="AQ254" s="40">
        <f t="shared" si="111"/>
        <v>0</v>
      </c>
      <c r="AR254" s="40">
        <f t="shared" si="112"/>
        <v>0</v>
      </c>
      <c r="AS254" s="40">
        <f t="shared" si="113"/>
        <v>0</v>
      </c>
    </row>
    <row r="255" spans="2:45" s="2" customFormat="1" ht="14.4" customHeight="1" x14ac:dyDescent="0.25">
      <c r="B255" s="56" t="s">
        <v>20</v>
      </c>
      <c r="C255" s="57" t="s">
        <v>23</v>
      </c>
      <c r="D255" s="58" t="s">
        <v>28</v>
      </c>
      <c r="E255" s="62">
        <v>3.7099999999999985E-3</v>
      </c>
      <c r="F255" s="65">
        <f t="shared" si="114"/>
        <v>-5.5967234023627936</v>
      </c>
      <c r="S255" s="40">
        <f t="shared" si="87"/>
        <v>0</v>
      </c>
      <c r="T255" s="40">
        <f t="shared" si="88"/>
        <v>0</v>
      </c>
      <c r="U255" s="40">
        <f t="shared" si="89"/>
        <v>1</v>
      </c>
      <c r="V255" s="40">
        <f t="shared" si="90"/>
        <v>0</v>
      </c>
      <c r="W255" s="40">
        <f t="shared" si="91"/>
        <v>0</v>
      </c>
      <c r="X255" s="40">
        <f t="shared" si="92"/>
        <v>0</v>
      </c>
      <c r="Y255" s="40">
        <f t="shared" si="93"/>
        <v>0</v>
      </c>
      <c r="Z255" s="40">
        <f t="shared" si="94"/>
        <v>0</v>
      </c>
      <c r="AA255" s="40">
        <f t="shared" si="95"/>
        <v>0</v>
      </c>
      <c r="AB255" s="40">
        <f t="shared" si="96"/>
        <v>0</v>
      </c>
      <c r="AC255" s="40">
        <f t="shared" si="97"/>
        <v>0</v>
      </c>
      <c r="AD255" s="40">
        <f t="shared" si="98"/>
        <v>1</v>
      </c>
      <c r="AE255" s="40">
        <f t="shared" si="99"/>
        <v>0</v>
      </c>
      <c r="AF255" s="40">
        <f t="shared" si="100"/>
        <v>0</v>
      </c>
      <c r="AG255" s="40">
        <f t="shared" si="101"/>
        <v>0</v>
      </c>
      <c r="AH255" s="40">
        <f t="shared" si="102"/>
        <v>0</v>
      </c>
      <c r="AI255" s="40">
        <f t="shared" si="103"/>
        <v>0</v>
      </c>
      <c r="AJ255" s="40">
        <f t="shared" si="104"/>
        <v>0</v>
      </c>
      <c r="AK255" s="40">
        <f t="shared" si="105"/>
        <v>0</v>
      </c>
      <c r="AL255" s="40">
        <f t="shared" si="106"/>
        <v>1</v>
      </c>
      <c r="AM255" s="40">
        <f t="shared" si="107"/>
        <v>0</v>
      </c>
      <c r="AN255" s="40">
        <f t="shared" si="108"/>
        <v>0</v>
      </c>
      <c r="AO255" s="40">
        <f t="shared" si="109"/>
        <v>0</v>
      </c>
      <c r="AP255" s="40">
        <f t="shared" si="110"/>
        <v>0</v>
      </c>
      <c r="AQ255" s="40">
        <f t="shared" si="111"/>
        <v>0</v>
      </c>
      <c r="AR255" s="40">
        <f t="shared" si="112"/>
        <v>0</v>
      </c>
      <c r="AS255" s="40">
        <f t="shared" si="113"/>
        <v>0</v>
      </c>
    </row>
    <row r="256" spans="2:45" s="2" customFormat="1" ht="14.4" customHeight="1" x14ac:dyDescent="0.25">
      <c r="B256" s="56" t="s">
        <v>20</v>
      </c>
      <c r="C256" s="57" t="s">
        <v>21</v>
      </c>
      <c r="D256" s="58" t="s">
        <v>24</v>
      </c>
      <c r="E256" s="62">
        <v>6.7099999999999998E-3</v>
      </c>
      <c r="F256" s="65">
        <f t="shared" si="114"/>
        <v>-5.0041563279985466</v>
      </c>
      <c r="S256" s="40">
        <f t="shared" si="87"/>
        <v>0</v>
      </c>
      <c r="T256" s="40">
        <f t="shared" si="88"/>
        <v>0</v>
      </c>
      <c r="U256" s="40">
        <f t="shared" si="89"/>
        <v>1</v>
      </c>
      <c r="V256" s="40">
        <f t="shared" si="90"/>
        <v>0</v>
      </c>
      <c r="W256" s="40">
        <f t="shared" si="91"/>
        <v>0</v>
      </c>
      <c r="X256" s="40">
        <f t="shared" si="92"/>
        <v>0</v>
      </c>
      <c r="Y256" s="40">
        <f t="shared" si="93"/>
        <v>0</v>
      </c>
      <c r="Z256" s="40">
        <f t="shared" si="94"/>
        <v>0</v>
      </c>
      <c r="AA256" s="40">
        <f t="shared" si="95"/>
        <v>0</v>
      </c>
      <c r="AB256" s="40">
        <f t="shared" si="96"/>
        <v>0</v>
      </c>
      <c r="AC256" s="40">
        <f t="shared" si="97"/>
        <v>0</v>
      </c>
      <c r="AD256" s="40">
        <f t="shared" si="98"/>
        <v>1</v>
      </c>
      <c r="AE256" s="40">
        <f t="shared" si="99"/>
        <v>0</v>
      </c>
      <c r="AF256" s="40">
        <f t="shared" si="100"/>
        <v>0</v>
      </c>
      <c r="AG256" s="40">
        <f t="shared" si="101"/>
        <v>0</v>
      </c>
      <c r="AH256" s="40">
        <f t="shared" si="102"/>
        <v>0</v>
      </c>
      <c r="AI256" s="40">
        <f t="shared" si="103"/>
        <v>0</v>
      </c>
      <c r="AJ256" s="40">
        <f t="shared" si="104"/>
        <v>0</v>
      </c>
      <c r="AK256" s="40">
        <f t="shared" si="105"/>
        <v>0</v>
      </c>
      <c r="AL256" s="40">
        <f t="shared" si="106"/>
        <v>0</v>
      </c>
      <c r="AM256" s="40">
        <f t="shared" si="107"/>
        <v>1</v>
      </c>
      <c r="AN256" s="40">
        <f t="shared" si="108"/>
        <v>0</v>
      </c>
      <c r="AO256" s="40">
        <f t="shared" si="109"/>
        <v>0</v>
      </c>
      <c r="AP256" s="40">
        <f t="shared" si="110"/>
        <v>0</v>
      </c>
      <c r="AQ256" s="40">
        <f t="shared" si="111"/>
        <v>0</v>
      </c>
      <c r="AR256" s="40">
        <f t="shared" si="112"/>
        <v>0</v>
      </c>
      <c r="AS256" s="40">
        <f t="shared" si="113"/>
        <v>0</v>
      </c>
    </row>
    <row r="257" spans="2:45" s="2" customFormat="1" ht="14.4" customHeight="1" x14ac:dyDescent="0.25">
      <c r="B257" s="56" t="s">
        <v>20</v>
      </c>
      <c r="C257" s="57" t="s">
        <v>21</v>
      </c>
      <c r="D257" s="58" t="s">
        <v>35</v>
      </c>
      <c r="E257" s="62">
        <v>6.069999999999999E-3</v>
      </c>
      <c r="F257" s="65">
        <f t="shared" si="114"/>
        <v>-5.1043966739107303</v>
      </c>
      <c r="S257" s="40">
        <f t="shared" si="87"/>
        <v>0</v>
      </c>
      <c r="T257" s="40">
        <f t="shared" si="88"/>
        <v>0</v>
      </c>
      <c r="U257" s="40">
        <f t="shared" si="89"/>
        <v>1</v>
      </c>
      <c r="V257" s="40">
        <f t="shared" si="90"/>
        <v>0</v>
      </c>
      <c r="W257" s="40">
        <f t="shared" si="91"/>
        <v>0</v>
      </c>
      <c r="X257" s="40">
        <f t="shared" si="92"/>
        <v>0</v>
      </c>
      <c r="Y257" s="40">
        <f t="shared" si="93"/>
        <v>0</v>
      </c>
      <c r="Z257" s="40">
        <f t="shared" si="94"/>
        <v>0</v>
      </c>
      <c r="AA257" s="40">
        <f t="shared" si="95"/>
        <v>0</v>
      </c>
      <c r="AB257" s="40">
        <f t="shared" si="96"/>
        <v>0</v>
      </c>
      <c r="AC257" s="40">
        <f t="shared" si="97"/>
        <v>0</v>
      </c>
      <c r="AD257" s="40">
        <f t="shared" si="98"/>
        <v>1</v>
      </c>
      <c r="AE257" s="40">
        <f t="shared" si="99"/>
        <v>0</v>
      </c>
      <c r="AF257" s="40">
        <f t="shared" si="100"/>
        <v>0</v>
      </c>
      <c r="AG257" s="40">
        <f t="shared" si="101"/>
        <v>0</v>
      </c>
      <c r="AH257" s="40">
        <f t="shared" si="102"/>
        <v>0</v>
      </c>
      <c r="AI257" s="40">
        <f t="shared" si="103"/>
        <v>0</v>
      </c>
      <c r="AJ257" s="40">
        <f t="shared" si="104"/>
        <v>0</v>
      </c>
      <c r="AK257" s="40">
        <f t="shared" si="105"/>
        <v>0</v>
      </c>
      <c r="AL257" s="40">
        <f t="shared" si="106"/>
        <v>1</v>
      </c>
      <c r="AM257" s="40">
        <f t="shared" si="107"/>
        <v>0</v>
      </c>
      <c r="AN257" s="40">
        <f t="shared" si="108"/>
        <v>0</v>
      </c>
      <c r="AO257" s="40">
        <f t="shared" si="109"/>
        <v>0</v>
      </c>
      <c r="AP257" s="40">
        <f t="shared" si="110"/>
        <v>0</v>
      </c>
      <c r="AQ257" s="40">
        <f t="shared" si="111"/>
        <v>0</v>
      </c>
      <c r="AR257" s="40">
        <f t="shared" si="112"/>
        <v>0</v>
      </c>
      <c r="AS257" s="40">
        <f t="shared" si="113"/>
        <v>0</v>
      </c>
    </row>
    <row r="258" spans="2:45" s="2" customFormat="1" ht="14.4" customHeight="1" x14ac:dyDescent="0.25">
      <c r="B258" s="56" t="s">
        <v>20</v>
      </c>
      <c r="C258" s="57" t="s">
        <v>21</v>
      </c>
      <c r="D258" s="58" t="s">
        <v>24</v>
      </c>
      <c r="E258" s="62">
        <v>6.8200000000000005E-3</v>
      </c>
      <c r="F258" s="65">
        <f t="shared" si="114"/>
        <v>-4.9878958071267663</v>
      </c>
      <c r="S258" s="40">
        <f t="shared" si="87"/>
        <v>0</v>
      </c>
      <c r="T258" s="40">
        <f t="shared" si="88"/>
        <v>0</v>
      </c>
      <c r="U258" s="40">
        <f t="shared" si="89"/>
        <v>1</v>
      </c>
      <c r="V258" s="40">
        <f t="shared" si="90"/>
        <v>0</v>
      </c>
      <c r="W258" s="40">
        <f t="shared" si="91"/>
        <v>0</v>
      </c>
      <c r="X258" s="40">
        <f t="shared" si="92"/>
        <v>0</v>
      </c>
      <c r="Y258" s="40">
        <f t="shared" si="93"/>
        <v>0</v>
      </c>
      <c r="Z258" s="40">
        <f t="shared" si="94"/>
        <v>0</v>
      </c>
      <c r="AA258" s="40">
        <f t="shared" si="95"/>
        <v>0</v>
      </c>
      <c r="AB258" s="40">
        <f t="shared" si="96"/>
        <v>1</v>
      </c>
      <c r="AC258" s="40">
        <f t="shared" si="97"/>
        <v>0</v>
      </c>
      <c r="AD258" s="40">
        <f t="shared" si="98"/>
        <v>0</v>
      </c>
      <c r="AE258" s="40">
        <f t="shared" si="99"/>
        <v>0</v>
      </c>
      <c r="AF258" s="40">
        <f t="shared" si="100"/>
        <v>0</v>
      </c>
      <c r="AG258" s="40">
        <f t="shared" si="101"/>
        <v>0</v>
      </c>
      <c r="AH258" s="40">
        <f t="shared" si="102"/>
        <v>0</v>
      </c>
      <c r="AI258" s="40">
        <f t="shared" si="103"/>
        <v>0</v>
      </c>
      <c r="AJ258" s="40">
        <f t="shared" si="104"/>
        <v>0</v>
      </c>
      <c r="AK258" s="40">
        <f t="shared" si="105"/>
        <v>0</v>
      </c>
      <c r="AL258" s="40">
        <f t="shared" si="106"/>
        <v>1</v>
      </c>
      <c r="AM258" s="40">
        <f t="shared" si="107"/>
        <v>0</v>
      </c>
      <c r="AN258" s="40">
        <f t="shared" si="108"/>
        <v>0</v>
      </c>
      <c r="AO258" s="40">
        <f t="shared" si="109"/>
        <v>0</v>
      </c>
      <c r="AP258" s="40">
        <f t="shared" si="110"/>
        <v>0</v>
      </c>
      <c r="AQ258" s="40">
        <f t="shared" si="111"/>
        <v>0</v>
      </c>
      <c r="AR258" s="40">
        <f t="shared" si="112"/>
        <v>0</v>
      </c>
      <c r="AS258" s="40">
        <f t="shared" si="113"/>
        <v>0</v>
      </c>
    </row>
    <row r="259" spans="2:45" s="2" customFormat="1" ht="14.4" customHeight="1" x14ac:dyDescent="0.25">
      <c r="B259" s="56" t="s">
        <v>20</v>
      </c>
      <c r="C259" s="57" t="s">
        <v>25</v>
      </c>
      <c r="D259" s="58" t="s">
        <v>24</v>
      </c>
      <c r="E259" s="62">
        <v>7.499999999999998E-3</v>
      </c>
      <c r="F259" s="65">
        <f t="shared" si="114"/>
        <v>-4.8928522584398726</v>
      </c>
      <c r="S259" s="40">
        <f t="shared" si="87"/>
        <v>0</v>
      </c>
      <c r="T259" s="40">
        <f t="shared" si="88"/>
        <v>0</v>
      </c>
      <c r="U259" s="40">
        <f t="shared" si="89"/>
        <v>1</v>
      </c>
      <c r="V259" s="40">
        <f t="shared" si="90"/>
        <v>0</v>
      </c>
      <c r="W259" s="40">
        <f t="shared" si="91"/>
        <v>0</v>
      </c>
      <c r="X259" s="40">
        <f t="shared" si="92"/>
        <v>0</v>
      </c>
      <c r="Y259" s="40">
        <f t="shared" si="93"/>
        <v>0</v>
      </c>
      <c r="Z259" s="40">
        <f t="shared" si="94"/>
        <v>0</v>
      </c>
      <c r="AA259" s="40">
        <f t="shared" si="95"/>
        <v>0</v>
      </c>
      <c r="AB259" s="40">
        <f t="shared" si="96"/>
        <v>1</v>
      </c>
      <c r="AC259" s="40">
        <f t="shared" si="97"/>
        <v>0</v>
      </c>
      <c r="AD259" s="40">
        <f t="shared" si="98"/>
        <v>0</v>
      </c>
      <c r="AE259" s="40">
        <f t="shared" si="99"/>
        <v>0</v>
      </c>
      <c r="AF259" s="40">
        <f t="shared" si="100"/>
        <v>0</v>
      </c>
      <c r="AG259" s="40">
        <f t="shared" si="101"/>
        <v>0</v>
      </c>
      <c r="AH259" s="40">
        <f t="shared" si="102"/>
        <v>0</v>
      </c>
      <c r="AI259" s="40">
        <f t="shared" si="103"/>
        <v>0</v>
      </c>
      <c r="AJ259" s="40">
        <f t="shared" si="104"/>
        <v>0</v>
      </c>
      <c r="AK259" s="40">
        <f t="shared" si="105"/>
        <v>0</v>
      </c>
      <c r="AL259" s="40">
        <f t="shared" si="106"/>
        <v>0</v>
      </c>
      <c r="AM259" s="40">
        <f t="shared" si="107"/>
        <v>0</v>
      </c>
      <c r="AN259" s="40">
        <f t="shared" si="108"/>
        <v>0</v>
      </c>
      <c r="AO259" s="40">
        <f t="shared" si="109"/>
        <v>1</v>
      </c>
      <c r="AP259" s="40">
        <f t="shared" si="110"/>
        <v>0</v>
      </c>
      <c r="AQ259" s="40">
        <f t="shared" si="111"/>
        <v>0</v>
      </c>
      <c r="AR259" s="40">
        <f t="shared" si="112"/>
        <v>0</v>
      </c>
      <c r="AS259" s="40">
        <f t="shared" si="113"/>
        <v>0</v>
      </c>
    </row>
    <row r="260" spans="2:45" s="2" customFormat="1" ht="14.4" customHeight="1" x14ac:dyDescent="0.25">
      <c r="B260" s="56" t="s">
        <v>20</v>
      </c>
      <c r="C260" s="57" t="s">
        <v>25</v>
      </c>
      <c r="D260" s="58" t="s">
        <v>31</v>
      </c>
      <c r="E260" s="62">
        <v>3.6200000000000008E-3</v>
      </c>
      <c r="F260" s="65">
        <f t="shared" si="114"/>
        <v>-5.6212812531444571</v>
      </c>
      <c r="S260" s="40">
        <f t="shared" si="87"/>
        <v>0</v>
      </c>
      <c r="T260" s="40">
        <f t="shared" si="88"/>
        <v>0</v>
      </c>
      <c r="U260" s="40">
        <f t="shared" si="89"/>
        <v>1</v>
      </c>
      <c r="V260" s="40">
        <f t="shared" si="90"/>
        <v>0</v>
      </c>
      <c r="W260" s="40">
        <f t="shared" si="91"/>
        <v>0</v>
      </c>
      <c r="X260" s="40">
        <f t="shared" si="92"/>
        <v>0</v>
      </c>
      <c r="Y260" s="40">
        <f t="shared" si="93"/>
        <v>0</v>
      </c>
      <c r="Z260" s="40">
        <f t="shared" si="94"/>
        <v>0</v>
      </c>
      <c r="AA260" s="40">
        <f t="shared" si="95"/>
        <v>0</v>
      </c>
      <c r="AB260" s="40">
        <f t="shared" si="96"/>
        <v>1</v>
      </c>
      <c r="AC260" s="40">
        <f t="shared" si="97"/>
        <v>0</v>
      </c>
      <c r="AD260" s="40">
        <f t="shared" si="98"/>
        <v>0</v>
      </c>
      <c r="AE260" s="40">
        <f t="shared" si="99"/>
        <v>0</v>
      </c>
      <c r="AF260" s="40">
        <f t="shared" si="100"/>
        <v>0</v>
      </c>
      <c r="AG260" s="40">
        <f t="shared" si="101"/>
        <v>0</v>
      </c>
      <c r="AH260" s="40">
        <f t="shared" si="102"/>
        <v>0</v>
      </c>
      <c r="AI260" s="40">
        <f t="shared" si="103"/>
        <v>0</v>
      </c>
      <c r="AJ260" s="40">
        <f t="shared" si="104"/>
        <v>0</v>
      </c>
      <c r="AK260" s="40">
        <f t="shared" si="105"/>
        <v>0</v>
      </c>
      <c r="AL260" s="40">
        <f t="shared" si="106"/>
        <v>1</v>
      </c>
      <c r="AM260" s="40">
        <f t="shared" si="107"/>
        <v>0</v>
      </c>
      <c r="AN260" s="40">
        <f t="shared" si="108"/>
        <v>0</v>
      </c>
      <c r="AO260" s="40">
        <f t="shared" si="109"/>
        <v>0</v>
      </c>
      <c r="AP260" s="40">
        <f t="shared" si="110"/>
        <v>0</v>
      </c>
      <c r="AQ260" s="40">
        <f t="shared" si="111"/>
        <v>0</v>
      </c>
      <c r="AR260" s="40">
        <f t="shared" si="112"/>
        <v>0</v>
      </c>
      <c r="AS260" s="40">
        <f t="shared" si="113"/>
        <v>0</v>
      </c>
    </row>
    <row r="261" spans="2:45" s="2" customFormat="1" ht="14.4" customHeight="1" x14ac:dyDescent="0.25">
      <c r="B261" s="56" t="s">
        <v>20</v>
      </c>
      <c r="C261" s="57" t="s">
        <v>25</v>
      </c>
      <c r="D261" s="58" t="s">
        <v>24</v>
      </c>
      <c r="E261" s="62">
        <v>4.409999999999999E-3</v>
      </c>
      <c r="F261" s="65">
        <f t="shared" si="114"/>
        <v>-5.4238805895233826</v>
      </c>
      <c r="S261" s="40">
        <f t="shared" si="87"/>
        <v>0</v>
      </c>
      <c r="T261" s="40">
        <f t="shared" si="88"/>
        <v>0</v>
      </c>
      <c r="U261" s="40">
        <f t="shared" si="89"/>
        <v>1</v>
      </c>
      <c r="V261" s="40">
        <f t="shared" si="90"/>
        <v>0</v>
      </c>
      <c r="W261" s="40">
        <f t="shared" si="91"/>
        <v>0</v>
      </c>
      <c r="X261" s="40">
        <f t="shared" si="92"/>
        <v>0</v>
      </c>
      <c r="Y261" s="40">
        <f t="shared" si="93"/>
        <v>0</v>
      </c>
      <c r="Z261" s="40">
        <f t="shared" si="94"/>
        <v>0</v>
      </c>
      <c r="AA261" s="40">
        <f t="shared" si="95"/>
        <v>0</v>
      </c>
      <c r="AB261" s="40">
        <f t="shared" si="96"/>
        <v>1</v>
      </c>
      <c r="AC261" s="40">
        <f t="shared" si="97"/>
        <v>0</v>
      </c>
      <c r="AD261" s="40">
        <f t="shared" si="98"/>
        <v>0</v>
      </c>
      <c r="AE261" s="40">
        <f t="shared" si="99"/>
        <v>0</v>
      </c>
      <c r="AF261" s="40">
        <f t="shared" si="100"/>
        <v>0</v>
      </c>
      <c r="AG261" s="40">
        <f t="shared" si="101"/>
        <v>0</v>
      </c>
      <c r="AH261" s="40">
        <f t="shared" si="102"/>
        <v>0</v>
      </c>
      <c r="AI261" s="40">
        <f t="shared" si="103"/>
        <v>0</v>
      </c>
      <c r="AJ261" s="40">
        <f t="shared" si="104"/>
        <v>0</v>
      </c>
      <c r="AK261" s="40">
        <f t="shared" si="105"/>
        <v>0</v>
      </c>
      <c r="AL261" s="40">
        <f t="shared" si="106"/>
        <v>1</v>
      </c>
      <c r="AM261" s="40">
        <f t="shared" si="107"/>
        <v>0</v>
      </c>
      <c r="AN261" s="40">
        <f t="shared" si="108"/>
        <v>0</v>
      </c>
      <c r="AO261" s="40">
        <f t="shared" si="109"/>
        <v>0</v>
      </c>
      <c r="AP261" s="40">
        <f t="shared" si="110"/>
        <v>0</v>
      </c>
      <c r="AQ261" s="40">
        <f t="shared" si="111"/>
        <v>0</v>
      </c>
      <c r="AR261" s="40">
        <f t="shared" si="112"/>
        <v>0</v>
      </c>
      <c r="AS261" s="40">
        <f t="shared" si="113"/>
        <v>0</v>
      </c>
    </row>
    <row r="262" spans="2:45" s="2" customFormat="1" ht="14.4" customHeight="1" x14ac:dyDescent="0.25">
      <c r="B262" s="56" t="s">
        <v>20</v>
      </c>
      <c r="C262" s="57" t="s">
        <v>25</v>
      </c>
      <c r="D262" s="58" t="s">
        <v>24</v>
      </c>
      <c r="E262" s="62">
        <v>2.3700000000000001E-3</v>
      </c>
      <c r="F262" s="65">
        <f t="shared" si="114"/>
        <v>-6.0448653238350971</v>
      </c>
      <c r="S262" s="40">
        <f t="shared" si="87"/>
        <v>0</v>
      </c>
      <c r="T262" s="40">
        <f t="shared" si="88"/>
        <v>0</v>
      </c>
      <c r="U262" s="40">
        <f t="shared" si="89"/>
        <v>1</v>
      </c>
      <c r="V262" s="40">
        <f t="shared" si="90"/>
        <v>0</v>
      </c>
      <c r="W262" s="40">
        <f t="shared" si="91"/>
        <v>0</v>
      </c>
      <c r="X262" s="40">
        <f t="shared" si="92"/>
        <v>0</v>
      </c>
      <c r="Y262" s="40">
        <f t="shared" si="93"/>
        <v>0</v>
      </c>
      <c r="Z262" s="40">
        <f t="shared" si="94"/>
        <v>0</v>
      </c>
      <c r="AA262" s="40">
        <f t="shared" si="95"/>
        <v>0</v>
      </c>
      <c r="AB262" s="40">
        <f t="shared" si="96"/>
        <v>1</v>
      </c>
      <c r="AC262" s="40">
        <f t="shared" si="97"/>
        <v>0</v>
      </c>
      <c r="AD262" s="40">
        <f t="shared" si="98"/>
        <v>0</v>
      </c>
      <c r="AE262" s="40">
        <f t="shared" si="99"/>
        <v>0</v>
      </c>
      <c r="AF262" s="40">
        <f t="shared" si="100"/>
        <v>0</v>
      </c>
      <c r="AG262" s="40">
        <f t="shared" si="101"/>
        <v>0</v>
      </c>
      <c r="AH262" s="40">
        <f t="shared" si="102"/>
        <v>1</v>
      </c>
      <c r="AI262" s="40">
        <f t="shared" si="103"/>
        <v>0</v>
      </c>
      <c r="AJ262" s="40">
        <f t="shared" si="104"/>
        <v>0</v>
      </c>
      <c r="AK262" s="40">
        <f t="shared" si="105"/>
        <v>0</v>
      </c>
      <c r="AL262" s="40">
        <f t="shared" si="106"/>
        <v>0</v>
      </c>
      <c r="AM262" s="40">
        <f t="shared" si="107"/>
        <v>0</v>
      </c>
      <c r="AN262" s="40">
        <f t="shared" si="108"/>
        <v>0</v>
      </c>
      <c r="AO262" s="40">
        <f t="shared" si="109"/>
        <v>0</v>
      </c>
      <c r="AP262" s="40">
        <f t="shared" si="110"/>
        <v>0</v>
      </c>
      <c r="AQ262" s="40">
        <f t="shared" si="111"/>
        <v>0</v>
      </c>
      <c r="AR262" s="40">
        <f t="shared" si="112"/>
        <v>0</v>
      </c>
      <c r="AS262" s="40">
        <f t="shared" si="113"/>
        <v>0</v>
      </c>
    </row>
    <row r="263" spans="2:45" s="2" customFormat="1" ht="14.4" customHeight="1" x14ac:dyDescent="0.25">
      <c r="B263" s="56" t="s">
        <v>20</v>
      </c>
      <c r="C263" s="57" t="s">
        <v>25</v>
      </c>
      <c r="D263" s="58" t="s">
        <v>27</v>
      </c>
      <c r="E263" s="62">
        <v>2.2100000000000006E-3</v>
      </c>
      <c r="F263" s="65">
        <f t="shared" si="114"/>
        <v>-6.1147627634524753</v>
      </c>
      <c r="S263" s="40">
        <f t="shared" si="87"/>
        <v>0</v>
      </c>
      <c r="T263" s="40">
        <f t="shared" si="88"/>
        <v>0</v>
      </c>
      <c r="U263" s="40">
        <f t="shared" si="89"/>
        <v>1</v>
      </c>
      <c r="V263" s="40">
        <f t="shared" si="90"/>
        <v>0</v>
      </c>
      <c r="W263" s="40">
        <f t="shared" si="91"/>
        <v>0</v>
      </c>
      <c r="X263" s="40">
        <f t="shared" si="92"/>
        <v>0</v>
      </c>
      <c r="Y263" s="40">
        <f t="shared" si="93"/>
        <v>0</v>
      </c>
      <c r="Z263" s="40">
        <f t="shared" si="94"/>
        <v>0</v>
      </c>
      <c r="AA263" s="40">
        <f t="shared" si="95"/>
        <v>0</v>
      </c>
      <c r="AB263" s="40">
        <f t="shared" si="96"/>
        <v>1</v>
      </c>
      <c r="AC263" s="40">
        <f t="shared" si="97"/>
        <v>0</v>
      </c>
      <c r="AD263" s="40">
        <f t="shared" si="98"/>
        <v>0</v>
      </c>
      <c r="AE263" s="40">
        <f t="shared" si="99"/>
        <v>0</v>
      </c>
      <c r="AF263" s="40">
        <f t="shared" si="100"/>
        <v>0</v>
      </c>
      <c r="AG263" s="40">
        <f t="shared" si="101"/>
        <v>0</v>
      </c>
      <c r="AH263" s="40">
        <f t="shared" si="102"/>
        <v>0</v>
      </c>
      <c r="AI263" s="40">
        <f t="shared" si="103"/>
        <v>0</v>
      </c>
      <c r="AJ263" s="40">
        <f t="shared" si="104"/>
        <v>0</v>
      </c>
      <c r="AK263" s="40">
        <f t="shared" si="105"/>
        <v>0</v>
      </c>
      <c r="AL263" s="40">
        <f t="shared" si="106"/>
        <v>1</v>
      </c>
      <c r="AM263" s="40">
        <f t="shared" si="107"/>
        <v>0</v>
      </c>
      <c r="AN263" s="40">
        <f t="shared" si="108"/>
        <v>0</v>
      </c>
      <c r="AO263" s="40">
        <f t="shared" si="109"/>
        <v>0</v>
      </c>
      <c r="AP263" s="40">
        <f t="shared" si="110"/>
        <v>0</v>
      </c>
      <c r="AQ263" s="40">
        <f t="shared" si="111"/>
        <v>0</v>
      </c>
      <c r="AR263" s="40">
        <f t="shared" si="112"/>
        <v>0</v>
      </c>
      <c r="AS263" s="40">
        <f t="shared" si="113"/>
        <v>0</v>
      </c>
    </row>
    <row r="264" spans="2:45" s="2" customFormat="1" ht="14.4" customHeight="1" x14ac:dyDescent="0.25">
      <c r="B264" s="56" t="s">
        <v>20</v>
      </c>
      <c r="C264" s="57" t="s">
        <v>25</v>
      </c>
      <c r="D264" s="58" t="s">
        <v>24</v>
      </c>
      <c r="E264" s="62">
        <v>5.4599999999999996E-3</v>
      </c>
      <c r="F264" s="65">
        <f t="shared" si="114"/>
        <v>-5.2103064892253235</v>
      </c>
      <c r="S264" s="40">
        <f t="shared" si="87"/>
        <v>0</v>
      </c>
      <c r="T264" s="40">
        <f t="shared" si="88"/>
        <v>0</v>
      </c>
      <c r="U264" s="40">
        <f t="shared" si="89"/>
        <v>1</v>
      </c>
      <c r="V264" s="40">
        <f t="shared" si="90"/>
        <v>0</v>
      </c>
      <c r="W264" s="40">
        <f t="shared" si="91"/>
        <v>0</v>
      </c>
      <c r="X264" s="40">
        <f t="shared" si="92"/>
        <v>0</v>
      </c>
      <c r="Y264" s="40">
        <f t="shared" si="93"/>
        <v>0</v>
      </c>
      <c r="Z264" s="40">
        <f t="shared" si="94"/>
        <v>0</v>
      </c>
      <c r="AA264" s="40">
        <f t="shared" si="95"/>
        <v>0</v>
      </c>
      <c r="AB264" s="40">
        <f t="shared" si="96"/>
        <v>1</v>
      </c>
      <c r="AC264" s="40">
        <f t="shared" si="97"/>
        <v>0</v>
      </c>
      <c r="AD264" s="40">
        <f t="shared" si="98"/>
        <v>0</v>
      </c>
      <c r="AE264" s="40">
        <f t="shared" si="99"/>
        <v>0</v>
      </c>
      <c r="AF264" s="40">
        <f t="shared" si="100"/>
        <v>0</v>
      </c>
      <c r="AG264" s="40">
        <f t="shared" si="101"/>
        <v>0</v>
      </c>
      <c r="AH264" s="40">
        <f t="shared" si="102"/>
        <v>0</v>
      </c>
      <c r="AI264" s="40">
        <f t="shared" si="103"/>
        <v>0</v>
      </c>
      <c r="AJ264" s="40">
        <f t="shared" si="104"/>
        <v>0</v>
      </c>
      <c r="AK264" s="40">
        <f t="shared" si="105"/>
        <v>0</v>
      </c>
      <c r="AL264" s="40">
        <f t="shared" si="106"/>
        <v>0</v>
      </c>
      <c r="AM264" s="40">
        <f t="shared" si="107"/>
        <v>0</v>
      </c>
      <c r="AN264" s="40">
        <f t="shared" si="108"/>
        <v>0</v>
      </c>
      <c r="AO264" s="40">
        <f t="shared" si="109"/>
        <v>0</v>
      </c>
      <c r="AP264" s="40">
        <f t="shared" si="110"/>
        <v>0</v>
      </c>
      <c r="AQ264" s="40">
        <f t="shared" si="111"/>
        <v>0</v>
      </c>
      <c r="AR264" s="40">
        <f t="shared" si="112"/>
        <v>0</v>
      </c>
      <c r="AS264" s="40">
        <f t="shared" si="113"/>
        <v>1</v>
      </c>
    </row>
    <row r="265" spans="2:45" s="2" customFormat="1" ht="14.4" customHeight="1" x14ac:dyDescent="0.25">
      <c r="B265" s="56" t="s">
        <v>20</v>
      </c>
      <c r="C265" s="57" t="s">
        <v>25</v>
      </c>
      <c r="D265" s="58" t="s">
        <v>22</v>
      </c>
      <c r="E265" s="62">
        <v>8.0100000000000015E-3</v>
      </c>
      <c r="F265" s="65">
        <f t="shared" si="114"/>
        <v>-4.827064517901869</v>
      </c>
      <c r="S265" s="40">
        <f t="shared" si="87"/>
        <v>0</v>
      </c>
      <c r="T265" s="40">
        <f t="shared" si="88"/>
        <v>0</v>
      </c>
      <c r="U265" s="40">
        <f t="shared" si="89"/>
        <v>1</v>
      </c>
      <c r="V265" s="40">
        <f t="shared" si="90"/>
        <v>0</v>
      </c>
      <c r="W265" s="40">
        <f t="shared" si="91"/>
        <v>0</v>
      </c>
      <c r="X265" s="40">
        <f t="shared" si="92"/>
        <v>0</v>
      </c>
      <c r="Y265" s="40">
        <f t="shared" si="93"/>
        <v>0</v>
      </c>
      <c r="Z265" s="40">
        <f t="shared" si="94"/>
        <v>0</v>
      </c>
      <c r="AA265" s="40">
        <f t="shared" si="95"/>
        <v>0</v>
      </c>
      <c r="AB265" s="40">
        <f t="shared" si="96"/>
        <v>0</v>
      </c>
      <c r="AC265" s="40">
        <f t="shared" si="97"/>
        <v>0</v>
      </c>
      <c r="AD265" s="40">
        <f t="shared" si="98"/>
        <v>0</v>
      </c>
      <c r="AE265" s="40">
        <f t="shared" si="99"/>
        <v>0</v>
      </c>
      <c r="AF265" s="40">
        <f t="shared" si="100"/>
        <v>0</v>
      </c>
      <c r="AG265" s="40">
        <f t="shared" si="101"/>
        <v>1</v>
      </c>
      <c r="AH265" s="40">
        <f t="shared" si="102"/>
        <v>0</v>
      </c>
      <c r="AI265" s="40">
        <f t="shared" si="103"/>
        <v>0</v>
      </c>
      <c r="AJ265" s="40">
        <f t="shared" si="104"/>
        <v>0</v>
      </c>
      <c r="AK265" s="40">
        <f t="shared" si="105"/>
        <v>0</v>
      </c>
      <c r="AL265" s="40">
        <f t="shared" si="106"/>
        <v>0</v>
      </c>
      <c r="AM265" s="40">
        <f t="shared" si="107"/>
        <v>0</v>
      </c>
      <c r="AN265" s="40">
        <f t="shared" si="108"/>
        <v>0</v>
      </c>
      <c r="AO265" s="40">
        <f t="shared" si="109"/>
        <v>0</v>
      </c>
      <c r="AP265" s="40">
        <f t="shared" si="110"/>
        <v>0</v>
      </c>
      <c r="AQ265" s="40">
        <f t="shared" si="111"/>
        <v>0</v>
      </c>
      <c r="AR265" s="40">
        <f t="shared" si="112"/>
        <v>0</v>
      </c>
      <c r="AS265" s="40">
        <f t="shared" si="113"/>
        <v>1</v>
      </c>
    </row>
    <row r="266" spans="2:45" s="2" customFormat="1" ht="14.4" customHeight="1" x14ac:dyDescent="0.25">
      <c r="B266" s="56" t="s">
        <v>20</v>
      </c>
      <c r="C266" s="57" t="s">
        <v>38</v>
      </c>
      <c r="D266" s="58" t="s">
        <v>22</v>
      </c>
      <c r="E266" s="62">
        <v>5.4200000000000003E-3</v>
      </c>
      <c r="F266" s="65">
        <f t="shared" si="114"/>
        <v>-5.2176594635305822</v>
      </c>
      <c r="S266" s="40">
        <f t="shared" ref="S266:S329" si="115">IF($B267=S$9,1,0)</f>
        <v>0</v>
      </c>
      <c r="T266" s="40">
        <f t="shared" ref="T266:T329" si="116">IF($B267=T$9,1,0)</f>
        <v>0</v>
      </c>
      <c r="U266" s="40">
        <f t="shared" ref="U266:U329" si="117">IF($B267=U$9,1,0)</f>
        <v>1</v>
      </c>
      <c r="V266" s="40">
        <f t="shared" ref="V266:V329" si="118">IF($B267=V$9,1,0)</f>
        <v>0</v>
      </c>
      <c r="W266" s="40">
        <f t="shared" ref="W266:W329" si="119">IF($B267=W$9,1,0)</f>
        <v>0</v>
      </c>
      <c r="X266" s="40">
        <f t="shared" ref="X266:X329" si="120">IF($B267=X$9,1,0)</f>
        <v>0</v>
      </c>
      <c r="Y266" s="40">
        <f t="shared" ref="Y266:Y329" si="121">IF($B267=Y$9,1,0)</f>
        <v>0</v>
      </c>
      <c r="Z266" s="40">
        <f t="shared" ref="Z266:Z329" si="122">IF($C267=Z$9,1,0)</f>
        <v>0</v>
      </c>
      <c r="AA266" s="40">
        <f t="shared" ref="AA266:AA329" si="123">IF($C267=AA$9,1,0)</f>
        <v>0</v>
      </c>
      <c r="AB266" s="40">
        <f t="shared" ref="AB266:AB329" si="124">IF($C267=AB$9,1,0)</f>
        <v>0</v>
      </c>
      <c r="AC266" s="40">
        <f t="shared" ref="AC266:AC329" si="125">IF($C267=AC$9,1,0)</f>
        <v>0</v>
      </c>
      <c r="AD266" s="40">
        <f t="shared" ref="AD266:AD329" si="126">IF($C267=AD$9,1,0)</f>
        <v>0</v>
      </c>
      <c r="AE266" s="40">
        <f t="shared" ref="AE266:AE329" si="127">IF($C267=AE$9,1,0)</f>
        <v>0</v>
      </c>
      <c r="AF266" s="40">
        <f t="shared" ref="AF266:AF329" si="128">IF($C267=AF$9,1,0)</f>
        <v>0</v>
      </c>
      <c r="AG266" s="40">
        <f t="shared" ref="AG266:AG329" si="129">IF($C267=AG$9,1,0)</f>
        <v>1</v>
      </c>
      <c r="AH266" s="40">
        <f t="shared" ref="AH266:AH329" si="130">IF($D267=AH$9,1,0)</f>
        <v>1</v>
      </c>
      <c r="AI266" s="40">
        <f t="shared" ref="AI266:AI329" si="131">IF($D267=AI$9,1,0)</f>
        <v>0</v>
      </c>
      <c r="AJ266" s="40">
        <f t="shared" ref="AJ266:AJ329" si="132">IF($D267=AJ$9,1,0)</f>
        <v>0</v>
      </c>
      <c r="AK266" s="40">
        <f t="shared" ref="AK266:AK329" si="133">IF($D267=AK$9,1,0)</f>
        <v>0</v>
      </c>
      <c r="AL266" s="40">
        <f t="shared" ref="AL266:AL329" si="134">IF($D267=AL$9,1,0)</f>
        <v>0</v>
      </c>
      <c r="AM266" s="40">
        <f t="shared" ref="AM266:AM329" si="135">IF($D267=AM$9,1,0)</f>
        <v>0</v>
      </c>
      <c r="AN266" s="40">
        <f t="shared" ref="AN266:AN329" si="136">IF($D267=AN$9,1,0)</f>
        <v>0</v>
      </c>
      <c r="AO266" s="40">
        <f t="shared" ref="AO266:AO329" si="137">IF($D267=AO$9,1,0)</f>
        <v>0</v>
      </c>
      <c r="AP266" s="40">
        <f t="shared" ref="AP266:AP329" si="138">IF($D267=AP$9,1,0)</f>
        <v>0</v>
      </c>
      <c r="AQ266" s="40">
        <f t="shared" ref="AQ266:AQ329" si="139">IF($D267=AQ$9,1,0)</f>
        <v>0</v>
      </c>
      <c r="AR266" s="40">
        <f t="shared" ref="AR266:AR329" si="140">IF($D267=AR$9,1,0)</f>
        <v>0</v>
      </c>
      <c r="AS266" s="40">
        <f t="shared" ref="AS266:AS329" si="141">IF($D267=AS$9,1,0)</f>
        <v>0</v>
      </c>
    </row>
    <row r="267" spans="2:45" s="2" customFormat="1" ht="14.4" customHeight="1" x14ac:dyDescent="0.25">
      <c r="B267" s="56" t="s">
        <v>20</v>
      </c>
      <c r="C267" s="57" t="s">
        <v>38</v>
      </c>
      <c r="D267" s="58" t="s">
        <v>27</v>
      </c>
      <c r="E267" s="62">
        <v>4.1900000000000019E-3</v>
      </c>
      <c r="F267" s="65">
        <f t="shared" si="114"/>
        <v>-5.4750545450480903</v>
      </c>
      <c r="S267" s="40">
        <f t="shared" si="115"/>
        <v>0</v>
      </c>
      <c r="T267" s="40">
        <f t="shared" si="116"/>
        <v>0</v>
      </c>
      <c r="U267" s="40">
        <f t="shared" si="117"/>
        <v>1</v>
      </c>
      <c r="V267" s="40">
        <f t="shared" si="118"/>
        <v>0</v>
      </c>
      <c r="W267" s="40">
        <f t="shared" si="119"/>
        <v>0</v>
      </c>
      <c r="X267" s="40">
        <f t="shared" si="120"/>
        <v>0</v>
      </c>
      <c r="Y267" s="40">
        <f t="shared" si="121"/>
        <v>0</v>
      </c>
      <c r="Z267" s="40">
        <f t="shared" si="122"/>
        <v>0</v>
      </c>
      <c r="AA267" s="40">
        <f t="shared" si="123"/>
        <v>0</v>
      </c>
      <c r="AB267" s="40">
        <f t="shared" si="124"/>
        <v>0</v>
      </c>
      <c r="AC267" s="40">
        <f t="shared" si="125"/>
        <v>0</v>
      </c>
      <c r="AD267" s="40">
        <f t="shared" si="126"/>
        <v>0</v>
      </c>
      <c r="AE267" s="40">
        <f t="shared" si="127"/>
        <v>0</v>
      </c>
      <c r="AF267" s="40">
        <f t="shared" si="128"/>
        <v>0</v>
      </c>
      <c r="AG267" s="40">
        <f t="shared" si="129"/>
        <v>1</v>
      </c>
      <c r="AH267" s="40">
        <f t="shared" si="130"/>
        <v>1</v>
      </c>
      <c r="AI267" s="40">
        <f t="shared" si="131"/>
        <v>0</v>
      </c>
      <c r="AJ267" s="40">
        <f t="shared" si="132"/>
        <v>0</v>
      </c>
      <c r="AK267" s="40">
        <f t="shared" si="133"/>
        <v>0</v>
      </c>
      <c r="AL267" s="40">
        <f t="shared" si="134"/>
        <v>0</v>
      </c>
      <c r="AM267" s="40">
        <f t="shared" si="135"/>
        <v>0</v>
      </c>
      <c r="AN267" s="40">
        <f t="shared" si="136"/>
        <v>0</v>
      </c>
      <c r="AO267" s="40">
        <f t="shared" si="137"/>
        <v>0</v>
      </c>
      <c r="AP267" s="40">
        <f t="shared" si="138"/>
        <v>0</v>
      </c>
      <c r="AQ267" s="40">
        <f t="shared" si="139"/>
        <v>0</v>
      </c>
      <c r="AR267" s="40">
        <f t="shared" si="140"/>
        <v>0</v>
      </c>
      <c r="AS267" s="40">
        <f t="shared" si="141"/>
        <v>0</v>
      </c>
    </row>
    <row r="268" spans="2:45" s="2" customFormat="1" ht="14.4" customHeight="1" x14ac:dyDescent="0.25">
      <c r="B268" s="56" t="s">
        <v>20</v>
      </c>
      <c r="C268" s="57" t="s">
        <v>38</v>
      </c>
      <c r="D268" s="58" t="s">
        <v>27</v>
      </c>
      <c r="E268" s="62">
        <v>4.1900000000000019E-3</v>
      </c>
      <c r="F268" s="65">
        <f t="shared" ref="F268:F331" si="142">LN(E268)</f>
        <v>-5.4750545450480903</v>
      </c>
      <c r="S268" s="40">
        <f t="shared" si="115"/>
        <v>0</v>
      </c>
      <c r="T268" s="40">
        <f t="shared" si="116"/>
        <v>0</v>
      </c>
      <c r="U268" s="40">
        <f t="shared" si="117"/>
        <v>1</v>
      </c>
      <c r="V268" s="40">
        <f t="shared" si="118"/>
        <v>0</v>
      </c>
      <c r="W268" s="40">
        <f t="shared" si="119"/>
        <v>0</v>
      </c>
      <c r="X268" s="40">
        <f t="shared" si="120"/>
        <v>0</v>
      </c>
      <c r="Y268" s="40">
        <f t="shared" si="121"/>
        <v>0</v>
      </c>
      <c r="Z268" s="40">
        <f t="shared" si="122"/>
        <v>0</v>
      </c>
      <c r="AA268" s="40">
        <f t="shared" si="123"/>
        <v>0</v>
      </c>
      <c r="AB268" s="40">
        <f t="shared" si="124"/>
        <v>0</v>
      </c>
      <c r="AC268" s="40">
        <f t="shared" si="125"/>
        <v>0</v>
      </c>
      <c r="AD268" s="40">
        <f t="shared" si="126"/>
        <v>0</v>
      </c>
      <c r="AE268" s="40">
        <f t="shared" si="127"/>
        <v>0</v>
      </c>
      <c r="AF268" s="40">
        <f t="shared" si="128"/>
        <v>0</v>
      </c>
      <c r="AG268" s="40">
        <f t="shared" si="129"/>
        <v>1</v>
      </c>
      <c r="AH268" s="40">
        <f t="shared" si="130"/>
        <v>0</v>
      </c>
      <c r="AI268" s="40">
        <f t="shared" si="131"/>
        <v>0</v>
      </c>
      <c r="AJ268" s="40">
        <f t="shared" si="132"/>
        <v>0</v>
      </c>
      <c r="AK268" s="40">
        <f t="shared" si="133"/>
        <v>0</v>
      </c>
      <c r="AL268" s="40">
        <f t="shared" si="134"/>
        <v>1</v>
      </c>
      <c r="AM268" s="40">
        <f t="shared" si="135"/>
        <v>0</v>
      </c>
      <c r="AN268" s="40">
        <f t="shared" si="136"/>
        <v>0</v>
      </c>
      <c r="AO268" s="40">
        <f t="shared" si="137"/>
        <v>0</v>
      </c>
      <c r="AP268" s="40">
        <f t="shared" si="138"/>
        <v>0</v>
      </c>
      <c r="AQ268" s="40">
        <f t="shared" si="139"/>
        <v>0</v>
      </c>
      <c r="AR268" s="40">
        <f t="shared" si="140"/>
        <v>0</v>
      </c>
      <c r="AS268" s="40">
        <f t="shared" si="141"/>
        <v>0</v>
      </c>
    </row>
    <row r="269" spans="2:45" s="2" customFormat="1" ht="14.4" customHeight="1" x14ac:dyDescent="0.25">
      <c r="B269" s="56" t="s">
        <v>20</v>
      </c>
      <c r="C269" s="57" t="s">
        <v>38</v>
      </c>
      <c r="D269" s="58" t="s">
        <v>24</v>
      </c>
      <c r="E269" s="62">
        <v>6.0500000000000007E-3</v>
      </c>
      <c r="F269" s="65">
        <f t="shared" si="142"/>
        <v>-5.1076970069393868</v>
      </c>
      <c r="S269" s="40">
        <f t="shared" si="115"/>
        <v>0</v>
      </c>
      <c r="T269" s="40">
        <f t="shared" si="116"/>
        <v>0</v>
      </c>
      <c r="U269" s="40">
        <f t="shared" si="117"/>
        <v>1</v>
      </c>
      <c r="V269" s="40">
        <f t="shared" si="118"/>
        <v>0</v>
      </c>
      <c r="W269" s="40">
        <f t="shared" si="119"/>
        <v>0</v>
      </c>
      <c r="X269" s="40">
        <f t="shared" si="120"/>
        <v>0</v>
      </c>
      <c r="Y269" s="40">
        <f t="shared" si="121"/>
        <v>0</v>
      </c>
      <c r="Z269" s="40">
        <f t="shared" si="122"/>
        <v>0</v>
      </c>
      <c r="AA269" s="40">
        <f t="shared" si="123"/>
        <v>0</v>
      </c>
      <c r="AB269" s="40">
        <f t="shared" si="124"/>
        <v>0</v>
      </c>
      <c r="AC269" s="40">
        <f t="shared" si="125"/>
        <v>0</v>
      </c>
      <c r="AD269" s="40">
        <f t="shared" si="126"/>
        <v>0</v>
      </c>
      <c r="AE269" s="40">
        <f t="shared" si="127"/>
        <v>0</v>
      </c>
      <c r="AF269" s="40">
        <f t="shared" si="128"/>
        <v>0</v>
      </c>
      <c r="AG269" s="40">
        <f t="shared" si="129"/>
        <v>1</v>
      </c>
      <c r="AH269" s="40">
        <f t="shared" si="130"/>
        <v>0</v>
      </c>
      <c r="AI269" s="40">
        <f t="shared" si="131"/>
        <v>0</v>
      </c>
      <c r="AJ269" s="40">
        <f t="shared" si="132"/>
        <v>0</v>
      </c>
      <c r="AK269" s="40">
        <f t="shared" si="133"/>
        <v>0</v>
      </c>
      <c r="AL269" s="40">
        <f t="shared" si="134"/>
        <v>0</v>
      </c>
      <c r="AM269" s="40">
        <f t="shared" si="135"/>
        <v>0</v>
      </c>
      <c r="AN269" s="40">
        <f t="shared" si="136"/>
        <v>0</v>
      </c>
      <c r="AO269" s="40">
        <f t="shared" si="137"/>
        <v>0</v>
      </c>
      <c r="AP269" s="40">
        <f t="shared" si="138"/>
        <v>0</v>
      </c>
      <c r="AQ269" s="40">
        <f t="shared" si="139"/>
        <v>0</v>
      </c>
      <c r="AR269" s="40">
        <f t="shared" si="140"/>
        <v>0</v>
      </c>
      <c r="AS269" s="40">
        <f t="shared" si="141"/>
        <v>1</v>
      </c>
    </row>
    <row r="270" spans="2:45" s="2" customFormat="1" ht="14.4" customHeight="1" x14ac:dyDescent="0.25">
      <c r="B270" s="56" t="s">
        <v>20</v>
      </c>
      <c r="C270" s="57" t="s">
        <v>38</v>
      </c>
      <c r="D270" s="58" t="s">
        <v>22</v>
      </c>
      <c r="E270" s="62">
        <v>6.1100000000000008E-3</v>
      </c>
      <c r="F270" s="65">
        <f t="shared" si="142"/>
        <v>-5.097828505798633</v>
      </c>
      <c r="S270" s="40">
        <f t="shared" si="115"/>
        <v>0</v>
      </c>
      <c r="T270" s="40">
        <f t="shared" si="116"/>
        <v>0</v>
      </c>
      <c r="U270" s="40">
        <f t="shared" si="117"/>
        <v>1</v>
      </c>
      <c r="V270" s="40">
        <f t="shared" si="118"/>
        <v>0</v>
      </c>
      <c r="W270" s="40">
        <f t="shared" si="119"/>
        <v>0</v>
      </c>
      <c r="X270" s="40">
        <f t="shared" si="120"/>
        <v>0</v>
      </c>
      <c r="Y270" s="40">
        <f t="shared" si="121"/>
        <v>0</v>
      </c>
      <c r="Z270" s="40">
        <f t="shared" si="122"/>
        <v>0</v>
      </c>
      <c r="AA270" s="40">
        <f t="shared" si="123"/>
        <v>0</v>
      </c>
      <c r="AB270" s="40">
        <f t="shared" si="124"/>
        <v>0</v>
      </c>
      <c r="AC270" s="40">
        <f t="shared" si="125"/>
        <v>0</v>
      </c>
      <c r="AD270" s="40">
        <f t="shared" si="126"/>
        <v>0</v>
      </c>
      <c r="AE270" s="40">
        <f t="shared" si="127"/>
        <v>0</v>
      </c>
      <c r="AF270" s="40">
        <f t="shared" si="128"/>
        <v>0</v>
      </c>
      <c r="AG270" s="40">
        <f t="shared" si="129"/>
        <v>1</v>
      </c>
      <c r="AH270" s="40">
        <f t="shared" si="130"/>
        <v>0</v>
      </c>
      <c r="AI270" s="40">
        <f t="shared" si="131"/>
        <v>0</v>
      </c>
      <c r="AJ270" s="40">
        <f t="shared" si="132"/>
        <v>0</v>
      </c>
      <c r="AK270" s="40">
        <f t="shared" si="133"/>
        <v>0</v>
      </c>
      <c r="AL270" s="40">
        <f t="shared" si="134"/>
        <v>1</v>
      </c>
      <c r="AM270" s="40">
        <f t="shared" si="135"/>
        <v>0</v>
      </c>
      <c r="AN270" s="40">
        <f t="shared" si="136"/>
        <v>0</v>
      </c>
      <c r="AO270" s="40">
        <f t="shared" si="137"/>
        <v>0</v>
      </c>
      <c r="AP270" s="40">
        <f t="shared" si="138"/>
        <v>0</v>
      </c>
      <c r="AQ270" s="40">
        <f t="shared" si="139"/>
        <v>0</v>
      </c>
      <c r="AR270" s="40">
        <f t="shared" si="140"/>
        <v>0</v>
      </c>
      <c r="AS270" s="40">
        <f t="shared" si="141"/>
        <v>0</v>
      </c>
    </row>
    <row r="271" spans="2:45" s="2" customFormat="1" ht="14.4" customHeight="1" x14ac:dyDescent="0.25">
      <c r="B271" s="56" t="s">
        <v>20</v>
      </c>
      <c r="C271" s="57" t="s">
        <v>38</v>
      </c>
      <c r="D271" s="58" t="s">
        <v>24</v>
      </c>
      <c r="E271" s="62">
        <v>6.499999999999998E-3</v>
      </c>
      <c r="F271" s="65">
        <f t="shared" si="142"/>
        <v>-5.0359531020805459</v>
      </c>
      <c r="S271" s="40">
        <f t="shared" si="115"/>
        <v>0</v>
      </c>
      <c r="T271" s="40">
        <f t="shared" si="116"/>
        <v>0</v>
      </c>
      <c r="U271" s="40">
        <f t="shared" si="117"/>
        <v>1</v>
      </c>
      <c r="V271" s="40">
        <f t="shared" si="118"/>
        <v>0</v>
      </c>
      <c r="W271" s="40">
        <f t="shared" si="119"/>
        <v>0</v>
      </c>
      <c r="X271" s="40">
        <f t="shared" si="120"/>
        <v>0</v>
      </c>
      <c r="Y271" s="40">
        <f t="shared" si="121"/>
        <v>0</v>
      </c>
      <c r="Z271" s="40">
        <f t="shared" si="122"/>
        <v>0</v>
      </c>
      <c r="AA271" s="40">
        <f t="shared" si="123"/>
        <v>0</v>
      </c>
      <c r="AB271" s="40">
        <f t="shared" si="124"/>
        <v>0</v>
      </c>
      <c r="AC271" s="40">
        <f t="shared" si="125"/>
        <v>0</v>
      </c>
      <c r="AD271" s="40">
        <f t="shared" si="126"/>
        <v>0</v>
      </c>
      <c r="AE271" s="40">
        <f t="shared" si="127"/>
        <v>0</v>
      </c>
      <c r="AF271" s="40">
        <f t="shared" si="128"/>
        <v>0</v>
      </c>
      <c r="AG271" s="40">
        <f t="shared" si="129"/>
        <v>1</v>
      </c>
      <c r="AH271" s="40">
        <f t="shared" si="130"/>
        <v>0</v>
      </c>
      <c r="AI271" s="40">
        <f t="shared" si="131"/>
        <v>0</v>
      </c>
      <c r="AJ271" s="40">
        <f t="shared" si="132"/>
        <v>0</v>
      </c>
      <c r="AK271" s="40">
        <f t="shared" si="133"/>
        <v>0</v>
      </c>
      <c r="AL271" s="40">
        <f t="shared" si="134"/>
        <v>0</v>
      </c>
      <c r="AM271" s="40">
        <f t="shared" si="135"/>
        <v>0</v>
      </c>
      <c r="AN271" s="40">
        <f t="shared" si="136"/>
        <v>0</v>
      </c>
      <c r="AO271" s="40">
        <f t="shared" si="137"/>
        <v>0</v>
      </c>
      <c r="AP271" s="40">
        <f t="shared" si="138"/>
        <v>0</v>
      </c>
      <c r="AQ271" s="40">
        <f t="shared" si="139"/>
        <v>0</v>
      </c>
      <c r="AR271" s="40">
        <f t="shared" si="140"/>
        <v>1</v>
      </c>
      <c r="AS271" s="40">
        <f t="shared" si="141"/>
        <v>0</v>
      </c>
    </row>
    <row r="272" spans="2:45" s="2" customFormat="1" ht="14.4" customHeight="1" x14ac:dyDescent="0.25">
      <c r="B272" s="56" t="s">
        <v>20</v>
      </c>
      <c r="C272" s="57" t="s">
        <v>38</v>
      </c>
      <c r="D272" s="58" t="s">
        <v>33</v>
      </c>
      <c r="E272" s="62">
        <v>4.5700000000000011E-3</v>
      </c>
      <c r="F272" s="65">
        <f t="shared" si="142"/>
        <v>-5.3882420740760235</v>
      </c>
      <c r="S272" s="40">
        <f t="shared" si="115"/>
        <v>0</v>
      </c>
      <c r="T272" s="40">
        <f t="shared" si="116"/>
        <v>0</v>
      </c>
      <c r="U272" s="40">
        <f t="shared" si="117"/>
        <v>1</v>
      </c>
      <c r="V272" s="40">
        <f t="shared" si="118"/>
        <v>0</v>
      </c>
      <c r="W272" s="40">
        <f t="shared" si="119"/>
        <v>0</v>
      </c>
      <c r="X272" s="40">
        <f t="shared" si="120"/>
        <v>0</v>
      </c>
      <c r="Y272" s="40">
        <f t="shared" si="121"/>
        <v>0</v>
      </c>
      <c r="Z272" s="40">
        <f t="shared" si="122"/>
        <v>0</v>
      </c>
      <c r="AA272" s="40">
        <f t="shared" si="123"/>
        <v>0</v>
      </c>
      <c r="AB272" s="40">
        <f t="shared" si="124"/>
        <v>0</v>
      </c>
      <c r="AC272" s="40">
        <f t="shared" si="125"/>
        <v>0</v>
      </c>
      <c r="AD272" s="40">
        <f t="shared" si="126"/>
        <v>0</v>
      </c>
      <c r="AE272" s="40">
        <f t="shared" si="127"/>
        <v>0</v>
      </c>
      <c r="AF272" s="40">
        <f t="shared" si="128"/>
        <v>0</v>
      </c>
      <c r="AG272" s="40">
        <f t="shared" si="129"/>
        <v>1</v>
      </c>
      <c r="AH272" s="40">
        <f t="shared" si="130"/>
        <v>0</v>
      </c>
      <c r="AI272" s="40">
        <f t="shared" si="131"/>
        <v>0</v>
      </c>
      <c r="AJ272" s="40">
        <f t="shared" si="132"/>
        <v>1</v>
      </c>
      <c r="AK272" s="40">
        <f t="shared" si="133"/>
        <v>0</v>
      </c>
      <c r="AL272" s="40">
        <f t="shared" si="134"/>
        <v>0</v>
      </c>
      <c r="AM272" s="40">
        <f t="shared" si="135"/>
        <v>0</v>
      </c>
      <c r="AN272" s="40">
        <f t="shared" si="136"/>
        <v>0</v>
      </c>
      <c r="AO272" s="40">
        <f t="shared" si="137"/>
        <v>0</v>
      </c>
      <c r="AP272" s="40">
        <f t="shared" si="138"/>
        <v>0</v>
      </c>
      <c r="AQ272" s="40">
        <f t="shared" si="139"/>
        <v>0</v>
      </c>
      <c r="AR272" s="40">
        <f t="shared" si="140"/>
        <v>0</v>
      </c>
      <c r="AS272" s="40">
        <f t="shared" si="141"/>
        <v>0</v>
      </c>
    </row>
    <row r="273" spans="2:45" s="2" customFormat="1" ht="14.4" customHeight="1" x14ac:dyDescent="0.25">
      <c r="B273" s="56" t="s">
        <v>20</v>
      </c>
      <c r="C273" s="57" t="s">
        <v>38</v>
      </c>
      <c r="D273" s="58" t="s">
        <v>37</v>
      </c>
      <c r="E273" s="62">
        <v>4.2700000000000004E-3</v>
      </c>
      <c r="F273" s="65">
        <f t="shared" si="142"/>
        <v>-5.4561414517416038</v>
      </c>
      <c r="S273" s="40">
        <f t="shared" si="115"/>
        <v>0</v>
      </c>
      <c r="T273" s="40">
        <f t="shared" si="116"/>
        <v>0</v>
      </c>
      <c r="U273" s="40">
        <f t="shared" si="117"/>
        <v>1</v>
      </c>
      <c r="V273" s="40">
        <f t="shared" si="118"/>
        <v>0</v>
      </c>
      <c r="W273" s="40">
        <f t="shared" si="119"/>
        <v>0</v>
      </c>
      <c r="X273" s="40">
        <f t="shared" si="120"/>
        <v>0</v>
      </c>
      <c r="Y273" s="40">
        <f t="shared" si="121"/>
        <v>0</v>
      </c>
      <c r="Z273" s="40">
        <f t="shared" si="122"/>
        <v>0</v>
      </c>
      <c r="AA273" s="40">
        <f t="shared" si="123"/>
        <v>0</v>
      </c>
      <c r="AB273" s="40">
        <f t="shared" si="124"/>
        <v>0</v>
      </c>
      <c r="AC273" s="40">
        <f t="shared" si="125"/>
        <v>0</v>
      </c>
      <c r="AD273" s="40">
        <f t="shared" si="126"/>
        <v>0</v>
      </c>
      <c r="AE273" s="40">
        <f t="shared" si="127"/>
        <v>0</v>
      </c>
      <c r="AF273" s="40">
        <f t="shared" si="128"/>
        <v>1</v>
      </c>
      <c r="AG273" s="40">
        <f t="shared" si="129"/>
        <v>0</v>
      </c>
      <c r="AH273" s="40">
        <f t="shared" si="130"/>
        <v>0</v>
      </c>
      <c r="AI273" s="40">
        <f t="shared" si="131"/>
        <v>0</v>
      </c>
      <c r="AJ273" s="40">
        <f t="shared" si="132"/>
        <v>0</v>
      </c>
      <c r="AK273" s="40">
        <f t="shared" si="133"/>
        <v>0</v>
      </c>
      <c r="AL273" s="40">
        <f t="shared" si="134"/>
        <v>1</v>
      </c>
      <c r="AM273" s="40">
        <f t="shared" si="135"/>
        <v>0</v>
      </c>
      <c r="AN273" s="40">
        <f t="shared" si="136"/>
        <v>0</v>
      </c>
      <c r="AO273" s="40">
        <f t="shared" si="137"/>
        <v>0</v>
      </c>
      <c r="AP273" s="40">
        <f t="shared" si="138"/>
        <v>0</v>
      </c>
      <c r="AQ273" s="40">
        <f t="shared" si="139"/>
        <v>0</v>
      </c>
      <c r="AR273" s="40">
        <f t="shared" si="140"/>
        <v>0</v>
      </c>
      <c r="AS273" s="40">
        <f t="shared" si="141"/>
        <v>0</v>
      </c>
    </row>
    <row r="274" spans="2:45" s="2" customFormat="1" ht="14.4" customHeight="1" x14ac:dyDescent="0.25">
      <c r="B274" s="56" t="s">
        <v>20</v>
      </c>
      <c r="C274" s="57" t="s">
        <v>26</v>
      </c>
      <c r="D274" s="58" t="s">
        <v>24</v>
      </c>
      <c r="E274" s="62">
        <v>5.009999999999998E-3</v>
      </c>
      <c r="F274" s="65">
        <f t="shared" si="142"/>
        <v>-5.2963193638853641</v>
      </c>
      <c r="S274" s="40">
        <f t="shared" si="115"/>
        <v>0</v>
      </c>
      <c r="T274" s="40">
        <f t="shared" si="116"/>
        <v>0</v>
      </c>
      <c r="U274" s="40">
        <f t="shared" si="117"/>
        <v>1</v>
      </c>
      <c r="V274" s="40">
        <f t="shared" si="118"/>
        <v>0</v>
      </c>
      <c r="W274" s="40">
        <f t="shared" si="119"/>
        <v>0</v>
      </c>
      <c r="X274" s="40">
        <f t="shared" si="120"/>
        <v>0</v>
      </c>
      <c r="Y274" s="40">
        <f t="shared" si="121"/>
        <v>0</v>
      </c>
      <c r="Z274" s="40">
        <f t="shared" si="122"/>
        <v>0</v>
      </c>
      <c r="AA274" s="40">
        <f t="shared" si="123"/>
        <v>0</v>
      </c>
      <c r="AB274" s="40">
        <f t="shared" si="124"/>
        <v>1</v>
      </c>
      <c r="AC274" s="40">
        <f t="shared" si="125"/>
        <v>0</v>
      </c>
      <c r="AD274" s="40">
        <f t="shared" si="126"/>
        <v>0</v>
      </c>
      <c r="AE274" s="40">
        <f t="shared" si="127"/>
        <v>0</v>
      </c>
      <c r="AF274" s="40">
        <f t="shared" si="128"/>
        <v>0</v>
      </c>
      <c r="AG274" s="40">
        <f t="shared" si="129"/>
        <v>0</v>
      </c>
      <c r="AH274" s="40">
        <f t="shared" si="130"/>
        <v>0</v>
      </c>
      <c r="AI274" s="40">
        <f t="shared" si="131"/>
        <v>0</v>
      </c>
      <c r="AJ274" s="40">
        <f t="shared" si="132"/>
        <v>0</v>
      </c>
      <c r="AK274" s="40">
        <f t="shared" si="133"/>
        <v>0</v>
      </c>
      <c r="AL274" s="40">
        <f t="shared" si="134"/>
        <v>0</v>
      </c>
      <c r="AM274" s="40">
        <f t="shared" si="135"/>
        <v>0</v>
      </c>
      <c r="AN274" s="40">
        <f t="shared" si="136"/>
        <v>0</v>
      </c>
      <c r="AO274" s="40">
        <f t="shared" si="137"/>
        <v>1</v>
      </c>
      <c r="AP274" s="40">
        <f t="shared" si="138"/>
        <v>0</v>
      </c>
      <c r="AQ274" s="40">
        <f t="shared" si="139"/>
        <v>0</v>
      </c>
      <c r="AR274" s="40">
        <f t="shared" si="140"/>
        <v>0</v>
      </c>
      <c r="AS274" s="40">
        <f t="shared" si="141"/>
        <v>0</v>
      </c>
    </row>
    <row r="275" spans="2:45" s="2" customFormat="1" ht="14.4" customHeight="1" x14ac:dyDescent="0.25">
      <c r="B275" s="56" t="s">
        <v>20</v>
      </c>
      <c r="C275" s="57" t="s">
        <v>25</v>
      </c>
      <c r="D275" s="58" t="s">
        <v>31</v>
      </c>
      <c r="E275" s="62">
        <v>5.7999999999999987E-3</v>
      </c>
      <c r="F275" s="65">
        <f t="shared" si="142"/>
        <v>-5.1498973614297636</v>
      </c>
      <c r="S275" s="40">
        <f t="shared" si="115"/>
        <v>0</v>
      </c>
      <c r="T275" s="40">
        <f t="shared" si="116"/>
        <v>0</v>
      </c>
      <c r="U275" s="40">
        <f t="shared" si="117"/>
        <v>1</v>
      </c>
      <c r="V275" s="40">
        <f t="shared" si="118"/>
        <v>0</v>
      </c>
      <c r="W275" s="40">
        <f t="shared" si="119"/>
        <v>0</v>
      </c>
      <c r="X275" s="40">
        <f t="shared" si="120"/>
        <v>0</v>
      </c>
      <c r="Y275" s="40">
        <f t="shared" si="121"/>
        <v>0</v>
      </c>
      <c r="Z275" s="40">
        <f t="shared" si="122"/>
        <v>0</v>
      </c>
      <c r="AA275" s="40">
        <f t="shared" si="123"/>
        <v>1</v>
      </c>
      <c r="AB275" s="40">
        <f t="shared" si="124"/>
        <v>0</v>
      </c>
      <c r="AC275" s="40">
        <f t="shared" si="125"/>
        <v>0</v>
      </c>
      <c r="AD275" s="40">
        <f t="shared" si="126"/>
        <v>0</v>
      </c>
      <c r="AE275" s="40">
        <f t="shared" si="127"/>
        <v>0</v>
      </c>
      <c r="AF275" s="40">
        <f t="shared" si="128"/>
        <v>0</v>
      </c>
      <c r="AG275" s="40">
        <f t="shared" si="129"/>
        <v>0</v>
      </c>
      <c r="AH275" s="40">
        <f t="shared" si="130"/>
        <v>0</v>
      </c>
      <c r="AI275" s="40">
        <f t="shared" si="131"/>
        <v>0</v>
      </c>
      <c r="AJ275" s="40">
        <f t="shared" si="132"/>
        <v>0</v>
      </c>
      <c r="AK275" s="40">
        <f t="shared" si="133"/>
        <v>0</v>
      </c>
      <c r="AL275" s="40">
        <f t="shared" si="134"/>
        <v>0</v>
      </c>
      <c r="AM275" s="40">
        <f t="shared" si="135"/>
        <v>1</v>
      </c>
      <c r="AN275" s="40">
        <f t="shared" si="136"/>
        <v>0</v>
      </c>
      <c r="AO275" s="40">
        <f t="shared" si="137"/>
        <v>0</v>
      </c>
      <c r="AP275" s="40">
        <f t="shared" si="138"/>
        <v>0</v>
      </c>
      <c r="AQ275" s="40">
        <f t="shared" si="139"/>
        <v>0</v>
      </c>
      <c r="AR275" s="40">
        <f t="shared" si="140"/>
        <v>0</v>
      </c>
      <c r="AS275" s="40">
        <f t="shared" si="141"/>
        <v>0</v>
      </c>
    </row>
    <row r="276" spans="2:45" s="2" customFormat="1" ht="14.4" customHeight="1" x14ac:dyDescent="0.25">
      <c r="B276" s="56" t="s">
        <v>20</v>
      </c>
      <c r="C276" s="57" t="s">
        <v>39</v>
      </c>
      <c r="D276" s="58" t="s">
        <v>35</v>
      </c>
      <c r="E276" s="62">
        <v>5.1800000000000023E-3</v>
      </c>
      <c r="F276" s="65">
        <f t="shared" si="142"/>
        <v>-5.262950222710745</v>
      </c>
      <c r="S276" s="40">
        <f t="shared" si="115"/>
        <v>0</v>
      </c>
      <c r="T276" s="40">
        <f t="shared" si="116"/>
        <v>0</v>
      </c>
      <c r="U276" s="40">
        <f t="shared" si="117"/>
        <v>1</v>
      </c>
      <c r="V276" s="40">
        <f t="shared" si="118"/>
        <v>0</v>
      </c>
      <c r="W276" s="40">
        <f t="shared" si="119"/>
        <v>0</v>
      </c>
      <c r="X276" s="40">
        <f t="shared" si="120"/>
        <v>0</v>
      </c>
      <c r="Y276" s="40">
        <f t="shared" si="121"/>
        <v>0</v>
      </c>
      <c r="Z276" s="40">
        <f t="shared" si="122"/>
        <v>1</v>
      </c>
      <c r="AA276" s="40">
        <f t="shared" si="123"/>
        <v>0</v>
      </c>
      <c r="AB276" s="40">
        <f t="shared" si="124"/>
        <v>0</v>
      </c>
      <c r="AC276" s="40">
        <f t="shared" si="125"/>
        <v>0</v>
      </c>
      <c r="AD276" s="40">
        <f t="shared" si="126"/>
        <v>0</v>
      </c>
      <c r="AE276" s="40">
        <f t="shared" si="127"/>
        <v>0</v>
      </c>
      <c r="AF276" s="40">
        <f t="shared" si="128"/>
        <v>0</v>
      </c>
      <c r="AG276" s="40">
        <f t="shared" si="129"/>
        <v>0</v>
      </c>
      <c r="AH276" s="40">
        <f t="shared" si="130"/>
        <v>0</v>
      </c>
      <c r="AI276" s="40">
        <f t="shared" si="131"/>
        <v>0</v>
      </c>
      <c r="AJ276" s="40">
        <f t="shared" si="132"/>
        <v>0</v>
      </c>
      <c r="AK276" s="40">
        <f t="shared" si="133"/>
        <v>0</v>
      </c>
      <c r="AL276" s="40">
        <f t="shared" si="134"/>
        <v>0</v>
      </c>
      <c r="AM276" s="40">
        <f t="shared" si="135"/>
        <v>1</v>
      </c>
      <c r="AN276" s="40">
        <f t="shared" si="136"/>
        <v>0</v>
      </c>
      <c r="AO276" s="40">
        <f t="shared" si="137"/>
        <v>0</v>
      </c>
      <c r="AP276" s="40">
        <f t="shared" si="138"/>
        <v>0</v>
      </c>
      <c r="AQ276" s="40">
        <f t="shared" si="139"/>
        <v>0</v>
      </c>
      <c r="AR276" s="40">
        <f t="shared" si="140"/>
        <v>0</v>
      </c>
      <c r="AS276" s="40">
        <f t="shared" si="141"/>
        <v>0</v>
      </c>
    </row>
    <row r="277" spans="2:45" s="2" customFormat="1" ht="14.4" customHeight="1" x14ac:dyDescent="0.25">
      <c r="B277" s="56" t="s">
        <v>20</v>
      </c>
      <c r="C277" s="57" t="s">
        <v>36</v>
      </c>
      <c r="D277" s="58" t="s">
        <v>35</v>
      </c>
      <c r="E277" s="62">
        <v>5.8799999999999981E-3</v>
      </c>
      <c r="F277" s="65">
        <f t="shared" si="142"/>
        <v>-5.1361985170716018</v>
      </c>
      <c r="S277" s="40">
        <f t="shared" si="115"/>
        <v>0</v>
      </c>
      <c r="T277" s="40">
        <f t="shared" si="116"/>
        <v>0</v>
      </c>
      <c r="U277" s="40">
        <f t="shared" si="117"/>
        <v>1</v>
      </c>
      <c r="V277" s="40">
        <f t="shared" si="118"/>
        <v>0</v>
      </c>
      <c r="W277" s="40">
        <f t="shared" si="119"/>
        <v>0</v>
      </c>
      <c r="X277" s="40">
        <f t="shared" si="120"/>
        <v>0</v>
      </c>
      <c r="Y277" s="40">
        <f t="shared" si="121"/>
        <v>0</v>
      </c>
      <c r="Z277" s="40">
        <f t="shared" si="122"/>
        <v>1</v>
      </c>
      <c r="AA277" s="40">
        <f t="shared" si="123"/>
        <v>0</v>
      </c>
      <c r="AB277" s="40">
        <f t="shared" si="124"/>
        <v>0</v>
      </c>
      <c r="AC277" s="40">
        <f t="shared" si="125"/>
        <v>0</v>
      </c>
      <c r="AD277" s="40">
        <f t="shared" si="126"/>
        <v>0</v>
      </c>
      <c r="AE277" s="40">
        <f t="shared" si="127"/>
        <v>0</v>
      </c>
      <c r="AF277" s="40">
        <f t="shared" si="128"/>
        <v>0</v>
      </c>
      <c r="AG277" s="40">
        <f t="shared" si="129"/>
        <v>0</v>
      </c>
      <c r="AH277" s="40">
        <f t="shared" si="130"/>
        <v>0</v>
      </c>
      <c r="AI277" s="40">
        <f t="shared" si="131"/>
        <v>0</v>
      </c>
      <c r="AJ277" s="40">
        <f t="shared" si="132"/>
        <v>0</v>
      </c>
      <c r="AK277" s="40">
        <f t="shared" si="133"/>
        <v>0</v>
      </c>
      <c r="AL277" s="40">
        <f t="shared" si="134"/>
        <v>1</v>
      </c>
      <c r="AM277" s="40">
        <f t="shared" si="135"/>
        <v>0</v>
      </c>
      <c r="AN277" s="40">
        <f t="shared" si="136"/>
        <v>0</v>
      </c>
      <c r="AO277" s="40">
        <f t="shared" si="137"/>
        <v>0</v>
      </c>
      <c r="AP277" s="40">
        <f t="shared" si="138"/>
        <v>0</v>
      </c>
      <c r="AQ277" s="40">
        <f t="shared" si="139"/>
        <v>0</v>
      </c>
      <c r="AR277" s="40">
        <f t="shared" si="140"/>
        <v>0</v>
      </c>
      <c r="AS277" s="40">
        <f t="shared" si="141"/>
        <v>0</v>
      </c>
    </row>
    <row r="278" spans="2:45" s="2" customFormat="1" ht="14.4" customHeight="1" x14ac:dyDescent="0.25">
      <c r="B278" s="56" t="s">
        <v>20</v>
      </c>
      <c r="C278" s="57" t="s">
        <v>36</v>
      </c>
      <c r="D278" s="58" t="s">
        <v>24</v>
      </c>
      <c r="E278" s="62">
        <v>6.1199999999999987E-3</v>
      </c>
      <c r="F278" s="65">
        <f t="shared" si="142"/>
        <v>-5.0961931824579025</v>
      </c>
      <c r="S278" s="40">
        <f t="shared" si="115"/>
        <v>0</v>
      </c>
      <c r="T278" s="40">
        <f t="shared" si="116"/>
        <v>0</v>
      </c>
      <c r="U278" s="40">
        <f t="shared" si="117"/>
        <v>1</v>
      </c>
      <c r="V278" s="40">
        <f t="shared" si="118"/>
        <v>0</v>
      </c>
      <c r="W278" s="40">
        <f t="shared" si="119"/>
        <v>0</v>
      </c>
      <c r="X278" s="40">
        <f t="shared" si="120"/>
        <v>0</v>
      </c>
      <c r="Y278" s="40">
        <f t="shared" si="121"/>
        <v>0</v>
      </c>
      <c r="Z278" s="40">
        <f t="shared" si="122"/>
        <v>1</v>
      </c>
      <c r="AA278" s="40">
        <f t="shared" si="123"/>
        <v>0</v>
      </c>
      <c r="AB278" s="40">
        <f t="shared" si="124"/>
        <v>0</v>
      </c>
      <c r="AC278" s="40">
        <f t="shared" si="125"/>
        <v>0</v>
      </c>
      <c r="AD278" s="40">
        <f t="shared" si="126"/>
        <v>0</v>
      </c>
      <c r="AE278" s="40">
        <f t="shared" si="127"/>
        <v>0</v>
      </c>
      <c r="AF278" s="40">
        <f t="shared" si="128"/>
        <v>0</v>
      </c>
      <c r="AG278" s="40">
        <f t="shared" si="129"/>
        <v>0</v>
      </c>
      <c r="AH278" s="40">
        <f t="shared" si="130"/>
        <v>0</v>
      </c>
      <c r="AI278" s="40">
        <f t="shared" si="131"/>
        <v>0</v>
      </c>
      <c r="AJ278" s="40">
        <f t="shared" si="132"/>
        <v>0</v>
      </c>
      <c r="AK278" s="40">
        <f t="shared" si="133"/>
        <v>0</v>
      </c>
      <c r="AL278" s="40">
        <f t="shared" si="134"/>
        <v>1</v>
      </c>
      <c r="AM278" s="40">
        <f t="shared" si="135"/>
        <v>0</v>
      </c>
      <c r="AN278" s="40">
        <f t="shared" si="136"/>
        <v>0</v>
      </c>
      <c r="AO278" s="40">
        <f t="shared" si="137"/>
        <v>0</v>
      </c>
      <c r="AP278" s="40">
        <f t="shared" si="138"/>
        <v>0</v>
      </c>
      <c r="AQ278" s="40">
        <f t="shared" si="139"/>
        <v>0</v>
      </c>
      <c r="AR278" s="40">
        <f t="shared" si="140"/>
        <v>0</v>
      </c>
      <c r="AS278" s="40">
        <f t="shared" si="141"/>
        <v>0</v>
      </c>
    </row>
    <row r="279" spans="2:45" s="2" customFormat="1" ht="14.4" customHeight="1" x14ac:dyDescent="0.25">
      <c r="B279" s="56" t="s">
        <v>20</v>
      </c>
      <c r="C279" s="57" t="s">
        <v>36</v>
      </c>
      <c r="D279" s="58" t="s">
        <v>24</v>
      </c>
      <c r="E279" s="62">
        <v>4.6199999999999982E-3</v>
      </c>
      <c r="F279" s="65">
        <f t="shared" si="142"/>
        <v>-5.37736057388849</v>
      </c>
      <c r="S279" s="40">
        <f t="shared" si="115"/>
        <v>0</v>
      </c>
      <c r="T279" s="40">
        <f t="shared" si="116"/>
        <v>0</v>
      </c>
      <c r="U279" s="40">
        <f t="shared" si="117"/>
        <v>1</v>
      </c>
      <c r="V279" s="40">
        <f t="shared" si="118"/>
        <v>0</v>
      </c>
      <c r="W279" s="40">
        <f t="shared" si="119"/>
        <v>0</v>
      </c>
      <c r="X279" s="40">
        <f t="shared" si="120"/>
        <v>0</v>
      </c>
      <c r="Y279" s="40">
        <f t="shared" si="121"/>
        <v>0</v>
      </c>
      <c r="Z279" s="40">
        <f t="shared" si="122"/>
        <v>1</v>
      </c>
      <c r="AA279" s="40">
        <f t="shared" si="123"/>
        <v>0</v>
      </c>
      <c r="AB279" s="40">
        <f t="shared" si="124"/>
        <v>0</v>
      </c>
      <c r="AC279" s="40">
        <f t="shared" si="125"/>
        <v>0</v>
      </c>
      <c r="AD279" s="40">
        <f t="shared" si="126"/>
        <v>0</v>
      </c>
      <c r="AE279" s="40">
        <f t="shared" si="127"/>
        <v>0</v>
      </c>
      <c r="AF279" s="40">
        <f t="shared" si="128"/>
        <v>0</v>
      </c>
      <c r="AG279" s="40">
        <f t="shared" si="129"/>
        <v>0</v>
      </c>
      <c r="AH279" s="40">
        <f t="shared" si="130"/>
        <v>0</v>
      </c>
      <c r="AI279" s="40">
        <f t="shared" si="131"/>
        <v>0</v>
      </c>
      <c r="AJ279" s="40">
        <f t="shared" si="132"/>
        <v>0</v>
      </c>
      <c r="AK279" s="40">
        <f t="shared" si="133"/>
        <v>0</v>
      </c>
      <c r="AL279" s="40">
        <f t="shared" si="134"/>
        <v>1</v>
      </c>
      <c r="AM279" s="40">
        <f t="shared" si="135"/>
        <v>0</v>
      </c>
      <c r="AN279" s="40">
        <f t="shared" si="136"/>
        <v>0</v>
      </c>
      <c r="AO279" s="40">
        <f t="shared" si="137"/>
        <v>0</v>
      </c>
      <c r="AP279" s="40">
        <f t="shared" si="138"/>
        <v>0</v>
      </c>
      <c r="AQ279" s="40">
        <f t="shared" si="139"/>
        <v>0</v>
      </c>
      <c r="AR279" s="40">
        <f t="shared" si="140"/>
        <v>0</v>
      </c>
      <c r="AS279" s="40">
        <f t="shared" si="141"/>
        <v>0</v>
      </c>
    </row>
    <row r="280" spans="2:45" s="2" customFormat="1" ht="14.4" customHeight="1" x14ac:dyDescent="0.25">
      <c r="B280" s="56" t="s">
        <v>20</v>
      </c>
      <c r="C280" s="57" t="s">
        <v>36</v>
      </c>
      <c r="D280" s="58" t="s">
        <v>24</v>
      </c>
      <c r="E280" s="62">
        <v>7.4699999999999992E-3</v>
      </c>
      <c r="F280" s="65">
        <f t="shared" si="142"/>
        <v>-4.8968602798374112</v>
      </c>
      <c r="S280" s="40">
        <f t="shared" si="115"/>
        <v>0</v>
      </c>
      <c r="T280" s="40">
        <f t="shared" si="116"/>
        <v>0</v>
      </c>
      <c r="U280" s="40">
        <f t="shared" si="117"/>
        <v>1</v>
      </c>
      <c r="V280" s="40">
        <f t="shared" si="118"/>
        <v>0</v>
      </c>
      <c r="W280" s="40">
        <f t="shared" si="119"/>
        <v>0</v>
      </c>
      <c r="X280" s="40">
        <f t="shared" si="120"/>
        <v>0</v>
      </c>
      <c r="Y280" s="40">
        <f t="shared" si="121"/>
        <v>0</v>
      </c>
      <c r="Z280" s="40">
        <f t="shared" si="122"/>
        <v>1</v>
      </c>
      <c r="AA280" s="40">
        <f t="shared" si="123"/>
        <v>0</v>
      </c>
      <c r="AB280" s="40">
        <f t="shared" si="124"/>
        <v>0</v>
      </c>
      <c r="AC280" s="40">
        <f t="shared" si="125"/>
        <v>0</v>
      </c>
      <c r="AD280" s="40">
        <f t="shared" si="126"/>
        <v>0</v>
      </c>
      <c r="AE280" s="40">
        <f t="shared" si="127"/>
        <v>0</v>
      </c>
      <c r="AF280" s="40">
        <f t="shared" si="128"/>
        <v>0</v>
      </c>
      <c r="AG280" s="40">
        <f t="shared" si="129"/>
        <v>0</v>
      </c>
      <c r="AH280" s="40">
        <f t="shared" si="130"/>
        <v>0</v>
      </c>
      <c r="AI280" s="40">
        <f t="shared" si="131"/>
        <v>0</v>
      </c>
      <c r="AJ280" s="40">
        <f t="shared" si="132"/>
        <v>0</v>
      </c>
      <c r="AK280" s="40">
        <f t="shared" si="133"/>
        <v>0</v>
      </c>
      <c r="AL280" s="40">
        <f t="shared" si="134"/>
        <v>1</v>
      </c>
      <c r="AM280" s="40">
        <f t="shared" si="135"/>
        <v>0</v>
      </c>
      <c r="AN280" s="40">
        <f t="shared" si="136"/>
        <v>0</v>
      </c>
      <c r="AO280" s="40">
        <f t="shared" si="137"/>
        <v>0</v>
      </c>
      <c r="AP280" s="40">
        <f t="shared" si="138"/>
        <v>0</v>
      </c>
      <c r="AQ280" s="40">
        <f t="shared" si="139"/>
        <v>0</v>
      </c>
      <c r="AR280" s="40">
        <f t="shared" si="140"/>
        <v>0</v>
      </c>
      <c r="AS280" s="40">
        <f t="shared" si="141"/>
        <v>0</v>
      </c>
    </row>
    <row r="281" spans="2:45" s="2" customFormat="1" ht="14.4" customHeight="1" x14ac:dyDescent="0.25">
      <c r="B281" s="56" t="s">
        <v>20</v>
      </c>
      <c r="C281" s="57" t="s">
        <v>36</v>
      </c>
      <c r="D281" s="58" t="s">
        <v>24</v>
      </c>
      <c r="E281" s="62">
        <v>7.3100000000000023E-3</v>
      </c>
      <c r="F281" s="65">
        <f t="shared" si="142"/>
        <v>-4.9185120052204496</v>
      </c>
      <c r="S281" s="40">
        <f t="shared" si="115"/>
        <v>0</v>
      </c>
      <c r="T281" s="40">
        <f t="shared" si="116"/>
        <v>0</v>
      </c>
      <c r="U281" s="40">
        <f t="shared" si="117"/>
        <v>1</v>
      </c>
      <c r="V281" s="40">
        <f t="shared" si="118"/>
        <v>0</v>
      </c>
      <c r="W281" s="40">
        <f t="shared" si="119"/>
        <v>0</v>
      </c>
      <c r="X281" s="40">
        <f t="shared" si="120"/>
        <v>0</v>
      </c>
      <c r="Y281" s="40">
        <f t="shared" si="121"/>
        <v>0</v>
      </c>
      <c r="Z281" s="40">
        <f t="shared" si="122"/>
        <v>1</v>
      </c>
      <c r="AA281" s="40">
        <f t="shared" si="123"/>
        <v>0</v>
      </c>
      <c r="AB281" s="40">
        <f t="shared" si="124"/>
        <v>0</v>
      </c>
      <c r="AC281" s="40">
        <f t="shared" si="125"/>
        <v>0</v>
      </c>
      <c r="AD281" s="40">
        <f t="shared" si="126"/>
        <v>0</v>
      </c>
      <c r="AE281" s="40">
        <f t="shared" si="127"/>
        <v>0</v>
      </c>
      <c r="AF281" s="40">
        <f t="shared" si="128"/>
        <v>0</v>
      </c>
      <c r="AG281" s="40">
        <f t="shared" si="129"/>
        <v>0</v>
      </c>
      <c r="AH281" s="40">
        <f t="shared" si="130"/>
        <v>0</v>
      </c>
      <c r="AI281" s="40">
        <f t="shared" si="131"/>
        <v>0</v>
      </c>
      <c r="AJ281" s="40">
        <f t="shared" si="132"/>
        <v>0</v>
      </c>
      <c r="AK281" s="40">
        <f t="shared" si="133"/>
        <v>0</v>
      </c>
      <c r="AL281" s="40">
        <f t="shared" si="134"/>
        <v>1</v>
      </c>
      <c r="AM281" s="40">
        <f t="shared" si="135"/>
        <v>0</v>
      </c>
      <c r="AN281" s="40">
        <f t="shared" si="136"/>
        <v>0</v>
      </c>
      <c r="AO281" s="40">
        <f t="shared" si="137"/>
        <v>0</v>
      </c>
      <c r="AP281" s="40">
        <f t="shared" si="138"/>
        <v>0</v>
      </c>
      <c r="AQ281" s="40">
        <f t="shared" si="139"/>
        <v>0</v>
      </c>
      <c r="AR281" s="40">
        <f t="shared" si="140"/>
        <v>0</v>
      </c>
      <c r="AS281" s="40">
        <f t="shared" si="141"/>
        <v>0</v>
      </c>
    </row>
    <row r="282" spans="2:45" s="2" customFormat="1" ht="14.4" customHeight="1" x14ac:dyDescent="0.25">
      <c r="B282" s="56" t="s">
        <v>20</v>
      </c>
      <c r="C282" s="57" t="s">
        <v>36</v>
      </c>
      <c r="D282" s="58" t="s">
        <v>24</v>
      </c>
      <c r="E282" s="62">
        <v>4.4900000000000001E-3</v>
      </c>
      <c r="F282" s="65">
        <f t="shared" si="142"/>
        <v>-5.4059025772279741</v>
      </c>
      <c r="S282" s="40">
        <f t="shared" si="115"/>
        <v>0</v>
      </c>
      <c r="T282" s="40">
        <f t="shared" si="116"/>
        <v>0</v>
      </c>
      <c r="U282" s="40">
        <f t="shared" si="117"/>
        <v>1</v>
      </c>
      <c r="V282" s="40">
        <f t="shared" si="118"/>
        <v>0</v>
      </c>
      <c r="W282" s="40">
        <f t="shared" si="119"/>
        <v>0</v>
      </c>
      <c r="X282" s="40">
        <f t="shared" si="120"/>
        <v>0</v>
      </c>
      <c r="Y282" s="40">
        <f t="shared" si="121"/>
        <v>0</v>
      </c>
      <c r="Z282" s="40">
        <f t="shared" si="122"/>
        <v>1</v>
      </c>
      <c r="AA282" s="40">
        <f t="shared" si="123"/>
        <v>0</v>
      </c>
      <c r="AB282" s="40">
        <f t="shared" si="124"/>
        <v>0</v>
      </c>
      <c r="AC282" s="40">
        <f t="shared" si="125"/>
        <v>0</v>
      </c>
      <c r="AD282" s="40">
        <f t="shared" si="126"/>
        <v>0</v>
      </c>
      <c r="AE282" s="40">
        <f t="shared" si="127"/>
        <v>0</v>
      </c>
      <c r="AF282" s="40">
        <f t="shared" si="128"/>
        <v>0</v>
      </c>
      <c r="AG282" s="40">
        <f t="shared" si="129"/>
        <v>0</v>
      </c>
      <c r="AH282" s="40">
        <f t="shared" si="130"/>
        <v>0</v>
      </c>
      <c r="AI282" s="40">
        <f t="shared" si="131"/>
        <v>0</v>
      </c>
      <c r="AJ282" s="40">
        <f t="shared" si="132"/>
        <v>0</v>
      </c>
      <c r="AK282" s="40">
        <f t="shared" si="133"/>
        <v>0</v>
      </c>
      <c r="AL282" s="40">
        <f t="shared" si="134"/>
        <v>0</v>
      </c>
      <c r="AM282" s="40">
        <f t="shared" si="135"/>
        <v>1</v>
      </c>
      <c r="AN282" s="40">
        <f t="shared" si="136"/>
        <v>0</v>
      </c>
      <c r="AO282" s="40">
        <f t="shared" si="137"/>
        <v>0</v>
      </c>
      <c r="AP282" s="40">
        <f t="shared" si="138"/>
        <v>0</v>
      </c>
      <c r="AQ282" s="40">
        <f t="shared" si="139"/>
        <v>0</v>
      </c>
      <c r="AR282" s="40">
        <f t="shared" si="140"/>
        <v>0</v>
      </c>
      <c r="AS282" s="40">
        <f t="shared" si="141"/>
        <v>0</v>
      </c>
    </row>
    <row r="283" spans="2:45" s="2" customFormat="1" ht="14.4" customHeight="1" x14ac:dyDescent="0.25">
      <c r="B283" s="56" t="s">
        <v>20</v>
      </c>
      <c r="C283" s="57" t="s">
        <v>36</v>
      </c>
      <c r="D283" s="58" t="s">
        <v>35</v>
      </c>
      <c r="E283" s="62">
        <v>5.6700000000000014E-3</v>
      </c>
      <c r="F283" s="65">
        <f t="shared" si="142"/>
        <v>-5.172566161242476</v>
      </c>
      <c r="S283" s="40">
        <f t="shared" si="115"/>
        <v>0</v>
      </c>
      <c r="T283" s="40">
        <f t="shared" si="116"/>
        <v>0</v>
      </c>
      <c r="U283" s="40">
        <f t="shared" si="117"/>
        <v>1</v>
      </c>
      <c r="V283" s="40">
        <f t="shared" si="118"/>
        <v>0</v>
      </c>
      <c r="W283" s="40">
        <f t="shared" si="119"/>
        <v>0</v>
      </c>
      <c r="X283" s="40">
        <f t="shared" si="120"/>
        <v>0</v>
      </c>
      <c r="Y283" s="40">
        <f t="shared" si="121"/>
        <v>0</v>
      </c>
      <c r="Z283" s="40">
        <f t="shared" si="122"/>
        <v>1</v>
      </c>
      <c r="AA283" s="40">
        <f t="shared" si="123"/>
        <v>0</v>
      </c>
      <c r="AB283" s="40">
        <f t="shared" si="124"/>
        <v>0</v>
      </c>
      <c r="AC283" s="40">
        <f t="shared" si="125"/>
        <v>0</v>
      </c>
      <c r="AD283" s="40">
        <f t="shared" si="126"/>
        <v>0</v>
      </c>
      <c r="AE283" s="40">
        <f t="shared" si="127"/>
        <v>0</v>
      </c>
      <c r="AF283" s="40">
        <f t="shared" si="128"/>
        <v>0</v>
      </c>
      <c r="AG283" s="40">
        <f t="shared" si="129"/>
        <v>0</v>
      </c>
      <c r="AH283" s="40">
        <f t="shared" si="130"/>
        <v>0</v>
      </c>
      <c r="AI283" s="40">
        <f t="shared" si="131"/>
        <v>0</v>
      </c>
      <c r="AJ283" s="40">
        <f t="shared" si="132"/>
        <v>0</v>
      </c>
      <c r="AK283" s="40">
        <f t="shared" si="133"/>
        <v>0</v>
      </c>
      <c r="AL283" s="40">
        <f t="shared" si="134"/>
        <v>1</v>
      </c>
      <c r="AM283" s="40">
        <f t="shared" si="135"/>
        <v>0</v>
      </c>
      <c r="AN283" s="40">
        <f t="shared" si="136"/>
        <v>0</v>
      </c>
      <c r="AO283" s="40">
        <f t="shared" si="137"/>
        <v>0</v>
      </c>
      <c r="AP283" s="40">
        <f t="shared" si="138"/>
        <v>0</v>
      </c>
      <c r="AQ283" s="40">
        <f t="shared" si="139"/>
        <v>0</v>
      </c>
      <c r="AR283" s="40">
        <f t="shared" si="140"/>
        <v>0</v>
      </c>
      <c r="AS283" s="40">
        <f t="shared" si="141"/>
        <v>0</v>
      </c>
    </row>
    <row r="284" spans="2:45" s="2" customFormat="1" ht="14.4" customHeight="1" x14ac:dyDescent="0.25">
      <c r="B284" s="56" t="s">
        <v>20</v>
      </c>
      <c r="C284" s="57" t="s">
        <v>36</v>
      </c>
      <c r="D284" s="58" t="s">
        <v>24</v>
      </c>
      <c r="E284" s="62">
        <v>6.3499999999999989E-3</v>
      </c>
      <c r="F284" s="65">
        <f t="shared" si="142"/>
        <v>-5.0593004660775369</v>
      </c>
      <c r="S284" s="40">
        <f t="shared" si="115"/>
        <v>0</v>
      </c>
      <c r="T284" s="40">
        <f t="shared" si="116"/>
        <v>0</v>
      </c>
      <c r="U284" s="40">
        <f t="shared" si="117"/>
        <v>1</v>
      </c>
      <c r="V284" s="40">
        <f t="shared" si="118"/>
        <v>0</v>
      </c>
      <c r="W284" s="40">
        <f t="shared" si="119"/>
        <v>0</v>
      </c>
      <c r="X284" s="40">
        <f t="shared" si="120"/>
        <v>0</v>
      </c>
      <c r="Y284" s="40">
        <f t="shared" si="121"/>
        <v>0</v>
      </c>
      <c r="Z284" s="40">
        <f t="shared" si="122"/>
        <v>1</v>
      </c>
      <c r="AA284" s="40">
        <f t="shared" si="123"/>
        <v>0</v>
      </c>
      <c r="AB284" s="40">
        <f t="shared" si="124"/>
        <v>0</v>
      </c>
      <c r="AC284" s="40">
        <f t="shared" si="125"/>
        <v>0</v>
      </c>
      <c r="AD284" s="40">
        <f t="shared" si="126"/>
        <v>0</v>
      </c>
      <c r="AE284" s="40">
        <f t="shared" si="127"/>
        <v>0</v>
      </c>
      <c r="AF284" s="40">
        <f t="shared" si="128"/>
        <v>0</v>
      </c>
      <c r="AG284" s="40">
        <f t="shared" si="129"/>
        <v>0</v>
      </c>
      <c r="AH284" s="40">
        <f t="shared" si="130"/>
        <v>0</v>
      </c>
      <c r="AI284" s="40">
        <f t="shared" si="131"/>
        <v>0</v>
      </c>
      <c r="AJ284" s="40">
        <f t="shared" si="132"/>
        <v>0</v>
      </c>
      <c r="AK284" s="40">
        <f t="shared" si="133"/>
        <v>0</v>
      </c>
      <c r="AL284" s="40">
        <f t="shared" si="134"/>
        <v>1</v>
      </c>
      <c r="AM284" s="40">
        <f t="shared" si="135"/>
        <v>0</v>
      </c>
      <c r="AN284" s="40">
        <f t="shared" si="136"/>
        <v>0</v>
      </c>
      <c r="AO284" s="40">
        <f t="shared" si="137"/>
        <v>0</v>
      </c>
      <c r="AP284" s="40">
        <f t="shared" si="138"/>
        <v>0</v>
      </c>
      <c r="AQ284" s="40">
        <f t="shared" si="139"/>
        <v>0</v>
      </c>
      <c r="AR284" s="40">
        <f t="shared" si="140"/>
        <v>0</v>
      </c>
      <c r="AS284" s="40">
        <f t="shared" si="141"/>
        <v>0</v>
      </c>
    </row>
    <row r="285" spans="2:45" s="2" customFormat="1" ht="14.4" customHeight="1" x14ac:dyDescent="0.25">
      <c r="B285" s="56" t="s">
        <v>20</v>
      </c>
      <c r="C285" s="57" t="s">
        <v>36</v>
      </c>
      <c r="D285" s="58" t="s">
        <v>24</v>
      </c>
      <c r="E285" s="62">
        <v>7.4600000000000022E-3</v>
      </c>
      <c r="F285" s="65">
        <f t="shared" si="142"/>
        <v>-4.8981998647664673</v>
      </c>
      <c r="S285" s="40">
        <f t="shared" si="115"/>
        <v>0</v>
      </c>
      <c r="T285" s="40">
        <f t="shared" si="116"/>
        <v>0</v>
      </c>
      <c r="U285" s="40">
        <f t="shared" si="117"/>
        <v>1</v>
      </c>
      <c r="V285" s="40">
        <f t="shared" si="118"/>
        <v>0</v>
      </c>
      <c r="W285" s="40">
        <f t="shared" si="119"/>
        <v>0</v>
      </c>
      <c r="X285" s="40">
        <f t="shared" si="120"/>
        <v>0</v>
      </c>
      <c r="Y285" s="40">
        <f t="shared" si="121"/>
        <v>0</v>
      </c>
      <c r="Z285" s="40">
        <f t="shared" si="122"/>
        <v>1</v>
      </c>
      <c r="AA285" s="40">
        <f t="shared" si="123"/>
        <v>0</v>
      </c>
      <c r="AB285" s="40">
        <f t="shared" si="124"/>
        <v>0</v>
      </c>
      <c r="AC285" s="40">
        <f t="shared" si="125"/>
        <v>0</v>
      </c>
      <c r="AD285" s="40">
        <f t="shared" si="126"/>
        <v>0</v>
      </c>
      <c r="AE285" s="40">
        <f t="shared" si="127"/>
        <v>0</v>
      </c>
      <c r="AF285" s="40">
        <f t="shared" si="128"/>
        <v>0</v>
      </c>
      <c r="AG285" s="40">
        <f t="shared" si="129"/>
        <v>0</v>
      </c>
      <c r="AH285" s="40">
        <f t="shared" si="130"/>
        <v>0</v>
      </c>
      <c r="AI285" s="40">
        <f t="shared" si="131"/>
        <v>0</v>
      </c>
      <c r="AJ285" s="40">
        <f t="shared" si="132"/>
        <v>0</v>
      </c>
      <c r="AK285" s="40">
        <f t="shared" si="133"/>
        <v>0</v>
      </c>
      <c r="AL285" s="40">
        <f t="shared" si="134"/>
        <v>1</v>
      </c>
      <c r="AM285" s="40">
        <f t="shared" si="135"/>
        <v>0</v>
      </c>
      <c r="AN285" s="40">
        <f t="shared" si="136"/>
        <v>0</v>
      </c>
      <c r="AO285" s="40">
        <f t="shared" si="137"/>
        <v>0</v>
      </c>
      <c r="AP285" s="40">
        <f t="shared" si="138"/>
        <v>0</v>
      </c>
      <c r="AQ285" s="40">
        <f t="shared" si="139"/>
        <v>0</v>
      </c>
      <c r="AR285" s="40">
        <f t="shared" si="140"/>
        <v>0</v>
      </c>
      <c r="AS285" s="40">
        <f t="shared" si="141"/>
        <v>0</v>
      </c>
    </row>
    <row r="286" spans="2:45" s="2" customFormat="1" ht="14.4" customHeight="1" x14ac:dyDescent="0.25">
      <c r="B286" s="56" t="s">
        <v>20</v>
      </c>
      <c r="C286" s="57" t="s">
        <v>36</v>
      </c>
      <c r="D286" s="58" t="s">
        <v>24</v>
      </c>
      <c r="E286" s="62">
        <v>4.7200000000000011E-3</v>
      </c>
      <c r="F286" s="65">
        <f t="shared" si="142"/>
        <v>-5.3559464793846727</v>
      </c>
      <c r="S286" s="40">
        <f t="shared" si="115"/>
        <v>0</v>
      </c>
      <c r="T286" s="40">
        <f t="shared" si="116"/>
        <v>0</v>
      </c>
      <c r="U286" s="40">
        <f t="shared" si="117"/>
        <v>1</v>
      </c>
      <c r="V286" s="40">
        <f t="shared" si="118"/>
        <v>0</v>
      </c>
      <c r="W286" s="40">
        <f t="shared" si="119"/>
        <v>0</v>
      </c>
      <c r="X286" s="40">
        <f t="shared" si="120"/>
        <v>0</v>
      </c>
      <c r="Y286" s="40">
        <f t="shared" si="121"/>
        <v>0</v>
      </c>
      <c r="Z286" s="40">
        <f t="shared" si="122"/>
        <v>1</v>
      </c>
      <c r="AA286" s="40">
        <f t="shared" si="123"/>
        <v>0</v>
      </c>
      <c r="AB286" s="40">
        <f t="shared" si="124"/>
        <v>0</v>
      </c>
      <c r="AC286" s="40">
        <f t="shared" si="125"/>
        <v>0</v>
      </c>
      <c r="AD286" s="40">
        <f t="shared" si="126"/>
        <v>0</v>
      </c>
      <c r="AE286" s="40">
        <f t="shared" si="127"/>
        <v>0</v>
      </c>
      <c r="AF286" s="40">
        <f t="shared" si="128"/>
        <v>0</v>
      </c>
      <c r="AG286" s="40">
        <f t="shared" si="129"/>
        <v>0</v>
      </c>
      <c r="AH286" s="40">
        <f t="shared" si="130"/>
        <v>0</v>
      </c>
      <c r="AI286" s="40">
        <f t="shared" si="131"/>
        <v>0</v>
      </c>
      <c r="AJ286" s="40">
        <f t="shared" si="132"/>
        <v>0</v>
      </c>
      <c r="AK286" s="40">
        <f t="shared" si="133"/>
        <v>0</v>
      </c>
      <c r="AL286" s="40">
        <f t="shared" si="134"/>
        <v>1</v>
      </c>
      <c r="AM286" s="40">
        <f t="shared" si="135"/>
        <v>0</v>
      </c>
      <c r="AN286" s="40">
        <f t="shared" si="136"/>
        <v>0</v>
      </c>
      <c r="AO286" s="40">
        <f t="shared" si="137"/>
        <v>0</v>
      </c>
      <c r="AP286" s="40">
        <f t="shared" si="138"/>
        <v>0</v>
      </c>
      <c r="AQ286" s="40">
        <f t="shared" si="139"/>
        <v>0</v>
      </c>
      <c r="AR286" s="40">
        <f t="shared" si="140"/>
        <v>0</v>
      </c>
      <c r="AS286" s="40">
        <f t="shared" si="141"/>
        <v>0</v>
      </c>
    </row>
    <row r="287" spans="2:45" s="2" customFormat="1" ht="14.4" customHeight="1" x14ac:dyDescent="0.25">
      <c r="B287" s="56" t="s">
        <v>20</v>
      </c>
      <c r="C287" s="57" t="s">
        <v>36</v>
      </c>
      <c r="D287" s="58" t="s">
        <v>24</v>
      </c>
      <c r="E287" s="62">
        <v>6.2500000000000021E-3</v>
      </c>
      <c r="F287" s="65">
        <f t="shared" si="142"/>
        <v>-5.0751738152338266</v>
      </c>
      <c r="S287" s="40">
        <f t="shared" si="115"/>
        <v>0</v>
      </c>
      <c r="T287" s="40">
        <f t="shared" si="116"/>
        <v>0</v>
      </c>
      <c r="U287" s="40">
        <f t="shared" si="117"/>
        <v>1</v>
      </c>
      <c r="V287" s="40">
        <f t="shared" si="118"/>
        <v>0</v>
      </c>
      <c r="W287" s="40">
        <f t="shared" si="119"/>
        <v>0</v>
      </c>
      <c r="X287" s="40">
        <f t="shared" si="120"/>
        <v>0</v>
      </c>
      <c r="Y287" s="40">
        <f t="shared" si="121"/>
        <v>0</v>
      </c>
      <c r="Z287" s="40">
        <f t="shared" si="122"/>
        <v>1</v>
      </c>
      <c r="AA287" s="40">
        <f t="shared" si="123"/>
        <v>0</v>
      </c>
      <c r="AB287" s="40">
        <f t="shared" si="124"/>
        <v>0</v>
      </c>
      <c r="AC287" s="40">
        <f t="shared" si="125"/>
        <v>0</v>
      </c>
      <c r="AD287" s="40">
        <f t="shared" si="126"/>
        <v>0</v>
      </c>
      <c r="AE287" s="40">
        <f t="shared" si="127"/>
        <v>0</v>
      </c>
      <c r="AF287" s="40">
        <f t="shared" si="128"/>
        <v>0</v>
      </c>
      <c r="AG287" s="40">
        <f t="shared" si="129"/>
        <v>0</v>
      </c>
      <c r="AH287" s="40">
        <f t="shared" si="130"/>
        <v>0</v>
      </c>
      <c r="AI287" s="40">
        <f t="shared" si="131"/>
        <v>0</v>
      </c>
      <c r="AJ287" s="40">
        <f t="shared" si="132"/>
        <v>0</v>
      </c>
      <c r="AK287" s="40">
        <f t="shared" si="133"/>
        <v>0</v>
      </c>
      <c r="AL287" s="40">
        <f t="shared" si="134"/>
        <v>0</v>
      </c>
      <c r="AM287" s="40">
        <f t="shared" si="135"/>
        <v>1</v>
      </c>
      <c r="AN287" s="40">
        <f t="shared" si="136"/>
        <v>0</v>
      </c>
      <c r="AO287" s="40">
        <f t="shared" si="137"/>
        <v>0</v>
      </c>
      <c r="AP287" s="40">
        <f t="shared" si="138"/>
        <v>0</v>
      </c>
      <c r="AQ287" s="40">
        <f t="shared" si="139"/>
        <v>0</v>
      </c>
      <c r="AR287" s="40">
        <f t="shared" si="140"/>
        <v>0</v>
      </c>
      <c r="AS287" s="40">
        <f t="shared" si="141"/>
        <v>0</v>
      </c>
    </row>
    <row r="288" spans="2:45" s="2" customFormat="1" ht="14.4" customHeight="1" x14ac:dyDescent="0.25">
      <c r="B288" s="56" t="s">
        <v>20</v>
      </c>
      <c r="C288" s="57" t="s">
        <v>36</v>
      </c>
      <c r="D288" s="58" t="s">
        <v>35</v>
      </c>
      <c r="E288" s="62">
        <v>6.3200000000000001E-3</v>
      </c>
      <c r="F288" s="65">
        <f t="shared" si="142"/>
        <v>-5.0640360708233709</v>
      </c>
      <c r="S288" s="40">
        <f t="shared" si="115"/>
        <v>0</v>
      </c>
      <c r="T288" s="40">
        <f t="shared" si="116"/>
        <v>0</v>
      </c>
      <c r="U288" s="40">
        <f t="shared" si="117"/>
        <v>1</v>
      </c>
      <c r="V288" s="40">
        <f t="shared" si="118"/>
        <v>0</v>
      </c>
      <c r="W288" s="40">
        <f t="shared" si="119"/>
        <v>0</v>
      </c>
      <c r="X288" s="40">
        <f t="shared" si="120"/>
        <v>0</v>
      </c>
      <c r="Y288" s="40">
        <f t="shared" si="121"/>
        <v>0</v>
      </c>
      <c r="Z288" s="40">
        <f t="shared" si="122"/>
        <v>1</v>
      </c>
      <c r="AA288" s="40">
        <f t="shared" si="123"/>
        <v>0</v>
      </c>
      <c r="AB288" s="40">
        <f t="shared" si="124"/>
        <v>0</v>
      </c>
      <c r="AC288" s="40">
        <f t="shared" si="125"/>
        <v>0</v>
      </c>
      <c r="AD288" s="40">
        <f t="shared" si="126"/>
        <v>0</v>
      </c>
      <c r="AE288" s="40">
        <f t="shared" si="127"/>
        <v>0</v>
      </c>
      <c r="AF288" s="40">
        <f t="shared" si="128"/>
        <v>0</v>
      </c>
      <c r="AG288" s="40">
        <f t="shared" si="129"/>
        <v>0</v>
      </c>
      <c r="AH288" s="40">
        <f t="shared" si="130"/>
        <v>0</v>
      </c>
      <c r="AI288" s="40">
        <f t="shared" si="131"/>
        <v>0</v>
      </c>
      <c r="AJ288" s="40">
        <f t="shared" si="132"/>
        <v>0</v>
      </c>
      <c r="AK288" s="40">
        <f t="shared" si="133"/>
        <v>0</v>
      </c>
      <c r="AL288" s="40">
        <f t="shared" si="134"/>
        <v>0</v>
      </c>
      <c r="AM288" s="40">
        <f t="shared" si="135"/>
        <v>1</v>
      </c>
      <c r="AN288" s="40">
        <f t="shared" si="136"/>
        <v>0</v>
      </c>
      <c r="AO288" s="40">
        <f t="shared" si="137"/>
        <v>0</v>
      </c>
      <c r="AP288" s="40">
        <f t="shared" si="138"/>
        <v>0</v>
      </c>
      <c r="AQ288" s="40">
        <f t="shared" si="139"/>
        <v>0</v>
      </c>
      <c r="AR288" s="40">
        <f t="shared" si="140"/>
        <v>0</v>
      </c>
      <c r="AS288" s="40">
        <f t="shared" si="141"/>
        <v>0</v>
      </c>
    </row>
    <row r="289" spans="2:45" s="2" customFormat="1" ht="14.4" customHeight="1" x14ac:dyDescent="0.25">
      <c r="B289" s="56" t="s">
        <v>20</v>
      </c>
      <c r="C289" s="57" t="s">
        <v>36</v>
      </c>
      <c r="D289" s="58" t="s">
        <v>35</v>
      </c>
      <c r="E289" s="62">
        <v>6.2000000000000006E-3</v>
      </c>
      <c r="F289" s="65">
        <f t="shared" si="142"/>
        <v>-5.083205986931091</v>
      </c>
      <c r="S289" s="40">
        <f t="shared" si="115"/>
        <v>0</v>
      </c>
      <c r="T289" s="40">
        <f t="shared" si="116"/>
        <v>0</v>
      </c>
      <c r="U289" s="40">
        <f t="shared" si="117"/>
        <v>1</v>
      </c>
      <c r="V289" s="40">
        <f t="shared" si="118"/>
        <v>0</v>
      </c>
      <c r="W289" s="40">
        <f t="shared" si="119"/>
        <v>0</v>
      </c>
      <c r="X289" s="40">
        <f t="shared" si="120"/>
        <v>0</v>
      </c>
      <c r="Y289" s="40">
        <f t="shared" si="121"/>
        <v>0</v>
      </c>
      <c r="Z289" s="40">
        <f t="shared" si="122"/>
        <v>1</v>
      </c>
      <c r="AA289" s="40">
        <f t="shared" si="123"/>
        <v>0</v>
      </c>
      <c r="AB289" s="40">
        <f t="shared" si="124"/>
        <v>0</v>
      </c>
      <c r="AC289" s="40">
        <f t="shared" si="125"/>
        <v>0</v>
      </c>
      <c r="AD289" s="40">
        <f t="shared" si="126"/>
        <v>0</v>
      </c>
      <c r="AE289" s="40">
        <f t="shared" si="127"/>
        <v>0</v>
      </c>
      <c r="AF289" s="40">
        <f t="shared" si="128"/>
        <v>0</v>
      </c>
      <c r="AG289" s="40">
        <f t="shared" si="129"/>
        <v>0</v>
      </c>
      <c r="AH289" s="40">
        <f t="shared" si="130"/>
        <v>0</v>
      </c>
      <c r="AI289" s="40">
        <f t="shared" si="131"/>
        <v>0</v>
      </c>
      <c r="AJ289" s="40">
        <f t="shared" si="132"/>
        <v>0</v>
      </c>
      <c r="AK289" s="40">
        <f t="shared" si="133"/>
        <v>1</v>
      </c>
      <c r="AL289" s="40">
        <f t="shared" si="134"/>
        <v>0</v>
      </c>
      <c r="AM289" s="40">
        <f t="shared" si="135"/>
        <v>0</v>
      </c>
      <c r="AN289" s="40">
        <f t="shared" si="136"/>
        <v>0</v>
      </c>
      <c r="AO289" s="40">
        <f t="shared" si="137"/>
        <v>0</v>
      </c>
      <c r="AP289" s="40">
        <f t="shared" si="138"/>
        <v>0</v>
      </c>
      <c r="AQ289" s="40">
        <f t="shared" si="139"/>
        <v>0</v>
      </c>
      <c r="AR289" s="40">
        <f t="shared" si="140"/>
        <v>0</v>
      </c>
      <c r="AS289" s="40">
        <f t="shared" si="141"/>
        <v>0</v>
      </c>
    </row>
    <row r="290" spans="2:45" s="2" customFormat="1" ht="14.4" customHeight="1" x14ac:dyDescent="0.25">
      <c r="B290" s="56" t="s">
        <v>20</v>
      </c>
      <c r="C290" s="57" t="s">
        <v>36</v>
      </c>
      <c r="D290" s="58" t="s">
        <v>32</v>
      </c>
      <c r="E290" s="62">
        <v>7.5600000000000016E-3</v>
      </c>
      <c r="F290" s="65">
        <f t="shared" si="142"/>
        <v>-4.8848840887906952</v>
      </c>
      <c r="S290" s="40">
        <f t="shared" si="115"/>
        <v>0</v>
      </c>
      <c r="T290" s="40">
        <f t="shared" si="116"/>
        <v>0</v>
      </c>
      <c r="U290" s="40">
        <f t="shared" si="117"/>
        <v>1</v>
      </c>
      <c r="V290" s="40">
        <f t="shared" si="118"/>
        <v>0</v>
      </c>
      <c r="W290" s="40">
        <f t="shared" si="119"/>
        <v>0</v>
      </c>
      <c r="X290" s="40">
        <f t="shared" si="120"/>
        <v>0</v>
      </c>
      <c r="Y290" s="40">
        <f t="shared" si="121"/>
        <v>0</v>
      </c>
      <c r="Z290" s="40">
        <f t="shared" si="122"/>
        <v>1</v>
      </c>
      <c r="AA290" s="40">
        <f t="shared" si="123"/>
        <v>0</v>
      </c>
      <c r="AB290" s="40">
        <f t="shared" si="124"/>
        <v>0</v>
      </c>
      <c r="AC290" s="40">
        <f t="shared" si="125"/>
        <v>0</v>
      </c>
      <c r="AD290" s="40">
        <f t="shared" si="126"/>
        <v>0</v>
      </c>
      <c r="AE290" s="40">
        <f t="shared" si="127"/>
        <v>0</v>
      </c>
      <c r="AF290" s="40">
        <f t="shared" si="128"/>
        <v>0</v>
      </c>
      <c r="AG290" s="40">
        <f t="shared" si="129"/>
        <v>0</v>
      </c>
      <c r="AH290" s="40">
        <f t="shared" si="130"/>
        <v>0</v>
      </c>
      <c r="AI290" s="40">
        <f t="shared" si="131"/>
        <v>0</v>
      </c>
      <c r="AJ290" s="40">
        <f t="shared" si="132"/>
        <v>0</v>
      </c>
      <c r="AK290" s="40">
        <f t="shared" si="133"/>
        <v>1</v>
      </c>
      <c r="AL290" s="40">
        <f t="shared" si="134"/>
        <v>0</v>
      </c>
      <c r="AM290" s="40">
        <f t="shared" si="135"/>
        <v>0</v>
      </c>
      <c r="AN290" s="40">
        <f t="shared" si="136"/>
        <v>0</v>
      </c>
      <c r="AO290" s="40">
        <f t="shared" si="137"/>
        <v>0</v>
      </c>
      <c r="AP290" s="40">
        <f t="shared" si="138"/>
        <v>0</v>
      </c>
      <c r="AQ290" s="40">
        <f t="shared" si="139"/>
        <v>0</v>
      </c>
      <c r="AR290" s="40">
        <f t="shared" si="140"/>
        <v>0</v>
      </c>
      <c r="AS290" s="40">
        <f t="shared" si="141"/>
        <v>0</v>
      </c>
    </row>
    <row r="291" spans="2:45" s="2" customFormat="1" ht="14.4" customHeight="1" x14ac:dyDescent="0.25">
      <c r="B291" s="56" t="s">
        <v>20</v>
      </c>
      <c r="C291" s="57" t="s">
        <v>36</v>
      </c>
      <c r="D291" s="58" t="s">
        <v>32</v>
      </c>
      <c r="E291" s="62">
        <v>7.1100000000000035E-3</v>
      </c>
      <c r="F291" s="65">
        <f t="shared" si="142"/>
        <v>-4.9462530351669871</v>
      </c>
      <c r="S291" s="40">
        <f t="shared" si="115"/>
        <v>0</v>
      </c>
      <c r="T291" s="40">
        <f t="shared" si="116"/>
        <v>0</v>
      </c>
      <c r="U291" s="40">
        <f t="shared" si="117"/>
        <v>1</v>
      </c>
      <c r="V291" s="40">
        <f t="shared" si="118"/>
        <v>0</v>
      </c>
      <c r="W291" s="40">
        <f t="shared" si="119"/>
        <v>0</v>
      </c>
      <c r="X291" s="40">
        <f t="shared" si="120"/>
        <v>0</v>
      </c>
      <c r="Y291" s="40">
        <f t="shared" si="121"/>
        <v>0</v>
      </c>
      <c r="Z291" s="40">
        <f t="shared" si="122"/>
        <v>0</v>
      </c>
      <c r="AA291" s="40">
        <f t="shared" si="123"/>
        <v>0</v>
      </c>
      <c r="AB291" s="40">
        <f t="shared" si="124"/>
        <v>0</v>
      </c>
      <c r="AC291" s="40">
        <f t="shared" si="125"/>
        <v>0</v>
      </c>
      <c r="AD291" s="40">
        <f t="shared" si="126"/>
        <v>0</v>
      </c>
      <c r="AE291" s="40">
        <f t="shared" si="127"/>
        <v>0</v>
      </c>
      <c r="AF291" s="40">
        <f t="shared" si="128"/>
        <v>1</v>
      </c>
      <c r="AG291" s="40">
        <f t="shared" si="129"/>
        <v>0</v>
      </c>
      <c r="AH291" s="40">
        <f t="shared" si="130"/>
        <v>0</v>
      </c>
      <c r="AI291" s="40">
        <f t="shared" si="131"/>
        <v>0</v>
      </c>
      <c r="AJ291" s="40">
        <f t="shared" si="132"/>
        <v>0</v>
      </c>
      <c r="AK291" s="40">
        <f t="shared" si="133"/>
        <v>0</v>
      </c>
      <c r="AL291" s="40">
        <f t="shared" si="134"/>
        <v>0</v>
      </c>
      <c r="AM291" s="40">
        <f t="shared" si="135"/>
        <v>0</v>
      </c>
      <c r="AN291" s="40">
        <f t="shared" si="136"/>
        <v>0</v>
      </c>
      <c r="AO291" s="40">
        <f t="shared" si="137"/>
        <v>0</v>
      </c>
      <c r="AP291" s="40">
        <f t="shared" si="138"/>
        <v>1</v>
      </c>
      <c r="AQ291" s="40">
        <f t="shared" si="139"/>
        <v>0</v>
      </c>
      <c r="AR291" s="40">
        <f t="shared" si="140"/>
        <v>0</v>
      </c>
      <c r="AS291" s="40">
        <f t="shared" si="141"/>
        <v>0</v>
      </c>
    </row>
    <row r="292" spans="2:45" s="2" customFormat="1" ht="14.4" customHeight="1" x14ac:dyDescent="0.25">
      <c r="B292" s="56" t="s">
        <v>20</v>
      </c>
      <c r="C292" s="57" t="s">
        <v>26</v>
      </c>
      <c r="D292" s="58" t="s">
        <v>40</v>
      </c>
      <c r="E292" s="62">
        <v>5.7000000000000011E-3</v>
      </c>
      <c r="F292" s="65">
        <f t="shared" si="142"/>
        <v>-5.1672891041416324</v>
      </c>
      <c r="S292" s="40">
        <f t="shared" si="115"/>
        <v>0</v>
      </c>
      <c r="T292" s="40">
        <f t="shared" si="116"/>
        <v>0</v>
      </c>
      <c r="U292" s="40">
        <f t="shared" si="117"/>
        <v>1</v>
      </c>
      <c r="V292" s="40">
        <f t="shared" si="118"/>
        <v>0</v>
      </c>
      <c r="W292" s="40">
        <f t="shared" si="119"/>
        <v>0</v>
      </c>
      <c r="X292" s="40">
        <f t="shared" si="120"/>
        <v>0</v>
      </c>
      <c r="Y292" s="40">
        <f t="shared" si="121"/>
        <v>0</v>
      </c>
      <c r="Z292" s="40">
        <f t="shared" si="122"/>
        <v>0</v>
      </c>
      <c r="AA292" s="40">
        <f t="shared" si="123"/>
        <v>0</v>
      </c>
      <c r="AB292" s="40">
        <f t="shared" si="124"/>
        <v>0</v>
      </c>
      <c r="AC292" s="40">
        <f t="shared" si="125"/>
        <v>0</v>
      </c>
      <c r="AD292" s="40">
        <f t="shared" si="126"/>
        <v>0</v>
      </c>
      <c r="AE292" s="40">
        <f t="shared" si="127"/>
        <v>0</v>
      </c>
      <c r="AF292" s="40">
        <f t="shared" si="128"/>
        <v>1</v>
      </c>
      <c r="AG292" s="40">
        <f t="shared" si="129"/>
        <v>0</v>
      </c>
      <c r="AH292" s="40">
        <f t="shared" si="130"/>
        <v>0</v>
      </c>
      <c r="AI292" s="40">
        <f t="shared" si="131"/>
        <v>0</v>
      </c>
      <c r="AJ292" s="40">
        <f t="shared" si="132"/>
        <v>0</v>
      </c>
      <c r="AK292" s="40">
        <f t="shared" si="133"/>
        <v>0</v>
      </c>
      <c r="AL292" s="40">
        <f t="shared" si="134"/>
        <v>0</v>
      </c>
      <c r="AM292" s="40">
        <f t="shared" si="135"/>
        <v>0</v>
      </c>
      <c r="AN292" s="40">
        <f t="shared" si="136"/>
        <v>0</v>
      </c>
      <c r="AO292" s="40">
        <f t="shared" si="137"/>
        <v>0</v>
      </c>
      <c r="AP292" s="40">
        <f t="shared" si="138"/>
        <v>1</v>
      </c>
      <c r="AQ292" s="40">
        <f t="shared" si="139"/>
        <v>0</v>
      </c>
      <c r="AR292" s="40">
        <f t="shared" si="140"/>
        <v>0</v>
      </c>
      <c r="AS292" s="40">
        <f t="shared" si="141"/>
        <v>0</v>
      </c>
    </row>
    <row r="293" spans="2:45" s="2" customFormat="1" ht="14.4" customHeight="1" x14ac:dyDescent="0.25">
      <c r="B293" s="56" t="s">
        <v>20</v>
      </c>
      <c r="C293" s="57" t="s">
        <v>26</v>
      </c>
      <c r="D293" s="58" t="s">
        <v>40</v>
      </c>
      <c r="E293" s="62">
        <v>5.4100000000000016E-3</v>
      </c>
      <c r="F293" s="65">
        <f t="shared" si="142"/>
        <v>-5.2195061861237466</v>
      </c>
      <c r="S293" s="40">
        <f t="shared" si="115"/>
        <v>0</v>
      </c>
      <c r="T293" s="40">
        <f t="shared" si="116"/>
        <v>0</v>
      </c>
      <c r="U293" s="40">
        <f t="shared" si="117"/>
        <v>1</v>
      </c>
      <c r="V293" s="40">
        <f t="shared" si="118"/>
        <v>0</v>
      </c>
      <c r="W293" s="40">
        <f t="shared" si="119"/>
        <v>0</v>
      </c>
      <c r="X293" s="40">
        <f t="shared" si="120"/>
        <v>0</v>
      </c>
      <c r="Y293" s="40">
        <f t="shared" si="121"/>
        <v>0</v>
      </c>
      <c r="Z293" s="40">
        <f t="shared" si="122"/>
        <v>0</v>
      </c>
      <c r="AA293" s="40">
        <f t="shared" si="123"/>
        <v>0</v>
      </c>
      <c r="AB293" s="40">
        <f t="shared" si="124"/>
        <v>0</v>
      </c>
      <c r="AC293" s="40">
        <f t="shared" si="125"/>
        <v>0</v>
      </c>
      <c r="AD293" s="40">
        <f t="shared" si="126"/>
        <v>0</v>
      </c>
      <c r="AE293" s="40">
        <f t="shared" si="127"/>
        <v>0</v>
      </c>
      <c r="AF293" s="40">
        <f t="shared" si="128"/>
        <v>1</v>
      </c>
      <c r="AG293" s="40">
        <f t="shared" si="129"/>
        <v>0</v>
      </c>
      <c r="AH293" s="40">
        <f t="shared" si="130"/>
        <v>0</v>
      </c>
      <c r="AI293" s="40">
        <f t="shared" si="131"/>
        <v>0</v>
      </c>
      <c r="AJ293" s="40">
        <f t="shared" si="132"/>
        <v>0</v>
      </c>
      <c r="AK293" s="40">
        <f t="shared" si="133"/>
        <v>0</v>
      </c>
      <c r="AL293" s="40">
        <f t="shared" si="134"/>
        <v>0</v>
      </c>
      <c r="AM293" s="40">
        <f t="shared" si="135"/>
        <v>0</v>
      </c>
      <c r="AN293" s="40">
        <f t="shared" si="136"/>
        <v>0</v>
      </c>
      <c r="AO293" s="40">
        <f t="shared" si="137"/>
        <v>0</v>
      </c>
      <c r="AP293" s="40">
        <f t="shared" si="138"/>
        <v>1</v>
      </c>
      <c r="AQ293" s="40">
        <f t="shared" si="139"/>
        <v>0</v>
      </c>
      <c r="AR293" s="40">
        <f t="shared" si="140"/>
        <v>0</v>
      </c>
      <c r="AS293" s="40">
        <f t="shared" si="141"/>
        <v>0</v>
      </c>
    </row>
    <row r="294" spans="2:45" s="2" customFormat="1" ht="14.4" customHeight="1" x14ac:dyDescent="0.25">
      <c r="B294" s="56" t="s">
        <v>20</v>
      </c>
      <c r="C294" s="57" t="s">
        <v>26</v>
      </c>
      <c r="D294" s="58" t="s">
        <v>40</v>
      </c>
      <c r="E294" s="62">
        <v>6.6100000000000022E-3</v>
      </c>
      <c r="F294" s="65">
        <f t="shared" si="142"/>
        <v>-5.0191716251185419</v>
      </c>
      <c r="S294" s="40">
        <f t="shared" si="115"/>
        <v>0</v>
      </c>
      <c r="T294" s="40">
        <f t="shared" si="116"/>
        <v>0</v>
      </c>
      <c r="U294" s="40">
        <f t="shared" si="117"/>
        <v>1</v>
      </c>
      <c r="V294" s="40">
        <f t="shared" si="118"/>
        <v>0</v>
      </c>
      <c r="W294" s="40">
        <f t="shared" si="119"/>
        <v>0</v>
      </c>
      <c r="X294" s="40">
        <f t="shared" si="120"/>
        <v>0</v>
      </c>
      <c r="Y294" s="40">
        <f t="shared" si="121"/>
        <v>0</v>
      </c>
      <c r="Z294" s="40">
        <f t="shared" si="122"/>
        <v>0</v>
      </c>
      <c r="AA294" s="40">
        <f t="shared" si="123"/>
        <v>0</v>
      </c>
      <c r="AB294" s="40">
        <f t="shared" si="124"/>
        <v>0</v>
      </c>
      <c r="AC294" s="40">
        <f t="shared" si="125"/>
        <v>0</v>
      </c>
      <c r="AD294" s="40">
        <f t="shared" si="126"/>
        <v>0</v>
      </c>
      <c r="AE294" s="40">
        <f t="shared" si="127"/>
        <v>0</v>
      </c>
      <c r="AF294" s="40">
        <f t="shared" si="128"/>
        <v>1</v>
      </c>
      <c r="AG294" s="40">
        <f t="shared" si="129"/>
        <v>0</v>
      </c>
      <c r="AH294" s="40">
        <f t="shared" si="130"/>
        <v>0</v>
      </c>
      <c r="AI294" s="40">
        <f t="shared" si="131"/>
        <v>0</v>
      </c>
      <c r="AJ294" s="40">
        <f t="shared" si="132"/>
        <v>0</v>
      </c>
      <c r="AK294" s="40">
        <f t="shared" si="133"/>
        <v>0</v>
      </c>
      <c r="AL294" s="40">
        <f t="shared" si="134"/>
        <v>0</v>
      </c>
      <c r="AM294" s="40">
        <f t="shared" si="135"/>
        <v>0</v>
      </c>
      <c r="AN294" s="40">
        <f t="shared" si="136"/>
        <v>0</v>
      </c>
      <c r="AO294" s="40">
        <f t="shared" si="137"/>
        <v>0</v>
      </c>
      <c r="AP294" s="40">
        <f t="shared" si="138"/>
        <v>1</v>
      </c>
      <c r="AQ294" s="40">
        <f t="shared" si="139"/>
        <v>0</v>
      </c>
      <c r="AR294" s="40">
        <f t="shared" si="140"/>
        <v>0</v>
      </c>
      <c r="AS294" s="40">
        <f t="shared" si="141"/>
        <v>0</v>
      </c>
    </row>
    <row r="295" spans="2:45" s="2" customFormat="1" ht="14.4" customHeight="1" x14ac:dyDescent="0.25">
      <c r="B295" s="56" t="s">
        <v>20</v>
      </c>
      <c r="C295" s="57" t="s">
        <v>26</v>
      </c>
      <c r="D295" s="58" t="s">
        <v>40</v>
      </c>
      <c r="E295" s="62">
        <v>5.5899999999999986E-3</v>
      </c>
      <c r="F295" s="65">
        <f t="shared" si="142"/>
        <v>-5.1867759918151295</v>
      </c>
      <c r="S295" s="40">
        <f t="shared" si="115"/>
        <v>0</v>
      </c>
      <c r="T295" s="40">
        <f t="shared" si="116"/>
        <v>0</v>
      </c>
      <c r="U295" s="40">
        <f t="shared" si="117"/>
        <v>1</v>
      </c>
      <c r="V295" s="40">
        <f t="shared" si="118"/>
        <v>0</v>
      </c>
      <c r="W295" s="40">
        <f t="shared" si="119"/>
        <v>0</v>
      </c>
      <c r="X295" s="40">
        <f t="shared" si="120"/>
        <v>0</v>
      </c>
      <c r="Y295" s="40">
        <f t="shared" si="121"/>
        <v>0</v>
      </c>
      <c r="Z295" s="40">
        <f t="shared" si="122"/>
        <v>0</v>
      </c>
      <c r="AA295" s="40">
        <f t="shared" si="123"/>
        <v>0</v>
      </c>
      <c r="AB295" s="40">
        <f t="shared" si="124"/>
        <v>0</v>
      </c>
      <c r="AC295" s="40">
        <f t="shared" si="125"/>
        <v>0</v>
      </c>
      <c r="AD295" s="40">
        <f t="shared" si="126"/>
        <v>0</v>
      </c>
      <c r="AE295" s="40">
        <f t="shared" si="127"/>
        <v>0</v>
      </c>
      <c r="AF295" s="40">
        <f t="shared" si="128"/>
        <v>1</v>
      </c>
      <c r="AG295" s="40">
        <f t="shared" si="129"/>
        <v>0</v>
      </c>
      <c r="AH295" s="40">
        <f t="shared" si="130"/>
        <v>0</v>
      </c>
      <c r="AI295" s="40">
        <f t="shared" si="131"/>
        <v>0</v>
      </c>
      <c r="AJ295" s="40">
        <f t="shared" si="132"/>
        <v>0</v>
      </c>
      <c r="AK295" s="40">
        <f t="shared" si="133"/>
        <v>0</v>
      </c>
      <c r="AL295" s="40">
        <f t="shared" si="134"/>
        <v>0</v>
      </c>
      <c r="AM295" s="40">
        <f t="shared" si="135"/>
        <v>0</v>
      </c>
      <c r="AN295" s="40">
        <f t="shared" si="136"/>
        <v>0</v>
      </c>
      <c r="AO295" s="40">
        <f t="shared" si="137"/>
        <v>0</v>
      </c>
      <c r="AP295" s="40">
        <f t="shared" si="138"/>
        <v>1</v>
      </c>
      <c r="AQ295" s="40">
        <f t="shared" si="139"/>
        <v>0</v>
      </c>
      <c r="AR295" s="40">
        <f t="shared" si="140"/>
        <v>0</v>
      </c>
      <c r="AS295" s="40">
        <f t="shared" si="141"/>
        <v>0</v>
      </c>
    </row>
    <row r="296" spans="2:45" s="2" customFormat="1" ht="14.4" customHeight="1" x14ac:dyDescent="0.25">
      <c r="B296" s="56" t="s">
        <v>20</v>
      </c>
      <c r="C296" s="57" t="s">
        <v>26</v>
      </c>
      <c r="D296" s="58" t="s">
        <v>40</v>
      </c>
      <c r="E296" s="62">
        <v>5.850000000000001E-3</v>
      </c>
      <c r="F296" s="65">
        <f t="shared" si="142"/>
        <v>-5.1413136177383718</v>
      </c>
      <c r="S296" s="40">
        <f t="shared" si="115"/>
        <v>0</v>
      </c>
      <c r="T296" s="40">
        <f t="shared" si="116"/>
        <v>0</v>
      </c>
      <c r="U296" s="40">
        <f t="shared" si="117"/>
        <v>1</v>
      </c>
      <c r="V296" s="40">
        <f t="shared" si="118"/>
        <v>0</v>
      </c>
      <c r="W296" s="40">
        <f t="shared" si="119"/>
        <v>0</v>
      </c>
      <c r="X296" s="40">
        <f t="shared" si="120"/>
        <v>0</v>
      </c>
      <c r="Y296" s="40">
        <f t="shared" si="121"/>
        <v>0</v>
      </c>
      <c r="Z296" s="40">
        <f t="shared" si="122"/>
        <v>0</v>
      </c>
      <c r="AA296" s="40">
        <f t="shared" si="123"/>
        <v>0</v>
      </c>
      <c r="AB296" s="40">
        <f t="shared" si="124"/>
        <v>0</v>
      </c>
      <c r="AC296" s="40">
        <f t="shared" si="125"/>
        <v>0</v>
      </c>
      <c r="AD296" s="40">
        <f t="shared" si="126"/>
        <v>0</v>
      </c>
      <c r="AE296" s="40">
        <f t="shared" si="127"/>
        <v>0</v>
      </c>
      <c r="AF296" s="40">
        <f t="shared" si="128"/>
        <v>1</v>
      </c>
      <c r="AG296" s="40">
        <f t="shared" si="129"/>
        <v>0</v>
      </c>
      <c r="AH296" s="40">
        <f t="shared" si="130"/>
        <v>0</v>
      </c>
      <c r="AI296" s="40">
        <f t="shared" si="131"/>
        <v>0</v>
      </c>
      <c r="AJ296" s="40">
        <f t="shared" si="132"/>
        <v>0</v>
      </c>
      <c r="AK296" s="40">
        <f t="shared" si="133"/>
        <v>0</v>
      </c>
      <c r="AL296" s="40">
        <f t="shared" si="134"/>
        <v>0</v>
      </c>
      <c r="AM296" s="40">
        <f t="shared" si="135"/>
        <v>0</v>
      </c>
      <c r="AN296" s="40">
        <f t="shared" si="136"/>
        <v>0</v>
      </c>
      <c r="AO296" s="40">
        <f t="shared" si="137"/>
        <v>0</v>
      </c>
      <c r="AP296" s="40">
        <f t="shared" si="138"/>
        <v>1</v>
      </c>
      <c r="AQ296" s="40">
        <f t="shared" si="139"/>
        <v>0</v>
      </c>
      <c r="AR296" s="40">
        <f t="shared" si="140"/>
        <v>0</v>
      </c>
      <c r="AS296" s="40">
        <f t="shared" si="141"/>
        <v>0</v>
      </c>
    </row>
    <row r="297" spans="2:45" s="2" customFormat="1" ht="14.4" customHeight="1" x14ac:dyDescent="0.25">
      <c r="B297" s="56" t="s">
        <v>20</v>
      </c>
      <c r="C297" s="57" t="s">
        <v>26</v>
      </c>
      <c r="D297" s="58" t="s">
        <v>40</v>
      </c>
      <c r="E297" s="62">
        <v>5.4200000000000003E-3</v>
      </c>
      <c r="F297" s="65">
        <f t="shared" si="142"/>
        <v>-5.2176594635305822</v>
      </c>
      <c r="S297" s="40">
        <f t="shared" si="115"/>
        <v>0</v>
      </c>
      <c r="T297" s="40">
        <f t="shared" si="116"/>
        <v>0</v>
      </c>
      <c r="U297" s="40">
        <f t="shared" si="117"/>
        <v>1</v>
      </c>
      <c r="V297" s="40">
        <f t="shared" si="118"/>
        <v>0</v>
      </c>
      <c r="W297" s="40">
        <f t="shared" si="119"/>
        <v>0</v>
      </c>
      <c r="X297" s="40">
        <f t="shared" si="120"/>
        <v>0</v>
      </c>
      <c r="Y297" s="40">
        <f t="shared" si="121"/>
        <v>0</v>
      </c>
      <c r="Z297" s="40">
        <f t="shared" si="122"/>
        <v>0</v>
      </c>
      <c r="AA297" s="40">
        <f t="shared" si="123"/>
        <v>0</v>
      </c>
      <c r="AB297" s="40">
        <f t="shared" si="124"/>
        <v>0</v>
      </c>
      <c r="AC297" s="40">
        <f t="shared" si="125"/>
        <v>0</v>
      </c>
      <c r="AD297" s="40">
        <f t="shared" si="126"/>
        <v>0</v>
      </c>
      <c r="AE297" s="40">
        <f t="shared" si="127"/>
        <v>0</v>
      </c>
      <c r="AF297" s="40">
        <f t="shared" si="128"/>
        <v>1</v>
      </c>
      <c r="AG297" s="40">
        <f t="shared" si="129"/>
        <v>0</v>
      </c>
      <c r="AH297" s="40">
        <f t="shared" si="130"/>
        <v>0</v>
      </c>
      <c r="AI297" s="40">
        <f t="shared" si="131"/>
        <v>0</v>
      </c>
      <c r="AJ297" s="40">
        <f t="shared" si="132"/>
        <v>0</v>
      </c>
      <c r="AK297" s="40">
        <f t="shared" si="133"/>
        <v>0</v>
      </c>
      <c r="AL297" s="40">
        <f t="shared" si="134"/>
        <v>0</v>
      </c>
      <c r="AM297" s="40">
        <f t="shared" si="135"/>
        <v>0</v>
      </c>
      <c r="AN297" s="40">
        <f t="shared" si="136"/>
        <v>0</v>
      </c>
      <c r="AO297" s="40">
        <f t="shared" si="137"/>
        <v>0</v>
      </c>
      <c r="AP297" s="40">
        <f t="shared" si="138"/>
        <v>1</v>
      </c>
      <c r="AQ297" s="40">
        <f t="shared" si="139"/>
        <v>0</v>
      </c>
      <c r="AR297" s="40">
        <f t="shared" si="140"/>
        <v>0</v>
      </c>
      <c r="AS297" s="40">
        <f t="shared" si="141"/>
        <v>0</v>
      </c>
    </row>
    <row r="298" spans="2:45" s="2" customFormat="1" ht="14.4" customHeight="1" x14ac:dyDescent="0.25">
      <c r="B298" s="56" t="s">
        <v>20</v>
      </c>
      <c r="C298" s="57" t="s">
        <v>26</v>
      </c>
      <c r="D298" s="58" t="s">
        <v>40</v>
      </c>
      <c r="E298" s="62">
        <v>5.4100000000000016E-3</v>
      </c>
      <c r="F298" s="65">
        <f t="shared" si="142"/>
        <v>-5.2195061861237466</v>
      </c>
      <c r="S298" s="40">
        <f t="shared" si="115"/>
        <v>0</v>
      </c>
      <c r="T298" s="40">
        <f t="shared" si="116"/>
        <v>0</v>
      </c>
      <c r="U298" s="40">
        <f t="shared" si="117"/>
        <v>1</v>
      </c>
      <c r="V298" s="40">
        <f t="shared" si="118"/>
        <v>0</v>
      </c>
      <c r="W298" s="40">
        <f t="shared" si="119"/>
        <v>0</v>
      </c>
      <c r="X298" s="40">
        <f t="shared" si="120"/>
        <v>0</v>
      </c>
      <c r="Y298" s="40">
        <f t="shared" si="121"/>
        <v>0</v>
      </c>
      <c r="Z298" s="40">
        <f t="shared" si="122"/>
        <v>0</v>
      </c>
      <c r="AA298" s="40">
        <f t="shared" si="123"/>
        <v>0</v>
      </c>
      <c r="AB298" s="40">
        <f t="shared" si="124"/>
        <v>0</v>
      </c>
      <c r="AC298" s="40">
        <f t="shared" si="125"/>
        <v>0</v>
      </c>
      <c r="AD298" s="40">
        <f t="shared" si="126"/>
        <v>0</v>
      </c>
      <c r="AE298" s="40">
        <f t="shared" si="127"/>
        <v>0</v>
      </c>
      <c r="AF298" s="40">
        <f t="shared" si="128"/>
        <v>1</v>
      </c>
      <c r="AG298" s="40">
        <f t="shared" si="129"/>
        <v>0</v>
      </c>
      <c r="AH298" s="40">
        <f t="shared" si="130"/>
        <v>0</v>
      </c>
      <c r="AI298" s="40">
        <f t="shared" si="131"/>
        <v>0</v>
      </c>
      <c r="AJ298" s="40">
        <f t="shared" si="132"/>
        <v>0</v>
      </c>
      <c r="AK298" s="40">
        <f t="shared" si="133"/>
        <v>0</v>
      </c>
      <c r="AL298" s="40">
        <f t="shared" si="134"/>
        <v>0</v>
      </c>
      <c r="AM298" s="40">
        <f t="shared" si="135"/>
        <v>0</v>
      </c>
      <c r="AN298" s="40">
        <f t="shared" si="136"/>
        <v>0</v>
      </c>
      <c r="AO298" s="40">
        <f t="shared" si="137"/>
        <v>0</v>
      </c>
      <c r="AP298" s="40">
        <f t="shared" si="138"/>
        <v>1</v>
      </c>
      <c r="AQ298" s="40">
        <f t="shared" si="139"/>
        <v>0</v>
      </c>
      <c r="AR298" s="40">
        <f t="shared" si="140"/>
        <v>0</v>
      </c>
      <c r="AS298" s="40">
        <f t="shared" si="141"/>
        <v>0</v>
      </c>
    </row>
    <row r="299" spans="2:45" s="2" customFormat="1" ht="14.4" customHeight="1" x14ac:dyDescent="0.25">
      <c r="B299" s="56" t="s">
        <v>20</v>
      </c>
      <c r="C299" s="57" t="s">
        <v>26</v>
      </c>
      <c r="D299" s="58" t="s">
        <v>40</v>
      </c>
      <c r="E299" s="62">
        <v>5.2899999999999987E-3</v>
      </c>
      <c r="F299" s="65">
        <f t="shared" si="142"/>
        <v>-5.2419370331119293</v>
      </c>
      <c r="S299" s="40">
        <f t="shared" si="115"/>
        <v>0</v>
      </c>
      <c r="T299" s="40">
        <f t="shared" si="116"/>
        <v>0</v>
      </c>
      <c r="U299" s="40">
        <f t="shared" si="117"/>
        <v>1</v>
      </c>
      <c r="V299" s="40">
        <f t="shared" si="118"/>
        <v>0</v>
      </c>
      <c r="W299" s="40">
        <f t="shared" si="119"/>
        <v>0</v>
      </c>
      <c r="X299" s="40">
        <f t="shared" si="120"/>
        <v>0</v>
      </c>
      <c r="Y299" s="40">
        <f t="shared" si="121"/>
        <v>0</v>
      </c>
      <c r="Z299" s="40">
        <f t="shared" si="122"/>
        <v>0</v>
      </c>
      <c r="AA299" s="40">
        <f t="shared" si="123"/>
        <v>0</v>
      </c>
      <c r="AB299" s="40">
        <f t="shared" si="124"/>
        <v>0</v>
      </c>
      <c r="AC299" s="40">
        <f t="shared" si="125"/>
        <v>0</v>
      </c>
      <c r="AD299" s="40">
        <f t="shared" si="126"/>
        <v>0</v>
      </c>
      <c r="AE299" s="40">
        <f t="shared" si="127"/>
        <v>0</v>
      </c>
      <c r="AF299" s="40">
        <f t="shared" si="128"/>
        <v>1</v>
      </c>
      <c r="AG299" s="40">
        <f t="shared" si="129"/>
        <v>0</v>
      </c>
      <c r="AH299" s="40">
        <f t="shared" si="130"/>
        <v>0</v>
      </c>
      <c r="AI299" s="40">
        <f t="shared" si="131"/>
        <v>0</v>
      </c>
      <c r="AJ299" s="40">
        <f t="shared" si="132"/>
        <v>0</v>
      </c>
      <c r="AK299" s="40">
        <f t="shared" si="133"/>
        <v>0</v>
      </c>
      <c r="AL299" s="40">
        <f t="shared" si="134"/>
        <v>0</v>
      </c>
      <c r="AM299" s="40">
        <f t="shared" si="135"/>
        <v>0</v>
      </c>
      <c r="AN299" s="40">
        <f t="shared" si="136"/>
        <v>0</v>
      </c>
      <c r="AO299" s="40">
        <f t="shared" si="137"/>
        <v>0</v>
      </c>
      <c r="AP299" s="40">
        <f t="shared" si="138"/>
        <v>1</v>
      </c>
      <c r="AQ299" s="40">
        <f t="shared" si="139"/>
        <v>0</v>
      </c>
      <c r="AR299" s="40">
        <f t="shared" si="140"/>
        <v>0</v>
      </c>
      <c r="AS299" s="40">
        <f t="shared" si="141"/>
        <v>0</v>
      </c>
    </row>
    <row r="300" spans="2:45" s="2" customFormat="1" ht="14.4" customHeight="1" x14ac:dyDescent="0.25">
      <c r="B300" s="56" t="s">
        <v>20</v>
      </c>
      <c r="C300" s="57" t="s">
        <v>26</v>
      </c>
      <c r="D300" s="58" t="s">
        <v>40</v>
      </c>
      <c r="E300" s="62">
        <v>7.4699999999999992E-3</v>
      </c>
      <c r="F300" s="65">
        <f t="shared" si="142"/>
        <v>-4.8968602798374112</v>
      </c>
      <c r="S300" s="40">
        <f t="shared" si="115"/>
        <v>0</v>
      </c>
      <c r="T300" s="40">
        <f t="shared" si="116"/>
        <v>0</v>
      </c>
      <c r="U300" s="40">
        <f t="shared" si="117"/>
        <v>1</v>
      </c>
      <c r="V300" s="40">
        <f t="shared" si="118"/>
        <v>0</v>
      </c>
      <c r="W300" s="40">
        <f t="shared" si="119"/>
        <v>0</v>
      </c>
      <c r="X300" s="40">
        <f t="shared" si="120"/>
        <v>0</v>
      </c>
      <c r="Y300" s="40">
        <f t="shared" si="121"/>
        <v>0</v>
      </c>
      <c r="Z300" s="40">
        <f t="shared" si="122"/>
        <v>0</v>
      </c>
      <c r="AA300" s="40">
        <f t="shared" si="123"/>
        <v>0</v>
      </c>
      <c r="AB300" s="40">
        <f t="shared" si="124"/>
        <v>0</v>
      </c>
      <c r="AC300" s="40">
        <f t="shared" si="125"/>
        <v>0</v>
      </c>
      <c r="AD300" s="40">
        <f t="shared" si="126"/>
        <v>0</v>
      </c>
      <c r="AE300" s="40">
        <f t="shared" si="127"/>
        <v>0</v>
      </c>
      <c r="AF300" s="40">
        <f t="shared" si="128"/>
        <v>1</v>
      </c>
      <c r="AG300" s="40">
        <f t="shared" si="129"/>
        <v>0</v>
      </c>
      <c r="AH300" s="40">
        <f t="shared" si="130"/>
        <v>0</v>
      </c>
      <c r="AI300" s="40">
        <f t="shared" si="131"/>
        <v>0</v>
      </c>
      <c r="AJ300" s="40">
        <f t="shared" si="132"/>
        <v>0</v>
      </c>
      <c r="AK300" s="40">
        <f t="shared" si="133"/>
        <v>0</v>
      </c>
      <c r="AL300" s="40">
        <f t="shared" si="134"/>
        <v>0</v>
      </c>
      <c r="AM300" s="40">
        <f t="shared" si="135"/>
        <v>0</v>
      </c>
      <c r="AN300" s="40">
        <f t="shared" si="136"/>
        <v>0</v>
      </c>
      <c r="AO300" s="40">
        <f t="shared" si="137"/>
        <v>0</v>
      </c>
      <c r="AP300" s="40">
        <f t="shared" si="138"/>
        <v>1</v>
      </c>
      <c r="AQ300" s="40">
        <f t="shared" si="139"/>
        <v>0</v>
      </c>
      <c r="AR300" s="40">
        <f t="shared" si="140"/>
        <v>0</v>
      </c>
      <c r="AS300" s="40">
        <f t="shared" si="141"/>
        <v>0</v>
      </c>
    </row>
    <row r="301" spans="2:45" s="2" customFormat="1" ht="14.4" customHeight="1" x14ac:dyDescent="0.25">
      <c r="B301" s="56" t="s">
        <v>20</v>
      </c>
      <c r="C301" s="57" t="s">
        <v>26</v>
      </c>
      <c r="D301" s="58" t="s">
        <v>40</v>
      </c>
      <c r="E301" s="62">
        <v>5.6200000000000026E-3</v>
      </c>
      <c r="F301" s="65">
        <f t="shared" si="142"/>
        <v>-5.1814236150765369</v>
      </c>
      <c r="S301" s="40">
        <f t="shared" si="115"/>
        <v>0</v>
      </c>
      <c r="T301" s="40">
        <f t="shared" si="116"/>
        <v>0</v>
      </c>
      <c r="U301" s="40">
        <f t="shared" si="117"/>
        <v>1</v>
      </c>
      <c r="V301" s="40">
        <f t="shared" si="118"/>
        <v>0</v>
      </c>
      <c r="W301" s="40">
        <f t="shared" si="119"/>
        <v>0</v>
      </c>
      <c r="X301" s="40">
        <f t="shared" si="120"/>
        <v>0</v>
      </c>
      <c r="Y301" s="40">
        <f t="shared" si="121"/>
        <v>0</v>
      </c>
      <c r="Z301" s="40">
        <f t="shared" si="122"/>
        <v>0</v>
      </c>
      <c r="AA301" s="40">
        <f t="shared" si="123"/>
        <v>0</v>
      </c>
      <c r="AB301" s="40">
        <f t="shared" si="124"/>
        <v>0</v>
      </c>
      <c r="AC301" s="40">
        <f t="shared" si="125"/>
        <v>0</v>
      </c>
      <c r="AD301" s="40">
        <f t="shared" si="126"/>
        <v>0</v>
      </c>
      <c r="AE301" s="40">
        <f t="shared" si="127"/>
        <v>0</v>
      </c>
      <c r="AF301" s="40">
        <f t="shared" si="128"/>
        <v>1</v>
      </c>
      <c r="AG301" s="40">
        <f t="shared" si="129"/>
        <v>0</v>
      </c>
      <c r="AH301" s="40">
        <f t="shared" si="130"/>
        <v>0</v>
      </c>
      <c r="AI301" s="40">
        <f t="shared" si="131"/>
        <v>0</v>
      </c>
      <c r="AJ301" s="40">
        <f t="shared" si="132"/>
        <v>0</v>
      </c>
      <c r="AK301" s="40">
        <f t="shared" si="133"/>
        <v>0</v>
      </c>
      <c r="AL301" s="40">
        <f t="shared" si="134"/>
        <v>0</v>
      </c>
      <c r="AM301" s="40">
        <f t="shared" si="135"/>
        <v>0</v>
      </c>
      <c r="AN301" s="40">
        <f t="shared" si="136"/>
        <v>0</v>
      </c>
      <c r="AO301" s="40">
        <f t="shared" si="137"/>
        <v>0</v>
      </c>
      <c r="AP301" s="40">
        <f t="shared" si="138"/>
        <v>1</v>
      </c>
      <c r="AQ301" s="40">
        <f t="shared" si="139"/>
        <v>0</v>
      </c>
      <c r="AR301" s="40">
        <f t="shared" si="140"/>
        <v>0</v>
      </c>
      <c r="AS301" s="40">
        <f t="shared" si="141"/>
        <v>0</v>
      </c>
    </row>
    <row r="302" spans="2:45" s="2" customFormat="1" ht="14.4" customHeight="1" x14ac:dyDescent="0.25">
      <c r="B302" s="56" t="s">
        <v>20</v>
      </c>
      <c r="C302" s="57" t="s">
        <v>26</v>
      </c>
      <c r="D302" s="58" t="s">
        <v>40</v>
      </c>
      <c r="E302" s="62">
        <v>5.5899999999999986E-3</v>
      </c>
      <c r="F302" s="65">
        <f t="shared" si="142"/>
        <v>-5.1867759918151295</v>
      </c>
      <c r="S302" s="40">
        <f t="shared" si="115"/>
        <v>0</v>
      </c>
      <c r="T302" s="40">
        <f t="shared" si="116"/>
        <v>0</v>
      </c>
      <c r="U302" s="40">
        <f t="shared" si="117"/>
        <v>1</v>
      </c>
      <c r="V302" s="40">
        <f t="shared" si="118"/>
        <v>0</v>
      </c>
      <c r="W302" s="40">
        <f t="shared" si="119"/>
        <v>0</v>
      </c>
      <c r="X302" s="40">
        <f t="shared" si="120"/>
        <v>0</v>
      </c>
      <c r="Y302" s="40">
        <f t="shared" si="121"/>
        <v>0</v>
      </c>
      <c r="Z302" s="40">
        <f t="shared" si="122"/>
        <v>0</v>
      </c>
      <c r="AA302" s="40">
        <f t="shared" si="123"/>
        <v>0</v>
      </c>
      <c r="AB302" s="40">
        <f t="shared" si="124"/>
        <v>0</v>
      </c>
      <c r="AC302" s="40">
        <f t="shared" si="125"/>
        <v>0</v>
      </c>
      <c r="AD302" s="40">
        <f t="shared" si="126"/>
        <v>0</v>
      </c>
      <c r="AE302" s="40">
        <f t="shared" si="127"/>
        <v>0</v>
      </c>
      <c r="AF302" s="40">
        <f t="shared" si="128"/>
        <v>1</v>
      </c>
      <c r="AG302" s="40">
        <f t="shared" si="129"/>
        <v>0</v>
      </c>
      <c r="AH302" s="40">
        <f t="shared" si="130"/>
        <v>0</v>
      </c>
      <c r="AI302" s="40">
        <f t="shared" si="131"/>
        <v>0</v>
      </c>
      <c r="AJ302" s="40">
        <f t="shared" si="132"/>
        <v>0</v>
      </c>
      <c r="AK302" s="40">
        <f t="shared" si="133"/>
        <v>0</v>
      </c>
      <c r="AL302" s="40">
        <f t="shared" si="134"/>
        <v>0</v>
      </c>
      <c r="AM302" s="40">
        <f t="shared" si="135"/>
        <v>0</v>
      </c>
      <c r="AN302" s="40">
        <f t="shared" si="136"/>
        <v>0</v>
      </c>
      <c r="AO302" s="40">
        <f t="shared" si="137"/>
        <v>0</v>
      </c>
      <c r="AP302" s="40">
        <f t="shared" si="138"/>
        <v>1</v>
      </c>
      <c r="AQ302" s="40">
        <f t="shared" si="139"/>
        <v>0</v>
      </c>
      <c r="AR302" s="40">
        <f t="shared" si="140"/>
        <v>0</v>
      </c>
      <c r="AS302" s="40">
        <f t="shared" si="141"/>
        <v>0</v>
      </c>
    </row>
    <row r="303" spans="2:45" s="2" customFormat="1" ht="14.4" customHeight="1" x14ac:dyDescent="0.25">
      <c r="B303" s="56" t="s">
        <v>20</v>
      </c>
      <c r="C303" s="57" t="s">
        <v>26</v>
      </c>
      <c r="D303" s="58" t="s">
        <v>40</v>
      </c>
      <c r="E303" s="62">
        <v>5.1999999999999989E-3</v>
      </c>
      <c r="F303" s="65">
        <f t="shared" si="142"/>
        <v>-5.2590966533947556</v>
      </c>
      <c r="S303" s="40">
        <f t="shared" si="115"/>
        <v>0</v>
      </c>
      <c r="T303" s="40">
        <f t="shared" si="116"/>
        <v>1</v>
      </c>
      <c r="U303" s="40">
        <f t="shared" si="117"/>
        <v>0</v>
      </c>
      <c r="V303" s="40">
        <f t="shared" si="118"/>
        <v>0</v>
      </c>
      <c r="W303" s="40">
        <f t="shared" si="119"/>
        <v>0</v>
      </c>
      <c r="X303" s="40">
        <f t="shared" si="120"/>
        <v>0</v>
      </c>
      <c r="Y303" s="40">
        <f t="shared" si="121"/>
        <v>0</v>
      </c>
      <c r="Z303" s="40">
        <f t="shared" si="122"/>
        <v>0</v>
      </c>
      <c r="AA303" s="40">
        <f t="shared" si="123"/>
        <v>0</v>
      </c>
      <c r="AB303" s="40">
        <f t="shared" si="124"/>
        <v>0</v>
      </c>
      <c r="AC303" s="40">
        <f t="shared" si="125"/>
        <v>0</v>
      </c>
      <c r="AD303" s="40">
        <f t="shared" si="126"/>
        <v>0</v>
      </c>
      <c r="AE303" s="40">
        <f t="shared" si="127"/>
        <v>0</v>
      </c>
      <c r="AF303" s="40">
        <f t="shared" si="128"/>
        <v>1</v>
      </c>
      <c r="AG303" s="40">
        <f t="shared" si="129"/>
        <v>0</v>
      </c>
      <c r="AH303" s="40">
        <f t="shared" si="130"/>
        <v>0</v>
      </c>
      <c r="AI303" s="40">
        <f t="shared" si="131"/>
        <v>0</v>
      </c>
      <c r="AJ303" s="40">
        <f t="shared" si="132"/>
        <v>0</v>
      </c>
      <c r="AK303" s="40">
        <f t="shared" si="133"/>
        <v>0</v>
      </c>
      <c r="AL303" s="40">
        <f t="shared" si="134"/>
        <v>0</v>
      </c>
      <c r="AM303" s="40">
        <f t="shared" si="135"/>
        <v>0</v>
      </c>
      <c r="AN303" s="40">
        <f t="shared" si="136"/>
        <v>0</v>
      </c>
      <c r="AO303" s="40">
        <f t="shared" si="137"/>
        <v>0</v>
      </c>
      <c r="AP303" s="40">
        <f t="shared" si="138"/>
        <v>0</v>
      </c>
      <c r="AQ303" s="40">
        <f t="shared" si="139"/>
        <v>1</v>
      </c>
      <c r="AR303" s="40">
        <f t="shared" si="140"/>
        <v>0</v>
      </c>
      <c r="AS303" s="40">
        <f t="shared" si="141"/>
        <v>0</v>
      </c>
    </row>
    <row r="304" spans="2:45" s="2" customFormat="1" ht="14.4" customHeight="1" x14ac:dyDescent="0.25">
      <c r="B304" s="56" t="s">
        <v>41</v>
      </c>
      <c r="C304" s="57" t="s">
        <v>26</v>
      </c>
      <c r="D304" s="58" t="s">
        <v>30</v>
      </c>
      <c r="E304" s="62">
        <v>2.0500000000000002E-3</v>
      </c>
      <c r="F304" s="65">
        <f t="shared" si="142"/>
        <v>-6.1899154858318202</v>
      </c>
      <c r="S304" s="40">
        <f t="shared" si="115"/>
        <v>0</v>
      </c>
      <c r="T304" s="40">
        <f t="shared" si="116"/>
        <v>1</v>
      </c>
      <c r="U304" s="40">
        <f t="shared" si="117"/>
        <v>0</v>
      </c>
      <c r="V304" s="40">
        <f t="shared" si="118"/>
        <v>0</v>
      </c>
      <c r="W304" s="40">
        <f t="shared" si="119"/>
        <v>0</v>
      </c>
      <c r="X304" s="40">
        <f t="shared" si="120"/>
        <v>0</v>
      </c>
      <c r="Y304" s="40">
        <f t="shared" si="121"/>
        <v>0</v>
      </c>
      <c r="Z304" s="40">
        <f t="shared" si="122"/>
        <v>0</v>
      </c>
      <c r="AA304" s="40">
        <f t="shared" si="123"/>
        <v>0</v>
      </c>
      <c r="AB304" s="40">
        <f t="shared" si="124"/>
        <v>0</v>
      </c>
      <c r="AC304" s="40">
        <f t="shared" si="125"/>
        <v>0</v>
      </c>
      <c r="AD304" s="40">
        <f t="shared" si="126"/>
        <v>0</v>
      </c>
      <c r="AE304" s="40">
        <f t="shared" si="127"/>
        <v>0</v>
      </c>
      <c r="AF304" s="40">
        <f t="shared" si="128"/>
        <v>1</v>
      </c>
      <c r="AG304" s="40">
        <f t="shared" si="129"/>
        <v>0</v>
      </c>
      <c r="AH304" s="40">
        <f t="shared" si="130"/>
        <v>0</v>
      </c>
      <c r="AI304" s="40">
        <f t="shared" si="131"/>
        <v>0</v>
      </c>
      <c r="AJ304" s="40">
        <f t="shared" si="132"/>
        <v>0</v>
      </c>
      <c r="AK304" s="40">
        <f t="shared" si="133"/>
        <v>0</v>
      </c>
      <c r="AL304" s="40">
        <f t="shared" si="134"/>
        <v>1</v>
      </c>
      <c r="AM304" s="40">
        <f t="shared" si="135"/>
        <v>0</v>
      </c>
      <c r="AN304" s="40">
        <f t="shared" si="136"/>
        <v>0</v>
      </c>
      <c r="AO304" s="40">
        <f t="shared" si="137"/>
        <v>0</v>
      </c>
      <c r="AP304" s="40">
        <f t="shared" si="138"/>
        <v>0</v>
      </c>
      <c r="AQ304" s="40">
        <f t="shared" si="139"/>
        <v>0</v>
      </c>
      <c r="AR304" s="40">
        <f t="shared" si="140"/>
        <v>0</v>
      </c>
      <c r="AS304" s="40">
        <f t="shared" si="141"/>
        <v>0</v>
      </c>
    </row>
    <row r="305" spans="2:45" s="2" customFormat="1" ht="14.4" customHeight="1" x14ac:dyDescent="0.25">
      <c r="B305" s="56" t="s">
        <v>41</v>
      </c>
      <c r="C305" s="57" t="s">
        <v>26</v>
      </c>
      <c r="D305" s="58" t="s">
        <v>24</v>
      </c>
      <c r="E305" s="62">
        <v>5.2499999999999977E-3</v>
      </c>
      <c r="F305" s="65">
        <f t="shared" si="142"/>
        <v>-5.249527202378605</v>
      </c>
      <c r="S305" s="40">
        <f t="shared" si="115"/>
        <v>0</v>
      </c>
      <c r="T305" s="40">
        <f t="shared" si="116"/>
        <v>1</v>
      </c>
      <c r="U305" s="40">
        <f t="shared" si="117"/>
        <v>0</v>
      </c>
      <c r="V305" s="40">
        <f t="shared" si="118"/>
        <v>0</v>
      </c>
      <c r="W305" s="40">
        <f t="shared" si="119"/>
        <v>0</v>
      </c>
      <c r="X305" s="40">
        <f t="shared" si="120"/>
        <v>0</v>
      </c>
      <c r="Y305" s="40">
        <f t="shared" si="121"/>
        <v>0</v>
      </c>
      <c r="Z305" s="40">
        <f t="shared" si="122"/>
        <v>0</v>
      </c>
      <c r="AA305" s="40">
        <f t="shared" si="123"/>
        <v>0</v>
      </c>
      <c r="AB305" s="40">
        <f t="shared" si="124"/>
        <v>0</v>
      </c>
      <c r="AC305" s="40">
        <f t="shared" si="125"/>
        <v>0</v>
      </c>
      <c r="AD305" s="40">
        <f t="shared" si="126"/>
        <v>0</v>
      </c>
      <c r="AE305" s="40">
        <f t="shared" si="127"/>
        <v>0</v>
      </c>
      <c r="AF305" s="40">
        <f t="shared" si="128"/>
        <v>0</v>
      </c>
      <c r="AG305" s="40">
        <f t="shared" si="129"/>
        <v>1</v>
      </c>
      <c r="AH305" s="40">
        <f t="shared" si="130"/>
        <v>0</v>
      </c>
      <c r="AI305" s="40">
        <f t="shared" si="131"/>
        <v>0</v>
      </c>
      <c r="AJ305" s="40">
        <f t="shared" si="132"/>
        <v>0</v>
      </c>
      <c r="AK305" s="40">
        <f t="shared" si="133"/>
        <v>0</v>
      </c>
      <c r="AL305" s="40">
        <f t="shared" si="134"/>
        <v>1</v>
      </c>
      <c r="AM305" s="40">
        <f t="shared" si="135"/>
        <v>0</v>
      </c>
      <c r="AN305" s="40">
        <f t="shared" si="136"/>
        <v>0</v>
      </c>
      <c r="AO305" s="40">
        <f t="shared" si="137"/>
        <v>0</v>
      </c>
      <c r="AP305" s="40">
        <f t="shared" si="138"/>
        <v>0</v>
      </c>
      <c r="AQ305" s="40">
        <f t="shared" si="139"/>
        <v>0</v>
      </c>
      <c r="AR305" s="40">
        <f t="shared" si="140"/>
        <v>0</v>
      </c>
      <c r="AS305" s="40">
        <f t="shared" si="141"/>
        <v>0</v>
      </c>
    </row>
    <row r="306" spans="2:45" s="2" customFormat="1" ht="14.4" customHeight="1" x14ac:dyDescent="0.25">
      <c r="B306" s="56" t="s">
        <v>41</v>
      </c>
      <c r="C306" s="57" t="s">
        <v>38</v>
      </c>
      <c r="D306" s="58" t="s">
        <v>24</v>
      </c>
      <c r="E306" s="62">
        <v>3.9399999999999999E-3</v>
      </c>
      <c r="F306" s="65">
        <f t="shared" si="142"/>
        <v>-5.5365745556722947</v>
      </c>
      <c r="S306" s="40">
        <f t="shared" si="115"/>
        <v>0</v>
      </c>
      <c r="T306" s="40">
        <f t="shared" si="116"/>
        <v>1</v>
      </c>
      <c r="U306" s="40">
        <f t="shared" si="117"/>
        <v>0</v>
      </c>
      <c r="V306" s="40">
        <f t="shared" si="118"/>
        <v>0</v>
      </c>
      <c r="W306" s="40">
        <f t="shared" si="119"/>
        <v>0</v>
      </c>
      <c r="X306" s="40">
        <f t="shared" si="120"/>
        <v>0</v>
      </c>
      <c r="Y306" s="40">
        <f t="shared" si="121"/>
        <v>0</v>
      </c>
      <c r="Z306" s="40">
        <f t="shared" si="122"/>
        <v>0</v>
      </c>
      <c r="AA306" s="40">
        <f t="shared" si="123"/>
        <v>0</v>
      </c>
      <c r="AB306" s="40">
        <f t="shared" si="124"/>
        <v>1</v>
      </c>
      <c r="AC306" s="40">
        <f t="shared" si="125"/>
        <v>0</v>
      </c>
      <c r="AD306" s="40">
        <f t="shared" si="126"/>
        <v>0</v>
      </c>
      <c r="AE306" s="40">
        <f t="shared" si="127"/>
        <v>0</v>
      </c>
      <c r="AF306" s="40">
        <f t="shared" si="128"/>
        <v>0</v>
      </c>
      <c r="AG306" s="40">
        <f t="shared" si="129"/>
        <v>0</v>
      </c>
      <c r="AH306" s="40">
        <f t="shared" si="130"/>
        <v>0</v>
      </c>
      <c r="AI306" s="40">
        <f t="shared" si="131"/>
        <v>0</v>
      </c>
      <c r="AJ306" s="40">
        <f t="shared" si="132"/>
        <v>0</v>
      </c>
      <c r="AK306" s="40">
        <f t="shared" si="133"/>
        <v>0</v>
      </c>
      <c r="AL306" s="40">
        <f t="shared" si="134"/>
        <v>0</v>
      </c>
      <c r="AM306" s="40">
        <f t="shared" si="135"/>
        <v>1</v>
      </c>
      <c r="AN306" s="40">
        <f t="shared" si="136"/>
        <v>0</v>
      </c>
      <c r="AO306" s="40">
        <f t="shared" si="137"/>
        <v>0</v>
      </c>
      <c r="AP306" s="40">
        <f t="shared" si="138"/>
        <v>0</v>
      </c>
      <c r="AQ306" s="40">
        <f t="shared" si="139"/>
        <v>0</v>
      </c>
      <c r="AR306" s="40">
        <f t="shared" si="140"/>
        <v>0</v>
      </c>
      <c r="AS306" s="40">
        <f t="shared" si="141"/>
        <v>0</v>
      </c>
    </row>
    <row r="307" spans="2:45" s="2" customFormat="1" ht="14.4" customHeight="1" x14ac:dyDescent="0.25">
      <c r="B307" s="56" t="s">
        <v>41</v>
      </c>
      <c r="C307" s="57" t="s">
        <v>25</v>
      </c>
      <c r="D307" s="58" t="s">
        <v>35</v>
      </c>
      <c r="E307" s="62">
        <v>1.1999999999999995E-3</v>
      </c>
      <c r="F307" s="65">
        <f t="shared" si="142"/>
        <v>-6.7254337221881828</v>
      </c>
      <c r="S307" s="40">
        <f t="shared" si="115"/>
        <v>0</v>
      </c>
      <c r="T307" s="40">
        <f t="shared" si="116"/>
        <v>1</v>
      </c>
      <c r="U307" s="40">
        <f t="shared" si="117"/>
        <v>0</v>
      </c>
      <c r="V307" s="40">
        <f t="shared" si="118"/>
        <v>0</v>
      </c>
      <c r="W307" s="40">
        <f t="shared" si="119"/>
        <v>0</v>
      </c>
      <c r="X307" s="40">
        <f t="shared" si="120"/>
        <v>0</v>
      </c>
      <c r="Y307" s="40">
        <f t="shared" si="121"/>
        <v>0</v>
      </c>
      <c r="Z307" s="40">
        <f t="shared" si="122"/>
        <v>0</v>
      </c>
      <c r="AA307" s="40">
        <f t="shared" si="123"/>
        <v>0</v>
      </c>
      <c r="AB307" s="40">
        <f t="shared" si="124"/>
        <v>0</v>
      </c>
      <c r="AC307" s="40">
        <f t="shared" si="125"/>
        <v>0</v>
      </c>
      <c r="AD307" s="40">
        <f t="shared" si="126"/>
        <v>0</v>
      </c>
      <c r="AE307" s="40">
        <f t="shared" si="127"/>
        <v>0</v>
      </c>
      <c r="AF307" s="40">
        <f t="shared" si="128"/>
        <v>1</v>
      </c>
      <c r="AG307" s="40">
        <f t="shared" si="129"/>
        <v>0</v>
      </c>
      <c r="AH307" s="40">
        <f t="shared" si="130"/>
        <v>0</v>
      </c>
      <c r="AI307" s="40">
        <f t="shared" si="131"/>
        <v>0</v>
      </c>
      <c r="AJ307" s="40">
        <f t="shared" si="132"/>
        <v>0</v>
      </c>
      <c r="AK307" s="40">
        <f t="shared" si="133"/>
        <v>0</v>
      </c>
      <c r="AL307" s="40">
        <f t="shared" si="134"/>
        <v>0</v>
      </c>
      <c r="AM307" s="40">
        <f t="shared" si="135"/>
        <v>0</v>
      </c>
      <c r="AN307" s="40">
        <f t="shared" si="136"/>
        <v>0</v>
      </c>
      <c r="AO307" s="40">
        <f t="shared" si="137"/>
        <v>1</v>
      </c>
      <c r="AP307" s="40">
        <f t="shared" si="138"/>
        <v>0</v>
      </c>
      <c r="AQ307" s="40">
        <f t="shared" si="139"/>
        <v>0</v>
      </c>
      <c r="AR307" s="40">
        <f t="shared" si="140"/>
        <v>0</v>
      </c>
      <c r="AS307" s="40">
        <f t="shared" si="141"/>
        <v>0</v>
      </c>
    </row>
    <row r="308" spans="2:45" s="2" customFormat="1" ht="14.4" customHeight="1" x14ac:dyDescent="0.25">
      <c r="B308" s="56" t="s">
        <v>41</v>
      </c>
      <c r="C308" s="57" t="s">
        <v>26</v>
      </c>
      <c r="D308" s="58" t="s">
        <v>31</v>
      </c>
      <c r="E308" s="62">
        <v>3.6100000000000012E-3</v>
      </c>
      <c r="F308" s="65">
        <f t="shared" si="142"/>
        <v>-5.6240475066373472</v>
      </c>
      <c r="S308" s="40">
        <f t="shared" si="115"/>
        <v>0</v>
      </c>
      <c r="T308" s="40">
        <f t="shared" si="116"/>
        <v>1</v>
      </c>
      <c r="U308" s="40">
        <f t="shared" si="117"/>
        <v>0</v>
      </c>
      <c r="V308" s="40">
        <f t="shared" si="118"/>
        <v>0</v>
      </c>
      <c r="W308" s="40">
        <f t="shared" si="119"/>
        <v>0</v>
      </c>
      <c r="X308" s="40">
        <f t="shared" si="120"/>
        <v>0</v>
      </c>
      <c r="Y308" s="40">
        <f t="shared" si="121"/>
        <v>0</v>
      </c>
      <c r="Z308" s="40">
        <f t="shared" si="122"/>
        <v>0</v>
      </c>
      <c r="AA308" s="40">
        <f t="shared" si="123"/>
        <v>0</v>
      </c>
      <c r="AB308" s="40">
        <f t="shared" si="124"/>
        <v>0</v>
      </c>
      <c r="AC308" s="40">
        <f t="shared" si="125"/>
        <v>0</v>
      </c>
      <c r="AD308" s="40">
        <f t="shared" si="126"/>
        <v>0</v>
      </c>
      <c r="AE308" s="40">
        <f t="shared" si="127"/>
        <v>0</v>
      </c>
      <c r="AF308" s="40">
        <f t="shared" si="128"/>
        <v>1</v>
      </c>
      <c r="AG308" s="40">
        <f t="shared" si="129"/>
        <v>0</v>
      </c>
      <c r="AH308" s="40">
        <f t="shared" si="130"/>
        <v>0</v>
      </c>
      <c r="AI308" s="40">
        <f t="shared" si="131"/>
        <v>0</v>
      </c>
      <c r="AJ308" s="40">
        <f t="shared" si="132"/>
        <v>0</v>
      </c>
      <c r="AK308" s="40">
        <f t="shared" si="133"/>
        <v>1</v>
      </c>
      <c r="AL308" s="40">
        <f t="shared" si="134"/>
        <v>0</v>
      </c>
      <c r="AM308" s="40">
        <f t="shared" si="135"/>
        <v>0</v>
      </c>
      <c r="AN308" s="40">
        <f t="shared" si="136"/>
        <v>0</v>
      </c>
      <c r="AO308" s="40">
        <f t="shared" si="137"/>
        <v>0</v>
      </c>
      <c r="AP308" s="40">
        <f t="shared" si="138"/>
        <v>0</v>
      </c>
      <c r="AQ308" s="40">
        <f t="shared" si="139"/>
        <v>0</v>
      </c>
      <c r="AR308" s="40">
        <f t="shared" si="140"/>
        <v>0</v>
      </c>
      <c r="AS308" s="40">
        <f t="shared" si="141"/>
        <v>0</v>
      </c>
    </row>
    <row r="309" spans="2:45" s="2" customFormat="1" ht="14.4" customHeight="1" x14ac:dyDescent="0.25">
      <c r="B309" s="56" t="s">
        <v>41</v>
      </c>
      <c r="C309" s="57" t="s">
        <v>26</v>
      </c>
      <c r="D309" s="58" t="s">
        <v>32</v>
      </c>
      <c r="E309" s="62">
        <v>4.0900000000000008E-3</v>
      </c>
      <c r="F309" s="65">
        <f t="shared" si="142"/>
        <v>-5.4992103089274265</v>
      </c>
      <c r="S309" s="40">
        <f t="shared" si="115"/>
        <v>0</v>
      </c>
      <c r="T309" s="40">
        <f t="shared" si="116"/>
        <v>1</v>
      </c>
      <c r="U309" s="40">
        <f t="shared" si="117"/>
        <v>0</v>
      </c>
      <c r="V309" s="40">
        <f t="shared" si="118"/>
        <v>0</v>
      </c>
      <c r="W309" s="40">
        <f t="shared" si="119"/>
        <v>0</v>
      </c>
      <c r="X309" s="40">
        <f t="shared" si="120"/>
        <v>0</v>
      </c>
      <c r="Y309" s="40">
        <f t="shared" si="121"/>
        <v>0</v>
      </c>
      <c r="Z309" s="40">
        <f t="shared" si="122"/>
        <v>0</v>
      </c>
      <c r="AA309" s="40">
        <f t="shared" si="123"/>
        <v>0</v>
      </c>
      <c r="AB309" s="40">
        <f t="shared" si="124"/>
        <v>0</v>
      </c>
      <c r="AC309" s="40">
        <f t="shared" si="125"/>
        <v>0</v>
      </c>
      <c r="AD309" s="40">
        <f t="shared" si="126"/>
        <v>0</v>
      </c>
      <c r="AE309" s="40">
        <f t="shared" si="127"/>
        <v>0</v>
      </c>
      <c r="AF309" s="40">
        <f t="shared" si="128"/>
        <v>1</v>
      </c>
      <c r="AG309" s="40">
        <f t="shared" si="129"/>
        <v>0</v>
      </c>
      <c r="AH309" s="40">
        <f t="shared" si="130"/>
        <v>0</v>
      </c>
      <c r="AI309" s="40">
        <f t="shared" si="131"/>
        <v>1</v>
      </c>
      <c r="AJ309" s="40">
        <f t="shared" si="132"/>
        <v>0</v>
      </c>
      <c r="AK309" s="40">
        <f t="shared" si="133"/>
        <v>0</v>
      </c>
      <c r="AL309" s="40">
        <f t="shared" si="134"/>
        <v>0</v>
      </c>
      <c r="AM309" s="40">
        <f t="shared" si="135"/>
        <v>0</v>
      </c>
      <c r="AN309" s="40">
        <f t="shared" si="136"/>
        <v>0</v>
      </c>
      <c r="AO309" s="40">
        <f t="shared" si="137"/>
        <v>0</v>
      </c>
      <c r="AP309" s="40">
        <f t="shared" si="138"/>
        <v>0</v>
      </c>
      <c r="AQ309" s="40">
        <f t="shared" si="139"/>
        <v>0</v>
      </c>
      <c r="AR309" s="40">
        <f t="shared" si="140"/>
        <v>0</v>
      </c>
      <c r="AS309" s="40">
        <f t="shared" si="141"/>
        <v>0</v>
      </c>
    </row>
    <row r="310" spans="2:45" s="2" customFormat="1" ht="14.4" customHeight="1" x14ac:dyDescent="0.25">
      <c r="B310" s="56" t="s">
        <v>41</v>
      </c>
      <c r="C310" s="57" t="s">
        <v>26</v>
      </c>
      <c r="D310" s="58" t="s">
        <v>28</v>
      </c>
      <c r="E310" s="62">
        <v>3.7099999999999985E-3</v>
      </c>
      <c r="F310" s="65">
        <f t="shared" si="142"/>
        <v>-5.5967234023627936</v>
      </c>
      <c r="S310" s="40">
        <f t="shared" si="115"/>
        <v>0</v>
      </c>
      <c r="T310" s="40">
        <f t="shared" si="116"/>
        <v>1</v>
      </c>
      <c r="U310" s="40">
        <f t="shared" si="117"/>
        <v>0</v>
      </c>
      <c r="V310" s="40">
        <f t="shared" si="118"/>
        <v>0</v>
      </c>
      <c r="W310" s="40">
        <f t="shared" si="119"/>
        <v>0</v>
      </c>
      <c r="X310" s="40">
        <f t="shared" si="120"/>
        <v>0</v>
      </c>
      <c r="Y310" s="40">
        <f t="shared" si="121"/>
        <v>0</v>
      </c>
      <c r="Z310" s="40">
        <f t="shared" si="122"/>
        <v>0</v>
      </c>
      <c r="AA310" s="40">
        <f t="shared" si="123"/>
        <v>1</v>
      </c>
      <c r="AB310" s="40">
        <f t="shared" si="124"/>
        <v>0</v>
      </c>
      <c r="AC310" s="40">
        <f t="shared" si="125"/>
        <v>0</v>
      </c>
      <c r="AD310" s="40">
        <f t="shared" si="126"/>
        <v>0</v>
      </c>
      <c r="AE310" s="40">
        <f t="shared" si="127"/>
        <v>0</v>
      </c>
      <c r="AF310" s="40">
        <f t="shared" si="128"/>
        <v>0</v>
      </c>
      <c r="AG310" s="40">
        <f t="shared" si="129"/>
        <v>0</v>
      </c>
      <c r="AH310" s="40">
        <f t="shared" si="130"/>
        <v>0</v>
      </c>
      <c r="AI310" s="40">
        <f t="shared" si="131"/>
        <v>0</v>
      </c>
      <c r="AJ310" s="40">
        <f t="shared" si="132"/>
        <v>0</v>
      </c>
      <c r="AK310" s="40">
        <f t="shared" si="133"/>
        <v>0</v>
      </c>
      <c r="AL310" s="40">
        <f t="shared" si="134"/>
        <v>0</v>
      </c>
      <c r="AM310" s="40">
        <f t="shared" si="135"/>
        <v>1</v>
      </c>
      <c r="AN310" s="40">
        <f t="shared" si="136"/>
        <v>0</v>
      </c>
      <c r="AO310" s="40">
        <f t="shared" si="137"/>
        <v>0</v>
      </c>
      <c r="AP310" s="40">
        <f t="shared" si="138"/>
        <v>0</v>
      </c>
      <c r="AQ310" s="40">
        <f t="shared" si="139"/>
        <v>0</v>
      </c>
      <c r="AR310" s="40">
        <f t="shared" si="140"/>
        <v>0</v>
      </c>
      <c r="AS310" s="40">
        <f t="shared" si="141"/>
        <v>0</v>
      </c>
    </row>
    <row r="311" spans="2:45" s="2" customFormat="1" ht="14.4" customHeight="1" x14ac:dyDescent="0.25">
      <c r="B311" s="56" t="s">
        <v>41</v>
      </c>
      <c r="C311" s="57" t="s">
        <v>39</v>
      </c>
      <c r="D311" s="58" t="s">
        <v>35</v>
      </c>
      <c r="E311" s="62">
        <v>3.4200000000000012E-3</v>
      </c>
      <c r="F311" s="65">
        <f t="shared" si="142"/>
        <v>-5.6781147279076229</v>
      </c>
      <c r="S311" s="40">
        <f t="shared" si="115"/>
        <v>0</v>
      </c>
      <c r="T311" s="40">
        <f t="shared" si="116"/>
        <v>1</v>
      </c>
      <c r="U311" s="40">
        <f t="shared" si="117"/>
        <v>0</v>
      </c>
      <c r="V311" s="40">
        <f t="shared" si="118"/>
        <v>0</v>
      </c>
      <c r="W311" s="40">
        <f t="shared" si="119"/>
        <v>0</v>
      </c>
      <c r="X311" s="40">
        <f t="shared" si="120"/>
        <v>0</v>
      </c>
      <c r="Y311" s="40">
        <f t="shared" si="121"/>
        <v>0</v>
      </c>
      <c r="Z311" s="40">
        <f t="shared" si="122"/>
        <v>0</v>
      </c>
      <c r="AA311" s="40">
        <f t="shared" si="123"/>
        <v>0</v>
      </c>
      <c r="AB311" s="40">
        <f t="shared" si="124"/>
        <v>1</v>
      </c>
      <c r="AC311" s="40">
        <f t="shared" si="125"/>
        <v>0</v>
      </c>
      <c r="AD311" s="40">
        <f t="shared" si="126"/>
        <v>0</v>
      </c>
      <c r="AE311" s="40">
        <f t="shared" si="127"/>
        <v>0</v>
      </c>
      <c r="AF311" s="40">
        <f t="shared" si="128"/>
        <v>0</v>
      </c>
      <c r="AG311" s="40">
        <f t="shared" si="129"/>
        <v>0</v>
      </c>
      <c r="AH311" s="40">
        <f t="shared" si="130"/>
        <v>0</v>
      </c>
      <c r="AI311" s="40">
        <f t="shared" si="131"/>
        <v>0</v>
      </c>
      <c r="AJ311" s="40">
        <f t="shared" si="132"/>
        <v>0</v>
      </c>
      <c r="AK311" s="40">
        <f t="shared" si="133"/>
        <v>1</v>
      </c>
      <c r="AL311" s="40">
        <f t="shared" si="134"/>
        <v>0</v>
      </c>
      <c r="AM311" s="40">
        <f t="shared" si="135"/>
        <v>0</v>
      </c>
      <c r="AN311" s="40">
        <f t="shared" si="136"/>
        <v>0</v>
      </c>
      <c r="AO311" s="40">
        <f t="shared" si="137"/>
        <v>0</v>
      </c>
      <c r="AP311" s="40">
        <f t="shared" si="138"/>
        <v>0</v>
      </c>
      <c r="AQ311" s="40">
        <f t="shared" si="139"/>
        <v>0</v>
      </c>
      <c r="AR311" s="40">
        <f t="shared" si="140"/>
        <v>0</v>
      </c>
      <c r="AS311" s="40">
        <f t="shared" si="141"/>
        <v>0</v>
      </c>
    </row>
    <row r="312" spans="2:45" s="2" customFormat="1" ht="14.4" customHeight="1" x14ac:dyDescent="0.25">
      <c r="B312" s="56" t="s">
        <v>41</v>
      </c>
      <c r="C312" s="57" t="s">
        <v>25</v>
      </c>
      <c r="D312" s="58" t="s">
        <v>32</v>
      </c>
      <c r="E312" s="62">
        <v>2.5500000000000011E-3</v>
      </c>
      <c r="F312" s="65">
        <f t="shared" si="142"/>
        <v>-5.9716619198118019</v>
      </c>
      <c r="S312" s="40">
        <f t="shared" si="115"/>
        <v>0</v>
      </c>
      <c r="T312" s="40">
        <f t="shared" si="116"/>
        <v>1</v>
      </c>
      <c r="U312" s="40">
        <f t="shared" si="117"/>
        <v>0</v>
      </c>
      <c r="V312" s="40">
        <f t="shared" si="118"/>
        <v>0</v>
      </c>
      <c r="W312" s="40">
        <f t="shared" si="119"/>
        <v>0</v>
      </c>
      <c r="X312" s="40">
        <f t="shared" si="120"/>
        <v>0</v>
      </c>
      <c r="Y312" s="40">
        <f t="shared" si="121"/>
        <v>0</v>
      </c>
      <c r="Z312" s="40">
        <f t="shared" si="122"/>
        <v>0</v>
      </c>
      <c r="AA312" s="40">
        <f t="shared" si="123"/>
        <v>1</v>
      </c>
      <c r="AB312" s="40">
        <f t="shared" si="124"/>
        <v>0</v>
      </c>
      <c r="AC312" s="40">
        <f t="shared" si="125"/>
        <v>0</v>
      </c>
      <c r="AD312" s="40">
        <f t="shared" si="126"/>
        <v>0</v>
      </c>
      <c r="AE312" s="40">
        <f t="shared" si="127"/>
        <v>0</v>
      </c>
      <c r="AF312" s="40">
        <f t="shared" si="128"/>
        <v>0</v>
      </c>
      <c r="AG312" s="40">
        <f t="shared" si="129"/>
        <v>0</v>
      </c>
      <c r="AH312" s="40">
        <f t="shared" si="130"/>
        <v>0</v>
      </c>
      <c r="AI312" s="40">
        <f t="shared" si="131"/>
        <v>0</v>
      </c>
      <c r="AJ312" s="40">
        <f t="shared" si="132"/>
        <v>0</v>
      </c>
      <c r="AK312" s="40">
        <f t="shared" si="133"/>
        <v>0</v>
      </c>
      <c r="AL312" s="40">
        <f t="shared" si="134"/>
        <v>0</v>
      </c>
      <c r="AM312" s="40">
        <f t="shared" si="135"/>
        <v>1</v>
      </c>
      <c r="AN312" s="40">
        <f t="shared" si="136"/>
        <v>0</v>
      </c>
      <c r="AO312" s="40">
        <f t="shared" si="137"/>
        <v>0</v>
      </c>
      <c r="AP312" s="40">
        <f t="shared" si="138"/>
        <v>0</v>
      </c>
      <c r="AQ312" s="40">
        <f t="shared" si="139"/>
        <v>0</v>
      </c>
      <c r="AR312" s="40">
        <f t="shared" si="140"/>
        <v>0</v>
      </c>
      <c r="AS312" s="40">
        <f t="shared" si="141"/>
        <v>0</v>
      </c>
    </row>
    <row r="313" spans="2:45" s="2" customFormat="1" ht="14.4" customHeight="1" x14ac:dyDescent="0.25">
      <c r="B313" s="56" t="s">
        <v>41</v>
      </c>
      <c r="C313" s="57" t="s">
        <v>39</v>
      </c>
      <c r="D313" s="58" t="s">
        <v>35</v>
      </c>
      <c r="E313" s="62">
        <v>4.8900000000000002E-3</v>
      </c>
      <c r="F313" s="65">
        <f t="shared" si="142"/>
        <v>-5.3205629754953563</v>
      </c>
      <c r="S313" s="40">
        <f t="shared" si="115"/>
        <v>0</v>
      </c>
      <c r="T313" s="40">
        <f t="shared" si="116"/>
        <v>1</v>
      </c>
      <c r="U313" s="40">
        <f t="shared" si="117"/>
        <v>0</v>
      </c>
      <c r="V313" s="40">
        <f t="shared" si="118"/>
        <v>0</v>
      </c>
      <c r="W313" s="40">
        <f t="shared" si="119"/>
        <v>0</v>
      </c>
      <c r="X313" s="40">
        <f t="shared" si="120"/>
        <v>0</v>
      </c>
      <c r="Y313" s="40">
        <f t="shared" si="121"/>
        <v>0</v>
      </c>
      <c r="Z313" s="40">
        <f t="shared" si="122"/>
        <v>0</v>
      </c>
      <c r="AA313" s="40">
        <f t="shared" si="123"/>
        <v>0</v>
      </c>
      <c r="AB313" s="40">
        <f t="shared" si="124"/>
        <v>0</v>
      </c>
      <c r="AC313" s="40">
        <f t="shared" si="125"/>
        <v>0</v>
      </c>
      <c r="AD313" s="40">
        <f t="shared" si="126"/>
        <v>0</v>
      </c>
      <c r="AE313" s="40">
        <f t="shared" si="127"/>
        <v>0</v>
      </c>
      <c r="AF313" s="40">
        <f t="shared" si="128"/>
        <v>0</v>
      </c>
      <c r="AG313" s="40">
        <f t="shared" si="129"/>
        <v>1</v>
      </c>
      <c r="AH313" s="40">
        <f t="shared" si="130"/>
        <v>0</v>
      </c>
      <c r="AI313" s="40">
        <f t="shared" si="131"/>
        <v>0</v>
      </c>
      <c r="AJ313" s="40">
        <f t="shared" si="132"/>
        <v>0</v>
      </c>
      <c r="AK313" s="40">
        <f t="shared" si="133"/>
        <v>0</v>
      </c>
      <c r="AL313" s="40">
        <f t="shared" si="134"/>
        <v>1</v>
      </c>
      <c r="AM313" s="40">
        <f t="shared" si="135"/>
        <v>0</v>
      </c>
      <c r="AN313" s="40">
        <f t="shared" si="136"/>
        <v>0</v>
      </c>
      <c r="AO313" s="40">
        <f t="shared" si="137"/>
        <v>0</v>
      </c>
      <c r="AP313" s="40">
        <f t="shared" si="138"/>
        <v>0</v>
      </c>
      <c r="AQ313" s="40">
        <f t="shared" si="139"/>
        <v>0</v>
      </c>
      <c r="AR313" s="40">
        <f t="shared" si="140"/>
        <v>0</v>
      </c>
      <c r="AS313" s="40">
        <f t="shared" si="141"/>
        <v>0</v>
      </c>
    </row>
    <row r="314" spans="2:45" s="2" customFormat="1" ht="14.4" customHeight="1" x14ac:dyDescent="0.25">
      <c r="B314" s="56" t="s">
        <v>41</v>
      </c>
      <c r="C314" s="57" t="s">
        <v>38</v>
      </c>
      <c r="D314" s="58" t="s">
        <v>24</v>
      </c>
      <c r="E314" s="62">
        <v>3.9900000000000005E-3</v>
      </c>
      <c r="F314" s="65">
        <f t="shared" si="142"/>
        <v>-5.5239640480803649</v>
      </c>
      <c r="S314" s="40">
        <f t="shared" si="115"/>
        <v>0</v>
      </c>
      <c r="T314" s="40">
        <f t="shared" si="116"/>
        <v>1</v>
      </c>
      <c r="U314" s="40">
        <f t="shared" si="117"/>
        <v>0</v>
      </c>
      <c r="V314" s="40">
        <f t="shared" si="118"/>
        <v>0</v>
      </c>
      <c r="W314" s="40">
        <f t="shared" si="119"/>
        <v>0</v>
      </c>
      <c r="X314" s="40">
        <f t="shared" si="120"/>
        <v>0</v>
      </c>
      <c r="Y314" s="40">
        <f t="shared" si="121"/>
        <v>0</v>
      </c>
      <c r="Z314" s="40">
        <f t="shared" si="122"/>
        <v>0</v>
      </c>
      <c r="AA314" s="40">
        <f t="shared" si="123"/>
        <v>0</v>
      </c>
      <c r="AB314" s="40">
        <f t="shared" si="124"/>
        <v>1</v>
      </c>
      <c r="AC314" s="40">
        <f t="shared" si="125"/>
        <v>0</v>
      </c>
      <c r="AD314" s="40">
        <f t="shared" si="126"/>
        <v>0</v>
      </c>
      <c r="AE314" s="40">
        <f t="shared" si="127"/>
        <v>0</v>
      </c>
      <c r="AF314" s="40">
        <f t="shared" si="128"/>
        <v>0</v>
      </c>
      <c r="AG314" s="40">
        <f t="shared" si="129"/>
        <v>0</v>
      </c>
      <c r="AH314" s="40">
        <f t="shared" si="130"/>
        <v>0</v>
      </c>
      <c r="AI314" s="40">
        <f t="shared" si="131"/>
        <v>0</v>
      </c>
      <c r="AJ314" s="40">
        <f t="shared" si="132"/>
        <v>0</v>
      </c>
      <c r="AK314" s="40">
        <f t="shared" si="133"/>
        <v>0</v>
      </c>
      <c r="AL314" s="40">
        <f t="shared" si="134"/>
        <v>0</v>
      </c>
      <c r="AM314" s="40">
        <f t="shared" si="135"/>
        <v>1</v>
      </c>
      <c r="AN314" s="40">
        <f t="shared" si="136"/>
        <v>0</v>
      </c>
      <c r="AO314" s="40">
        <f t="shared" si="137"/>
        <v>0</v>
      </c>
      <c r="AP314" s="40">
        <f t="shared" si="138"/>
        <v>0</v>
      </c>
      <c r="AQ314" s="40">
        <f t="shared" si="139"/>
        <v>0</v>
      </c>
      <c r="AR314" s="40">
        <f t="shared" si="140"/>
        <v>0</v>
      </c>
      <c r="AS314" s="40">
        <f t="shared" si="141"/>
        <v>0</v>
      </c>
    </row>
    <row r="315" spans="2:45" s="2" customFormat="1" ht="14.4" customHeight="1" x14ac:dyDescent="0.25">
      <c r="B315" s="56" t="s">
        <v>41</v>
      </c>
      <c r="C315" s="57" t="s">
        <v>25</v>
      </c>
      <c r="D315" s="58" t="s">
        <v>35</v>
      </c>
      <c r="E315" s="62">
        <v>1.1599999999999996E-3</v>
      </c>
      <c r="F315" s="65">
        <f t="shared" si="142"/>
        <v>-6.7593352738638641</v>
      </c>
      <c r="S315" s="40">
        <f t="shared" si="115"/>
        <v>0</v>
      </c>
      <c r="T315" s="40">
        <f t="shared" si="116"/>
        <v>1</v>
      </c>
      <c r="U315" s="40">
        <f t="shared" si="117"/>
        <v>0</v>
      </c>
      <c r="V315" s="40">
        <f t="shared" si="118"/>
        <v>0</v>
      </c>
      <c r="W315" s="40">
        <f t="shared" si="119"/>
        <v>0</v>
      </c>
      <c r="X315" s="40">
        <f t="shared" si="120"/>
        <v>0</v>
      </c>
      <c r="Y315" s="40">
        <f t="shared" si="121"/>
        <v>0</v>
      </c>
      <c r="Z315" s="40">
        <f t="shared" si="122"/>
        <v>1</v>
      </c>
      <c r="AA315" s="40">
        <f t="shared" si="123"/>
        <v>0</v>
      </c>
      <c r="AB315" s="40">
        <f t="shared" si="124"/>
        <v>0</v>
      </c>
      <c r="AC315" s="40">
        <f t="shared" si="125"/>
        <v>0</v>
      </c>
      <c r="AD315" s="40">
        <f t="shared" si="126"/>
        <v>0</v>
      </c>
      <c r="AE315" s="40">
        <f t="shared" si="127"/>
        <v>0</v>
      </c>
      <c r="AF315" s="40">
        <f t="shared" si="128"/>
        <v>0</v>
      </c>
      <c r="AG315" s="40">
        <f t="shared" si="129"/>
        <v>0</v>
      </c>
      <c r="AH315" s="40">
        <f t="shared" si="130"/>
        <v>0</v>
      </c>
      <c r="AI315" s="40">
        <f t="shared" si="131"/>
        <v>0</v>
      </c>
      <c r="AJ315" s="40">
        <f t="shared" si="132"/>
        <v>0</v>
      </c>
      <c r="AK315" s="40">
        <f t="shared" si="133"/>
        <v>0</v>
      </c>
      <c r="AL315" s="40">
        <f t="shared" si="134"/>
        <v>0</v>
      </c>
      <c r="AM315" s="40">
        <f t="shared" si="135"/>
        <v>1</v>
      </c>
      <c r="AN315" s="40">
        <f t="shared" si="136"/>
        <v>0</v>
      </c>
      <c r="AO315" s="40">
        <f t="shared" si="137"/>
        <v>0</v>
      </c>
      <c r="AP315" s="40">
        <f t="shared" si="138"/>
        <v>0</v>
      </c>
      <c r="AQ315" s="40">
        <f t="shared" si="139"/>
        <v>0</v>
      </c>
      <c r="AR315" s="40">
        <f t="shared" si="140"/>
        <v>0</v>
      </c>
      <c r="AS315" s="40">
        <f t="shared" si="141"/>
        <v>0</v>
      </c>
    </row>
    <row r="316" spans="2:45" s="2" customFormat="1" ht="14.4" customHeight="1" x14ac:dyDescent="0.25">
      <c r="B316" s="56" t="s">
        <v>41</v>
      </c>
      <c r="C316" s="57" t="s">
        <v>36</v>
      </c>
      <c r="D316" s="58" t="s">
        <v>35</v>
      </c>
      <c r="E316" s="62">
        <v>3.6300000000000013E-3</v>
      </c>
      <c r="F316" s="65">
        <f t="shared" si="142"/>
        <v>-5.6185226307053773</v>
      </c>
      <c r="S316" s="40">
        <f t="shared" si="115"/>
        <v>0</v>
      </c>
      <c r="T316" s="40">
        <f t="shared" si="116"/>
        <v>1</v>
      </c>
      <c r="U316" s="40">
        <f t="shared" si="117"/>
        <v>0</v>
      </c>
      <c r="V316" s="40">
        <f t="shared" si="118"/>
        <v>0</v>
      </c>
      <c r="W316" s="40">
        <f t="shared" si="119"/>
        <v>0</v>
      </c>
      <c r="X316" s="40">
        <f t="shared" si="120"/>
        <v>0</v>
      </c>
      <c r="Y316" s="40">
        <f t="shared" si="121"/>
        <v>0</v>
      </c>
      <c r="Z316" s="40">
        <f t="shared" si="122"/>
        <v>0</v>
      </c>
      <c r="AA316" s="40">
        <f t="shared" si="123"/>
        <v>0</v>
      </c>
      <c r="AB316" s="40">
        <f t="shared" si="124"/>
        <v>0</v>
      </c>
      <c r="AC316" s="40">
        <f t="shared" si="125"/>
        <v>0</v>
      </c>
      <c r="AD316" s="40">
        <f t="shared" si="126"/>
        <v>0</v>
      </c>
      <c r="AE316" s="40">
        <f t="shared" si="127"/>
        <v>0</v>
      </c>
      <c r="AF316" s="40">
        <f t="shared" si="128"/>
        <v>1</v>
      </c>
      <c r="AG316" s="40">
        <f t="shared" si="129"/>
        <v>0</v>
      </c>
      <c r="AH316" s="40">
        <f t="shared" si="130"/>
        <v>0</v>
      </c>
      <c r="AI316" s="40">
        <f t="shared" si="131"/>
        <v>0</v>
      </c>
      <c r="AJ316" s="40">
        <f t="shared" si="132"/>
        <v>0</v>
      </c>
      <c r="AK316" s="40">
        <f t="shared" si="133"/>
        <v>1</v>
      </c>
      <c r="AL316" s="40">
        <f t="shared" si="134"/>
        <v>0</v>
      </c>
      <c r="AM316" s="40">
        <f t="shared" si="135"/>
        <v>0</v>
      </c>
      <c r="AN316" s="40">
        <f t="shared" si="136"/>
        <v>0</v>
      </c>
      <c r="AO316" s="40">
        <f t="shared" si="137"/>
        <v>0</v>
      </c>
      <c r="AP316" s="40">
        <f t="shared" si="138"/>
        <v>0</v>
      </c>
      <c r="AQ316" s="40">
        <f t="shared" si="139"/>
        <v>0</v>
      </c>
      <c r="AR316" s="40">
        <f t="shared" si="140"/>
        <v>0</v>
      </c>
      <c r="AS316" s="40">
        <f t="shared" si="141"/>
        <v>0</v>
      </c>
    </row>
    <row r="317" spans="2:45" s="2" customFormat="1" ht="14.4" customHeight="1" x14ac:dyDescent="0.25">
      <c r="B317" s="56" t="s">
        <v>41</v>
      </c>
      <c r="C317" s="57" t="s">
        <v>26</v>
      </c>
      <c r="D317" s="58" t="s">
        <v>32</v>
      </c>
      <c r="E317" s="62">
        <v>3.5400000000000015E-3</v>
      </c>
      <c r="F317" s="65">
        <f t="shared" si="142"/>
        <v>-5.6436285518364535</v>
      </c>
      <c r="S317" s="40">
        <f t="shared" si="115"/>
        <v>0</v>
      </c>
      <c r="T317" s="40">
        <f t="shared" si="116"/>
        <v>1</v>
      </c>
      <c r="U317" s="40">
        <f t="shared" si="117"/>
        <v>0</v>
      </c>
      <c r="V317" s="40">
        <f t="shared" si="118"/>
        <v>0</v>
      </c>
      <c r="W317" s="40">
        <f t="shared" si="119"/>
        <v>0</v>
      </c>
      <c r="X317" s="40">
        <f t="shared" si="120"/>
        <v>0</v>
      </c>
      <c r="Y317" s="40">
        <f t="shared" si="121"/>
        <v>0</v>
      </c>
      <c r="Z317" s="40">
        <f t="shared" si="122"/>
        <v>0</v>
      </c>
      <c r="AA317" s="40">
        <f t="shared" si="123"/>
        <v>0</v>
      </c>
      <c r="AB317" s="40">
        <f t="shared" si="124"/>
        <v>1</v>
      </c>
      <c r="AC317" s="40">
        <f t="shared" si="125"/>
        <v>0</v>
      </c>
      <c r="AD317" s="40">
        <f t="shared" si="126"/>
        <v>0</v>
      </c>
      <c r="AE317" s="40">
        <f t="shared" si="127"/>
        <v>0</v>
      </c>
      <c r="AF317" s="40">
        <f t="shared" si="128"/>
        <v>0</v>
      </c>
      <c r="AG317" s="40">
        <f t="shared" si="129"/>
        <v>0</v>
      </c>
      <c r="AH317" s="40">
        <f t="shared" si="130"/>
        <v>0</v>
      </c>
      <c r="AI317" s="40">
        <f t="shared" si="131"/>
        <v>0</v>
      </c>
      <c r="AJ317" s="40">
        <f t="shared" si="132"/>
        <v>0</v>
      </c>
      <c r="AK317" s="40">
        <f t="shared" si="133"/>
        <v>0</v>
      </c>
      <c r="AL317" s="40">
        <f t="shared" si="134"/>
        <v>0</v>
      </c>
      <c r="AM317" s="40">
        <f t="shared" si="135"/>
        <v>1</v>
      </c>
      <c r="AN317" s="40">
        <f t="shared" si="136"/>
        <v>0</v>
      </c>
      <c r="AO317" s="40">
        <f t="shared" si="137"/>
        <v>0</v>
      </c>
      <c r="AP317" s="40">
        <f t="shared" si="138"/>
        <v>0</v>
      </c>
      <c r="AQ317" s="40">
        <f t="shared" si="139"/>
        <v>0</v>
      </c>
      <c r="AR317" s="40">
        <f t="shared" si="140"/>
        <v>0</v>
      </c>
      <c r="AS317" s="40">
        <f t="shared" si="141"/>
        <v>0</v>
      </c>
    </row>
    <row r="318" spans="2:45" s="2" customFormat="1" ht="14.4" customHeight="1" x14ac:dyDescent="0.25">
      <c r="B318" s="56" t="s">
        <v>41</v>
      </c>
      <c r="C318" s="57" t="s">
        <v>25</v>
      </c>
      <c r="D318" s="58" t="s">
        <v>35</v>
      </c>
      <c r="E318" s="62">
        <v>2.1099999999999999E-3</v>
      </c>
      <c r="F318" s="65">
        <f t="shared" si="142"/>
        <v>-6.161067331494162</v>
      </c>
      <c r="S318" s="40">
        <f t="shared" si="115"/>
        <v>0</v>
      </c>
      <c r="T318" s="40">
        <f t="shared" si="116"/>
        <v>1</v>
      </c>
      <c r="U318" s="40">
        <f t="shared" si="117"/>
        <v>0</v>
      </c>
      <c r="V318" s="40">
        <f t="shared" si="118"/>
        <v>0</v>
      </c>
      <c r="W318" s="40">
        <f t="shared" si="119"/>
        <v>0</v>
      </c>
      <c r="X318" s="40">
        <f t="shared" si="120"/>
        <v>0</v>
      </c>
      <c r="Y318" s="40">
        <f t="shared" si="121"/>
        <v>0</v>
      </c>
      <c r="Z318" s="40">
        <f t="shared" si="122"/>
        <v>0</v>
      </c>
      <c r="AA318" s="40">
        <f t="shared" si="123"/>
        <v>0</v>
      </c>
      <c r="AB318" s="40">
        <f t="shared" si="124"/>
        <v>1</v>
      </c>
      <c r="AC318" s="40">
        <f t="shared" si="125"/>
        <v>0</v>
      </c>
      <c r="AD318" s="40">
        <f t="shared" si="126"/>
        <v>0</v>
      </c>
      <c r="AE318" s="40">
        <f t="shared" si="127"/>
        <v>0</v>
      </c>
      <c r="AF318" s="40">
        <f t="shared" si="128"/>
        <v>0</v>
      </c>
      <c r="AG318" s="40">
        <f t="shared" si="129"/>
        <v>0</v>
      </c>
      <c r="AH318" s="40">
        <f t="shared" si="130"/>
        <v>0</v>
      </c>
      <c r="AI318" s="40">
        <f t="shared" si="131"/>
        <v>0</v>
      </c>
      <c r="AJ318" s="40">
        <f t="shared" si="132"/>
        <v>0</v>
      </c>
      <c r="AK318" s="40">
        <f t="shared" si="133"/>
        <v>0</v>
      </c>
      <c r="AL318" s="40">
        <f t="shared" si="134"/>
        <v>1</v>
      </c>
      <c r="AM318" s="40">
        <f t="shared" si="135"/>
        <v>0</v>
      </c>
      <c r="AN318" s="40">
        <f t="shared" si="136"/>
        <v>0</v>
      </c>
      <c r="AO318" s="40">
        <f t="shared" si="137"/>
        <v>0</v>
      </c>
      <c r="AP318" s="40">
        <f t="shared" si="138"/>
        <v>0</v>
      </c>
      <c r="AQ318" s="40">
        <f t="shared" si="139"/>
        <v>0</v>
      </c>
      <c r="AR318" s="40">
        <f t="shared" si="140"/>
        <v>0</v>
      </c>
      <c r="AS318" s="40">
        <f t="shared" si="141"/>
        <v>0</v>
      </c>
    </row>
    <row r="319" spans="2:45" s="2" customFormat="1" ht="14.4" customHeight="1" x14ac:dyDescent="0.25">
      <c r="B319" s="56" t="s">
        <v>41</v>
      </c>
      <c r="C319" s="57" t="s">
        <v>25</v>
      </c>
      <c r="D319" s="58" t="s">
        <v>24</v>
      </c>
      <c r="E319" s="62">
        <v>2.1600000000000005E-3</v>
      </c>
      <c r="F319" s="65">
        <f t="shared" si="142"/>
        <v>-6.1376470572860633</v>
      </c>
      <c r="S319" s="40">
        <f t="shared" si="115"/>
        <v>0</v>
      </c>
      <c r="T319" s="40">
        <f t="shared" si="116"/>
        <v>1</v>
      </c>
      <c r="U319" s="40">
        <f t="shared" si="117"/>
        <v>0</v>
      </c>
      <c r="V319" s="40">
        <f t="shared" si="118"/>
        <v>0</v>
      </c>
      <c r="W319" s="40">
        <f t="shared" si="119"/>
        <v>0</v>
      </c>
      <c r="X319" s="40">
        <f t="shared" si="120"/>
        <v>0</v>
      </c>
      <c r="Y319" s="40">
        <f t="shared" si="121"/>
        <v>0</v>
      </c>
      <c r="Z319" s="40">
        <f t="shared" si="122"/>
        <v>1</v>
      </c>
      <c r="AA319" s="40">
        <f t="shared" si="123"/>
        <v>0</v>
      </c>
      <c r="AB319" s="40">
        <f t="shared" si="124"/>
        <v>0</v>
      </c>
      <c r="AC319" s="40">
        <f t="shared" si="125"/>
        <v>0</v>
      </c>
      <c r="AD319" s="40">
        <f t="shared" si="126"/>
        <v>0</v>
      </c>
      <c r="AE319" s="40">
        <f t="shared" si="127"/>
        <v>0</v>
      </c>
      <c r="AF319" s="40">
        <f t="shared" si="128"/>
        <v>0</v>
      </c>
      <c r="AG319" s="40">
        <f t="shared" si="129"/>
        <v>0</v>
      </c>
      <c r="AH319" s="40">
        <f t="shared" si="130"/>
        <v>0</v>
      </c>
      <c r="AI319" s="40">
        <f t="shared" si="131"/>
        <v>0</v>
      </c>
      <c r="AJ319" s="40">
        <f t="shared" si="132"/>
        <v>0</v>
      </c>
      <c r="AK319" s="40">
        <f t="shared" si="133"/>
        <v>0</v>
      </c>
      <c r="AL319" s="40">
        <f t="shared" si="134"/>
        <v>1</v>
      </c>
      <c r="AM319" s="40">
        <f t="shared" si="135"/>
        <v>0</v>
      </c>
      <c r="AN319" s="40">
        <f t="shared" si="136"/>
        <v>0</v>
      </c>
      <c r="AO319" s="40">
        <f t="shared" si="137"/>
        <v>0</v>
      </c>
      <c r="AP319" s="40">
        <f t="shared" si="138"/>
        <v>0</v>
      </c>
      <c r="AQ319" s="40">
        <f t="shared" si="139"/>
        <v>0</v>
      </c>
      <c r="AR319" s="40">
        <f t="shared" si="140"/>
        <v>0</v>
      </c>
      <c r="AS319" s="40">
        <f t="shared" si="141"/>
        <v>0</v>
      </c>
    </row>
    <row r="320" spans="2:45" s="2" customFormat="1" ht="14.4" customHeight="1" x14ac:dyDescent="0.25">
      <c r="B320" s="56" t="s">
        <v>41</v>
      </c>
      <c r="C320" s="57" t="s">
        <v>36</v>
      </c>
      <c r="D320" s="58" t="s">
        <v>24</v>
      </c>
      <c r="E320" s="62">
        <v>3.7599999999999995E-3</v>
      </c>
      <c r="F320" s="65">
        <f t="shared" si="142"/>
        <v>-5.583336321580334</v>
      </c>
      <c r="S320" s="40">
        <f t="shared" si="115"/>
        <v>0</v>
      </c>
      <c r="T320" s="40">
        <f t="shared" si="116"/>
        <v>1</v>
      </c>
      <c r="U320" s="40">
        <f t="shared" si="117"/>
        <v>0</v>
      </c>
      <c r="V320" s="40">
        <f t="shared" si="118"/>
        <v>0</v>
      </c>
      <c r="W320" s="40">
        <f t="shared" si="119"/>
        <v>0</v>
      </c>
      <c r="X320" s="40">
        <f t="shared" si="120"/>
        <v>0</v>
      </c>
      <c r="Y320" s="40">
        <f t="shared" si="121"/>
        <v>0</v>
      </c>
      <c r="Z320" s="40">
        <f t="shared" si="122"/>
        <v>0</v>
      </c>
      <c r="AA320" s="40">
        <f t="shared" si="123"/>
        <v>0</v>
      </c>
      <c r="AB320" s="40">
        <f t="shared" si="124"/>
        <v>1</v>
      </c>
      <c r="AC320" s="40">
        <f t="shared" si="125"/>
        <v>0</v>
      </c>
      <c r="AD320" s="40">
        <f t="shared" si="126"/>
        <v>0</v>
      </c>
      <c r="AE320" s="40">
        <f t="shared" si="127"/>
        <v>0</v>
      </c>
      <c r="AF320" s="40">
        <f t="shared" si="128"/>
        <v>0</v>
      </c>
      <c r="AG320" s="40">
        <f t="shared" si="129"/>
        <v>0</v>
      </c>
      <c r="AH320" s="40">
        <f t="shared" si="130"/>
        <v>0</v>
      </c>
      <c r="AI320" s="40">
        <f t="shared" si="131"/>
        <v>0</v>
      </c>
      <c r="AJ320" s="40">
        <f t="shared" si="132"/>
        <v>0</v>
      </c>
      <c r="AK320" s="40">
        <f t="shared" si="133"/>
        <v>0</v>
      </c>
      <c r="AL320" s="40">
        <f t="shared" si="134"/>
        <v>1</v>
      </c>
      <c r="AM320" s="40">
        <f t="shared" si="135"/>
        <v>0</v>
      </c>
      <c r="AN320" s="40">
        <f t="shared" si="136"/>
        <v>0</v>
      </c>
      <c r="AO320" s="40">
        <f t="shared" si="137"/>
        <v>0</v>
      </c>
      <c r="AP320" s="40">
        <f t="shared" si="138"/>
        <v>0</v>
      </c>
      <c r="AQ320" s="40">
        <f t="shared" si="139"/>
        <v>0</v>
      </c>
      <c r="AR320" s="40">
        <f t="shared" si="140"/>
        <v>0</v>
      </c>
      <c r="AS320" s="40">
        <f t="shared" si="141"/>
        <v>0</v>
      </c>
    </row>
    <row r="321" spans="2:45" s="2" customFormat="1" ht="14.4" customHeight="1" x14ac:dyDescent="0.25">
      <c r="B321" s="56" t="s">
        <v>41</v>
      </c>
      <c r="C321" s="57" t="s">
        <v>25</v>
      </c>
      <c r="D321" s="58" t="s">
        <v>24</v>
      </c>
      <c r="E321" s="62">
        <v>3.5499999999999998E-3</v>
      </c>
      <c r="F321" s="65">
        <f t="shared" si="142"/>
        <v>-5.6408076754948127</v>
      </c>
      <c r="S321" s="40">
        <f t="shared" si="115"/>
        <v>0</v>
      </c>
      <c r="T321" s="40">
        <f t="shared" si="116"/>
        <v>1</v>
      </c>
      <c r="U321" s="40">
        <f t="shared" si="117"/>
        <v>0</v>
      </c>
      <c r="V321" s="40">
        <f t="shared" si="118"/>
        <v>0</v>
      </c>
      <c r="W321" s="40">
        <f t="shared" si="119"/>
        <v>0</v>
      </c>
      <c r="X321" s="40">
        <f t="shared" si="120"/>
        <v>0</v>
      </c>
      <c r="Y321" s="40">
        <f t="shared" si="121"/>
        <v>0</v>
      </c>
      <c r="Z321" s="40">
        <f t="shared" si="122"/>
        <v>0</v>
      </c>
      <c r="AA321" s="40">
        <f t="shared" si="123"/>
        <v>0</v>
      </c>
      <c r="AB321" s="40">
        <f t="shared" si="124"/>
        <v>0</v>
      </c>
      <c r="AC321" s="40">
        <f t="shared" si="125"/>
        <v>0</v>
      </c>
      <c r="AD321" s="40">
        <f t="shared" si="126"/>
        <v>0</v>
      </c>
      <c r="AE321" s="40">
        <f t="shared" si="127"/>
        <v>0</v>
      </c>
      <c r="AF321" s="40">
        <f t="shared" si="128"/>
        <v>1</v>
      </c>
      <c r="AG321" s="40">
        <f t="shared" si="129"/>
        <v>0</v>
      </c>
      <c r="AH321" s="40">
        <f t="shared" si="130"/>
        <v>1</v>
      </c>
      <c r="AI321" s="40">
        <f t="shared" si="131"/>
        <v>0</v>
      </c>
      <c r="AJ321" s="40">
        <f t="shared" si="132"/>
        <v>0</v>
      </c>
      <c r="AK321" s="40">
        <f t="shared" si="133"/>
        <v>0</v>
      </c>
      <c r="AL321" s="40">
        <f t="shared" si="134"/>
        <v>0</v>
      </c>
      <c r="AM321" s="40">
        <f t="shared" si="135"/>
        <v>0</v>
      </c>
      <c r="AN321" s="40">
        <f t="shared" si="136"/>
        <v>0</v>
      </c>
      <c r="AO321" s="40">
        <f t="shared" si="137"/>
        <v>0</v>
      </c>
      <c r="AP321" s="40">
        <f t="shared" si="138"/>
        <v>0</v>
      </c>
      <c r="AQ321" s="40">
        <f t="shared" si="139"/>
        <v>0</v>
      </c>
      <c r="AR321" s="40">
        <f t="shared" si="140"/>
        <v>0</v>
      </c>
      <c r="AS321" s="40">
        <f t="shared" si="141"/>
        <v>0</v>
      </c>
    </row>
    <row r="322" spans="2:45" s="2" customFormat="1" ht="14.4" customHeight="1" x14ac:dyDescent="0.25">
      <c r="B322" s="56" t="s">
        <v>41</v>
      </c>
      <c r="C322" s="57" t="s">
        <v>26</v>
      </c>
      <c r="D322" s="58" t="s">
        <v>27</v>
      </c>
      <c r="E322" s="62">
        <v>4.1500000000000009E-3</v>
      </c>
      <c r="F322" s="65">
        <f t="shared" si="142"/>
        <v>-5.4846469447395299</v>
      </c>
      <c r="S322" s="40">
        <f t="shared" si="115"/>
        <v>0</v>
      </c>
      <c r="T322" s="40">
        <f t="shared" si="116"/>
        <v>1</v>
      </c>
      <c r="U322" s="40">
        <f t="shared" si="117"/>
        <v>0</v>
      </c>
      <c r="V322" s="40">
        <f t="shared" si="118"/>
        <v>0</v>
      </c>
      <c r="W322" s="40">
        <f t="shared" si="119"/>
        <v>0</v>
      </c>
      <c r="X322" s="40">
        <f t="shared" si="120"/>
        <v>0</v>
      </c>
      <c r="Y322" s="40">
        <f t="shared" si="121"/>
        <v>0</v>
      </c>
      <c r="Z322" s="40">
        <f t="shared" si="122"/>
        <v>1</v>
      </c>
      <c r="AA322" s="40">
        <f t="shared" si="123"/>
        <v>0</v>
      </c>
      <c r="AB322" s="40">
        <f t="shared" si="124"/>
        <v>0</v>
      </c>
      <c r="AC322" s="40">
        <f t="shared" si="125"/>
        <v>0</v>
      </c>
      <c r="AD322" s="40">
        <f t="shared" si="126"/>
        <v>0</v>
      </c>
      <c r="AE322" s="40">
        <f t="shared" si="127"/>
        <v>0</v>
      </c>
      <c r="AF322" s="40">
        <f t="shared" si="128"/>
        <v>0</v>
      </c>
      <c r="AG322" s="40">
        <f t="shared" si="129"/>
        <v>0</v>
      </c>
      <c r="AH322" s="40">
        <f t="shared" si="130"/>
        <v>0</v>
      </c>
      <c r="AI322" s="40">
        <f t="shared" si="131"/>
        <v>0</v>
      </c>
      <c r="AJ322" s="40">
        <f t="shared" si="132"/>
        <v>1</v>
      </c>
      <c r="AK322" s="40">
        <f t="shared" si="133"/>
        <v>0</v>
      </c>
      <c r="AL322" s="40">
        <f t="shared" si="134"/>
        <v>0</v>
      </c>
      <c r="AM322" s="40">
        <f t="shared" si="135"/>
        <v>0</v>
      </c>
      <c r="AN322" s="40">
        <f t="shared" si="136"/>
        <v>0</v>
      </c>
      <c r="AO322" s="40">
        <f t="shared" si="137"/>
        <v>0</v>
      </c>
      <c r="AP322" s="40">
        <f t="shared" si="138"/>
        <v>0</v>
      </c>
      <c r="AQ322" s="40">
        <f t="shared" si="139"/>
        <v>0</v>
      </c>
      <c r="AR322" s="40">
        <f t="shared" si="140"/>
        <v>0</v>
      </c>
      <c r="AS322" s="40">
        <f t="shared" si="141"/>
        <v>0</v>
      </c>
    </row>
    <row r="323" spans="2:45" s="2" customFormat="1" ht="14.4" customHeight="1" x14ac:dyDescent="0.25">
      <c r="B323" s="56" t="s">
        <v>41</v>
      </c>
      <c r="C323" s="57" t="s">
        <v>36</v>
      </c>
      <c r="D323" s="58" t="s">
        <v>37</v>
      </c>
      <c r="E323" s="62">
        <v>3.1400000000000013E-3</v>
      </c>
      <c r="F323" s="65">
        <f t="shared" si="142"/>
        <v>-5.7635324790619746</v>
      </c>
      <c r="S323" s="40">
        <f t="shared" si="115"/>
        <v>0</v>
      </c>
      <c r="T323" s="40">
        <f t="shared" si="116"/>
        <v>1</v>
      </c>
      <c r="U323" s="40">
        <f t="shared" si="117"/>
        <v>0</v>
      </c>
      <c r="V323" s="40">
        <f t="shared" si="118"/>
        <v>0</v>
      </c>
      <c r="W323" s="40">
        <f t="shared" si="119"/>
        <v>0</v>
      </c>
      <c r="X323" s="40">
        <f t="shared" si="120"/>
        <v>0</v>
      </c>
      <c r="Y323" s="40">
        <f t="shared" si="121"/>
        <v>0</v>
      </c>
      <c r="Z323" s="40">
        <f t="shared" si="122"/>
        <v>0</v>
      </c>
      <c r="AA323" s="40">
        <f t="shared" si="123"/>
        <v>0</v>
      </c>
      <c r="AB323" s="40">
        <f t="shared" si="124"/>
        <v>0</v>
      </c>
      <c r="AC323" s="40">
        <f t="shared" si="125"/>
        <v>0</v>
      </c>
      <c r="AD323" s="40">
        <f t="shared" si="126"/>
        <v>0</v>
      </c>
      <c r="AE323" s="40">
        <f t="shared" si="127"/>
        <v>0</v>
      </c>
      <c r="AF323" s="40">
        <f t="shared" si="128"/>
        <v>1</v>
      </c>
      <c r="AG323" s="40">
        <f t="shared" si="129"/>
        <v>0</v>
      </c>
      <c r="AH323" s="40">
        <f t="shared" si="130"/>
        <v>0</v>
      </c>
      <c r="AI323" s="40">
        <f t="shared" si="131"/>
        <v>0</v>
      </c>
      <c r="AJ323" s="40">
        <f t="shared" si="132"/>
        <v>0</v>
      </c>
      <c r="AK323" s="40">
        <f t="shared" si="133"/>
        <v>0</v>
      </c>
      <c r="AL323" s="40">
        <f t="shared" si="134"/>
        <v>1</v>
      </c>
      <c r="AM323" s="40">
        <f t="shared" si="135"/>
        <v>0</v>
      </c>
      <c r="AN323" s="40">
        <f t="shared" si="136"/>
        <v>0</v>
      </c>
      <c r="AO323" s="40">
        <f t="shared" si="137"/>
        <v>0</v>
      </c>
      <c r="AP323" s="40">
        <f t="shared" si="138"/>
        <v>0</v>
      </c>
      <c r="AQ323" s="40">
        <f t="shared" si="139"/>
        <v>0</v>
      </c>
      <c r="AR323" s="40">
        <f t="shared" si="140"/>
        <v>0</v>
      </c>
      <c r="AS323" s="40">
        <f t="shared" si="141"/>
        <v>0</v>
      </c>
    </row>
    <row r="324" spans="2:45" s="2" customFormat="1" ht="14.4" customHeight="1" x14ac:dyDescent="0.25">
      <c r="B324" s="56" t="s">
        <v>41</v>
      </c>
      <c r="C324" s="57" t="s">
        <v>26</v>
      </c>
      <c r="D324" s="58" t="s">
        <v>24</v>
      </c>
      <c r="E324" s="62">
        <v>4.6199999999999982E-3</v>
      </c>
      <c r="F324" s="65">
        <f t="shared" si="142"/>
        <v>-5.37736057388849</v>
      </c>
      <c r="S324" s="40">
        <f t="shared" si="115"/>
        <v>0</v>
      </c>
      <c r="T324" s="40">
        <f t="shared" si="116"/>
        <v>1</v>
      </c>
      <c r="U324" s="40">
        <f t="shared" si="117"/>
        <v>0</v>
      </c>
      <c r="V324" s="40">
        <f t="shared" si="118"/>
        <v>0</v>
      </c>
      <c r="W324" s="40">
        <f t="shared" si="119"/>
        <v>0</v>
      </c>
      <c r="X324" s="40">
        <f t="shared" si="120"/>
        <v>0</v>
      </c>
      <c r="Y324" s="40">
        <f t="shared" si="121"/>
        <v>0</v>
      </c>
      <c r="Z324" s="40">
        <f t="shared" si="122"/>
        <v>0</v>
      </c>
      <c r="AA324" s="40">
        <f t="shared" si="123"/>
        <v>0</v>
      </c>
      <c r="AB324" s="40">
        <f t="shared" si="124"/>
        <v>0</v>
      </c>
      <c r="AC324" s="40">
        <f t="shared" si="125"/>
        <v>0</v>
      </c>
      <c r="AD324" s="40">
        <f t="shared" si="126"/>
        <v>0</v>
      </c>
      <c r="AE324" s="40">
        <f t="shared" si="127"/>
        <v>0</v>
      </c>
      <c r="AF324" s="40">
        <f t="shared" si="128"/>
        <v>1</v>
      </c>
      <c r="AG324" s="40">
        <f t="shared" si="129"/>
        <v>0</v>
      </c>
      <c r="AH324" s="40">
        <f t="shared" si="130"/>
        <v>0</v>
      </c>
      <c r="AI324" s="40">
        <f t="shared" si="131"/>
        <v>0</v>
      </c>
      <c r="AJ324" s="40">
        <f t="shared" si="132"/>
        <v>0</v>
      </c>
      <c r="AK324" s="40">
        <f t="shared" si="133"/>
        <v>0</v>
      </c>
      <c r="AL324" s="40">
        <f t="shared" si="134"/>
        <v>0</v>
      </c>
      <c r="AM324" s="40">
        <f t="shared" si="135"/>
        <v>0</v>
      </c>
      <c r="AN324" s="40">
        <f t="shared" si="136"/>
        <v>1</v>
      </c>
      <c r="AO324" s="40">
        <f t="shared" si="137"/>
        <v>0</v>
      </c>
      <c r="AP324" s="40">
        <f t="shared" si="138"/>
        <v>0</v>
      </c>
      <c r="AQ324" s="40">
        <f t="shared" si="139"/>
        <v>0</v>
      </c>
      <c r="AR324" s="40">
        <f t="shared" si="140"/>
        <v>0</v>
      </c>
      <c r="AS324" s="40">
        <f t="shared" si="141"/>
        <v>0</v>
      </c>
    </row>
    <row r="325" spans="2:45" s="2" customFormat="1" ht="14.4" customHeight="1" x14ac:dyDescent="0.25">
      <c r="B325" s="56" t="s">
        <v>41</v>
      </c>
      <c r="C325" s="57" t="s">
        <v>26</v>
      </c>
      <c r="D325" s="58" t="s">
        <v>29</v>
      </c>
      <c r="E325" s="62">
        <v>2.8700000000000002E-3</v>
      </c>
      <c r="F325" s="65">
        <f t="shared" si="142"/>
        <v>-5.8534432492106072</v>
      </c>
      <c r="S325" s="40">
        <f t="shared" si="115"/>
        <v>0</v>
      </c>
      <c r="T325" s="40">
        <f t="shared" si="116"/>
        <v>1</v>
      </c>
      <c r="U325" s="40">
        <f t="shared" si="117"/>
        <v>0</v>
      </c>
      <c r="V325" s="40">
        <f t="shared" si="118"/>
        <v>0</v>
      </c>
      <c r="W325" s="40">
        <f t="shared" si="119"/>
        <v>0</v>
      </c>
      <c r="X325" s="40">
        <f t="shared" si="120"/>
        <v>0</v>
      </c>
      <c r="Y325" s="40">
        <f t="shared" si="121"/>
        <v>0</v>
      </c>
      <c r="Z325" s="40">
        <f t="shared" si="122"/>
        <v>1</v>
      </c>
      <c r="AA325" s="40">
        <f t="shared" si="123"/>
        <v>0</v>
      </c>
      <c r="AB325" s="40">
        <f t="shared" si="124"/>
        <v>0</v>
      </c>
      <c r="AC325" s="40">
        <f t="shared" si="125"/>
        <v>0</v>
      </c>
      <c r="AD325" s="40">
        <f t="shared" si="126"/>
        <v>0</v>
      </c>
      <c r="AE325" s="40">
        <f t="shared" si="127"/>
        <v>0</v>
      </c>
      <c r="AF325" s="40">
        <f t="shared" si="128"/>
        <v>0</v>
      </c>
      <c r="AG325" s="40">
        <f t="shared" si="129"/>
        <v>0</v>
      </c>
      <c r="AH325" s="40">
        <f t="shared" si="130"/>
        <v>0</v>
      </c>
      <c r="AI325" s="40">
        <f t="shared" si="131"/>
        <v>0</v>
      </c>
      <c r="AJ325" s="40">
        <f t="shared" si="132"/>
        <v>0</v>
      </c>
      <c r="AK325" s="40">
        <f t="shared" si="133"/>
        <v>0</v>
      </c>
      <c r="AL325" s="40">
        <f t="shared" si="134"/>
        <v>0</v>
      </c>
      <c r="AM325" s="40">
        <f t="shared" si="135"/>
        <v>1</v>
      </c>
      <c r="AN325" s="40">
        <f t="shared" si="136"/>
        <v>0</v>
      </c>
      <c r="AO325" s="40">
        <f t="shared" si="137"/>
        <v>0</v>
      </c>
      <c r="AP325" s="40">
        <f t="shared" si="138"/>
        <v>0</v>
      </c>
      <c r="AQ325" s="40">
        <f t="shared" si="139"/>
        <v>0</v>
      </c>
      <c r="AR325" s="40">
        <f t="shared" si="140"/>
        <v>0</v>
      </c>
      <c r="AS325" s="40">
        <f t="shared" si="141"/>
        <v>0</v>
      </c>
    </row>
    <row r="326" spans="2:45" s="2" customFormat="1" ht="14.4" customHeight="1" x14ac:dyDescent="0.25">
      <c r="B326" s="56" t="s">
        <v>41</v>
      </c>
      <c r="C326" s="57" t="s">
        <v>36</v>
      </c>
      <c r="D326" s="58" t="s">
        <v>35</v>
      </c>
      <c r="E326" s="62">
        <v>3.7099999999999985E-3</v>
      </c>
      <c r="F326" s="65">
        <f t="shared" si="142"/>
        <v>-5.5967234023627936</v>
      </c>
      <c r="S326" s="40">
        <f t="shared" si="115"/>
        <v>0</v>
      </c>
      <c r="T326" s="40">
        <f t="shared" si="116"/>
        <v>1</v>
      </c>
      <c r="U326" s="40">
        <f t="shared" si="117"/>
        <v>0</v>
      </c>
      <c r="V326" s="40">
        <f t="shared" si="118"/>
        <v>0</v>
      </c>
      <c r="W326" s="40">
        <f t="shared" si="119"/>
        <v>0</v>
      </c>
      <c r="X326" s="40">
        <f t="shared" si="120"/>
        <v>0</v>
      </c>
      <c r="Y326" s="40">
        <f t="shared" si="121"/>
        <v>0</v>
      </c>
      <c r="Z326" s="40">
        <f t="shared" si="122"/>
        <v>1</v>
      </c>
      <c r="AA326" s="40">
        <f t="shared" si="123"/>
        <v>0</v>
      </c>
      <c r="AB326" s="40">
        <f t="shared" si="124"/>
        <v>0</v>
      </c>
      <c r="AC326" s="40">
        <f t="shared" si="125"/>
        <v>0</v>
      </c>
      <c r="AD326" s="40">
        <f t="shared" si="126"/>
        <v>0</v>
      </c>
      <c r="AE326" s="40">
        <f t="shared" si="127"/>
        <v>0</v>
      </c>
      <c r="AF326" s="40">
        <f t="shared" si="128"/>
        <v>0</v>
      </c>
      <c r="AG326" s="40">
        <f t="shared" si="129"/>
        <v>0</v>
      </c>
      <c r="AH326" s="40">
        <f t="shared" si="130"/>
        <v>0</v>
      </c>
      <c r="AI326" s="40">
        <f t="shared" si="131"/>
        <v>0</v>
      </c>
      <c r="AJ326" s="40">
        <f t="shared" si="132"/>
        <v>0</v>
      </c>
      <c r="AK326" s="40">
        <f t="shared" si="133"/>
        <v>0</v>
      </c>
      <c r="AL326" s="40">
        <f t="shared" si="134"/>
        <v>0</v>
      </c>
      <c r="AM326" s="40">
        <f t="shared" si="135"/>
        <v>0</v>
      </c>
      <c r="AN326" s="40">
        <f t="shared" si="136"/>
        <v>0</v>
      </c>
      <c r="AO326" s="40">
        <f t="shared" si="137"/>
        <v>0</v>
      </c>
      <c r="AP326" s="40">
        <f t="shared" si="138"/>
        <v>0</v>
      </c>
      <c r="AQ326" s="40">
        <f t="shared" si="139"/>
        <v>0</v>
      </c>
      <c r="AR326" s="40">
        <f t="shared" si="140"/>
        <v>0</v>
      </c>
      <c r="AS326" s="40">
        <f t="shared" si="141"/>
        <v>1</v>
      </c>
    </row>
    <row r="327" spans="2:45" s="2" customFormat="1" ht="14.4" customHeight="1" x14ac:dyDescent="0.25">
      <c r="B327" s="56" t="s">
        <v>41</v>
      </c>
      <c r="C327" s="57" t="s">
        <v>36</v>
      </c>
      <c r="D327" s="58" t="s">
        <v>22</v>
      </c>
      <c r="E327" s="62">
        <v>3.7099999999999985E-3</v>
      </c>
      <c r="F327" s="65">
        <f t="shared" si="142"/>
        <v>-5.5967234023627936</v>
      </c>
      <c r="S327" s="40">
        <f t="shared" si="115"/>
        <v>0</v>
      </c>
      <c r="T327" s="40">
        <f t="shared" si="116"/>
        <v>1</v>
      </c>
      <c r="U327" s="40">
        <f t="shared" si="117"/>
        <v>0</v>
      </c>
      <c r="V327" s="40">
        <f t="shared" si="118"/>
        <v>0</v>
      </c>
      <c r="W327" s="40">
        <f t="shared" si="119"/>
        <v>0</v>
      </c>
      <c r="X327" s="40">
        <f t="shared" si="120"/>
        <v>0</v>
      </c>
      <c r="Y327" s="40">
        <f t="shared" si="121"/>
        <v>0</v>
      </c>
      <c r="Z327" s="40">
        <f t="shared" si="122"/>
        <v>1</v>
      </c>
      <c r="AA327" s="40">
        <f t="shared" si="123"/>
        <v>0</v>
      </c>
      <c r="AB327" s="40">
        <f t="shared" si="124"/>
        <v>0</v>
      </c>
      <c r="AC327" s="40">
        <f t="shared" si="125"/>
        <v>0</v>
      </c>
      <c r="AD327" s="40">
        <f t="shared" si="126"/>
        <v>0</v>
      </c>
      <c r="AE327" s="40">
        <f t="shared" si="127"/>
        <v>0</v>
      </c>
      <c r="AF327" s="40">
        <f t="shared" si="128"/>
        <v>0</v>
      </c>
      <c r="AG327" s="40">
        <f t="shared" si="129"/>
        <v>0</v>
      </c>
      <c r="AH327" s="40">
        <f t="shared" si="130"/>
        <v>0</v>
      </c>
      <c r="AI327" s="40">
        <f t="shared" si="131"/>
        <v>0</v>
      </c>
      <c r="AJ327" s="40">
        <f t="shared" si="132"/>
        <v>0</v>
      </c>
      <c r="AK327" s="40">
        <f t="shared" si="133"/>
        <v>0</v>
      </c>
      <c r="AL327" s="40">
        <f t="shared" si="134"/>
        <v>0</v>
      </c>
      <c r="AM327" s="40">
        <f t="shared" si="135"/>
        <v>1</v>
      </c>
      <c r="AN327" s="40">
        <f t="shared" si="136"/>
        <v>0</v>
      </c>
      <c r="AO327" s="40">
        <f t="shared" si="137"/>
        <v>0</v>
      </c>
      <c r="AP327" s="40">
        <f t="shared" si="138"/>
        <v>0</v>
      </c>
      <c r="AQ327" s="40">
        <f t="shared" si="139"/>
        <v>0</v>
      </c>
      <c r="AR327" s="40">
        <f t="shared" si="140"/>
        <v>0</v>
      </c>
      <c r="AS327" s="40">
        <f t="shared" si="141"/>
        <v>0</v>
      </c>
    </row>
    <row r="328" spans="2:45" s="2" customFormat="1" ht="14.4" customHeight="1" x14ac:dyDescent="0.25">
      <c r="B328" s="56" t="s">
        <v>41</v>
      </c>
      <c r="C328" s="57" t="s">
        <v>36</v>
      </c>
      <c r="D328" s="58" t="s">
        <v>35</v>
      </c>
      <c r="E328" s="62">
        <v>3.3900000000000011E-3</v>
      </c>
      <c r="F328" s="65">
        <f t="shared" si="142"/>
        <v>-5.6869253575897778</v>
      </c>
      <c r="S328" s="40">
        <f t="shared" si="115"/>
        <v>0</v>
      </c>
      <c r="T328" s="40">
        <f t="shared" si="116"/>
        <v>1</v>
      </c>
      <c r="U328" s="40">
        <f t="shared" si="117"/>
        <v>0</v>
      </c>
      <c r="V328" s="40">
        <f t="shared" si="118"/>
        <v>0</v>
      </c>
      <c r="W328" s="40">
        <f t="shared" si="119"/>
        <v>0</v>
      </c>
      <c r="X328" s="40">
        <f t="shared" si="120"/>
        <v>0</v>
      </c>
      <c r="Y328" s="40">
        <f t="shared" si="121"/>
        <v>0</v>
      </c>
      <c r="Z328" s="40">
        <f t="shared" si="122"/>
        <v>1</v>
      </c>
      <c r="AA328" s="40">
        <f t="shared" si="123"/>
        <v>0</v>
      </c>
      <c r="AB328" s="40">
        <f t="shared" si="124"/>
        <v>0</v>
      </c>
      <c r="AC328" s="40">
        <f t="shared" si="125"/>
        <v>0</v>
      </c>
      <c r="AD328" s="40">
        <f t="shared" si="126"/>
        <v>0</v>
      </c>
      <c r="AE328" s="40">
        <f t="shared" si="127"/>
        <v>0</v>
      </c>
      <c r="AF328" s="40">
        <f t="shared" si="128"/>
        <v>0</v>
      </c>
      <c r="AG328" s="40">
        <f t="shared" si="129"/>
        <v>0</v>
      </c>
      <c r="AH328" s="40">
        <f t="shared" si="130"/>
        <v>0</v>
      </c>
      <c r="AI328" s="40">
        <f t="shared" si="131"/>
        <v>0</v>
      </c>
      <c r="AJ328" s="40">
        <f t="shared" si="132"/>
        <v>1</v>
      </c>
      <c r="AK328" s="40">
        <f t="shared" si="133"/>
        <v>0</v>
      </c>
      <c r="AL328" s="40">
        <f t="shared" si="134"/>
        <v>0</v>
      </c>
      <c r="AM328" s="40">
        <f t="shared" si="135"/>
        <v>0</v>
      </c>
      <c r="AN328" s="40">
        <f t="shared" si="136"/>
        <v>0</v>
      </c>
      <c r="AO328" s="40">
        <f t="shared" si="137"/>
        <v>0</v>
      </c>
      <c r="AP328" s="40">
        <f t="shared" si="138"/>
        <v>0</v>
      </c>
      <c r="AQ328" s="40">
        <f t="shared" si="139"/>
        <v>0</v>
      </c>
      <c r="AR328" s="40">
        <f t="shared" si="140"/>
        <v>0</v>
      </c>
      <c r="AS328" s="40">
        <f t="shared" si="141"/>
        <v>0</v>
      </c>
    </row>
    <row r="329" spans="2:45" s="2" customFormat="1" ht="14.4" customHeight="1" x14ac:dyDescent="0.25">
      <c r="B329" s="56" t="s">
        <v>41</v>
      </c>
      <c r="C329" s="57" t="s">
        <v>36</v>
      </c>
      <c r="D329" s="58" t="s">
        <v>37</v>
      </c>
      <c r="E329" s="62">
        <v>3.4399999999999986E-3</v>
      </c>
      <c r="F329" s="65">
        <f t="shared" si="142"/>
        <v>-5.6722838075968305</v>
      </c>
      <c r="S329" s="40">
        <f t="shared" si="115"/>
        <v>0</v>
      </c>
      <c r="T329" s="40">
        <f t="shared" si="116"/>
        <v>1</v>
      </c>
      <c r="U329" s="40">
        <f t="shared" si="117"/>
        <v>0</v>
      </c>
      <c r="V329" s="40">
        <f t="shared" si="118"/>
        <v>0</v>
      </c>
      <c r="W329" s="40">
        <f t="shared" si="119"/>
        <v>0</v>
      </c>
      <c r="X329" s="40">
        <f t="shared" si="120"/>
        <v>0</v>
      </c>
      <c r="Y329" s="40">
        <f t="shared" si="121"/>
        <v>0</v>
      </c>
      <c r="Z329" s="40">
        <f t="shared" si="122"/>
        <v>0</v>
      </c>
      <c r="AA329" s="40">
        <f t="shared" si="123"/>
        <v>0</v>
      </c>
      <c r="AB329" s="40">
        <f t="shared" si="124"/>
        <v>1</v>
      </c>
      <c r="AC329" s="40">
        <f t="shared" si="125"/>
        <v>0</v>
      </c>
      <c r="AD329" s="40">
        <f t="shared" si="126"/>
        <v>0</v>
      </c>
      <c r="AE329" s="40">
        <f t="shared" si="127"/>
        <v>0</v>
      </c>
      <c r="AF329" s="40">
        <f t="shared" si="128"/>
        <v>0</v>
      </c>
      <c r="AG329" s="40">
        <f t="shared" si="129"/>
        <v>0</v>
      </c>
      <c r="AH329" s="40">
        <f t="shared" si="130"/>
        <v>0</v>
      </c>
      <c r="AI329" s="40">
        <f t="shared" si="131"/>
        <v>0</v>
      </c>
      <c r="AJ329" s="40">
        <f t="shared" si="132"/>
        <v>0</v>
      </c>
      <c r="AK329" s="40">
        <f t="shared" si="133"/>
        <v>0</v>
      </c>
      <c r="AL329" s="40">
        <f t="shared" si="134"/>
        <v>1</v>
      </c>
      <c r="AM329" s="40">
        <f t="shared" si="135"/>
        <v>0</v>
      </c>
      <c r="AN329" s="40">
        <f t="shared" si="136"/>
        <v>0</v>
      </c>
      <c r="AO329" s="40">
        <f t="shared" si="137"/>
        <v>0</v>
      </c>
      <c r="AP329" s="40">
        <f t="shared" si="138"/>
        <v>0</v>
      </c>
      <c r="AQ329" s="40">
        <f t="shared" si="139"/>
        <v>0</v>
      </c>
      <c r="AR329" s="40">
        <f t="shared" si="140"/>
        <v>0</v>
      </c>
      <c r="AS329" s="40">
        <f t="shared" si="141"/>
        <v>0</v>
      </c>
    </row>
    <row r="330" spans="2:45" s="2" customFormat="1" ht="14.4" customHeight="1" x14ac:dyDescent="0.25">
      <c r="B330" s="56" t="s">
        <v>41</v>
      </c>
      <c r="C330" s="57" t="s">
        <v>25</v>
      </c>
      <c r="D330" s="58" t="s">
        <v>24</v>
      </c>
      <c r="E330" s="62">
        <v>2.4200000000000003E-3</v>
      </c>
      <c r="F330" s="65">
        <f t="shared" si="142"/>
        <v>-6.0239877388135419</v>
      </c>
      <c r="S330" s="40">
        <f t="shared" ref="S330:S393" si="143">IF($B331=S$9,1,0)</f>
        <v>0</v>
      </c>
      <c r="T330" s="40">
        <f t="shared" ref="T330:T393" si="144">IF($B331=T$9,1,0)</f>
        <v>1</v>
      </c>
      <c r="U330" s="40">
        <f t="shared" ref="U330:U393" si="145">IF($B331=U$9,1,0)</f>
        <v>0</v>
      </c>
      <c r="V330" s="40">
        <f t="shared" ref="V330:V393" si="146">IF($B331=V$9,1,0)</f>
        <v>0</v>
      </c>
      <c r="W330" s="40">
        <f t="shared" ref="W330:W393" si="147">IF($B331=W$9,1,0)</f>
        <v>0</v>
      </c>
      <c r="X330" s="40">
        <f t="shared" ref="X330:X393" si="148">IF($B331=X$9,1,0)</f>
        <v>0</v>
      </c>
      <c r="Y330" s="40">
        <f t="shared" ref="Y330:Y393" si="149">IF($B331=Y$9,1,0)</f>
        <v>0</v>
      </c>
      <c r="Z330" s="40">
        <f t="shared" ref="Z330:Z393" si="150">IF($C331=Z$9,1,0)</f>
        <v>0</v>
      </c>
      <c r="AA330" s="40">
        <f t="shared" ref="AA330:AA393" si="151">IF($C331=AA$9,1,0)</f>
        <v>0</v>
      </c>
      <c r="AB330" s="40">
        <f t="shared" ref="AB330:AB393" si="152">IF($C331=AB$9,1,0)</f>
        <v>0</v>
      </c>
      <c r="AC330" s="40">
        <f t="shared" ref="AC330:AC393" si="153">IF($C331=AC$9,1,0)</f>
        <v>1</v>
      </c>
      <c r="AD330" s="40">
        <f t="shared" ref="AD330:AD393" si="154">IF($C331=AD$9,1,0)</f>
        <v>0</v>
      </c>
      <c r="AE330" s="40">
        <f t="shared" ref="AE330:AE393" si="155">IF($C331=AE$9,1,0)</f>
        <v>0</v>
      </c>
      <c r="AF330" s="40">
        <f t="shared" ref="AF330:AF393" si="156">IF($C331=AF$9,1,0)</f>
        <v>0</v>
      </c>
      <c r="AG330" s="40">
        <f t="shared" ref="AG330:AG393" si="157">IF($C331=AG$9,1,0)</f>
        <v>0</v>
      </c>
      <c r="AH330" s="40">
        <f t="shared" ref="AH330:AH393" si="158">IF($D331=AH$9,1,0)</f>
        <v>0</v>
      </c>
      <c r="AI330" s="40">
        <f t="shared" ref="AI330:AI393" si="159">IF($D331=AI$9,1,0)</f>
        <v>0</v>
      </c>
      <c r="AJ330" s="40">
        <f t="shared" ref="AJ330:AJ393" si="160">IF($D331=AJ$9,1,0)</f>
        <v>0</v>
      </c>
      <c r="AK330" s="40">
        <f t="shared" ref="AK330:AK393" si="161">IF($D331=AK$9,1,0)</f>
        <v>0</v>
      </c>
      <c r="AL330" s="40">
        <f t="shared" ref="AL330:AL393" si="162">IF($D331=AL$9,1,0)</f>
        <v>0</v>
      </c>
      <c r="AM330" s="40">
        <f t="shared" ref="AM330:AM393" si="163">IF($D331=AM$9,1,0)</f>
        <v>0</v>
      </c>
      <c r="AN330" s="40">
        <f t="shared" ref="AN330:AN393" si="164">IF($D331=AN$9,1,0)</f>
        <v>0</v>
      </c>
      <c r="AO330" s="40">
        <f t="shared" ref="AO330:AO393" si="165">IF($D331=AO$9,1,0)</f>
        <v>0</v>
      </c>
      <c r="AP330" s="40">
        <f t="shared" ref="AP330:AP393" si="166">IF($D331=AP$9,1,0)</f>
        <v>0</v>
      </c>
      <c r="AQ330" s="40">
        <f t="shared" ref="AQ330:AQ393" si="167">IF($D331=AQ$9,1,0)</f>
        <v>0</v>
      </c>
      <c r="AR330" s="40">
        <f t="shared" ref="AR330:AR393" si="168">IF($D331=AR$9,1,0)</f>
        <v>1</v>
      </c>
      <c r="AS330" s="40">
        <f t="shared" ref="AS330:AS393" si="169">IF($D331=AS$9,1,0)</f>
        <v>0</v>
      </c>
    </row>
    <row r="331" spans="2:45" s="2" customFormat="1" ht="14.4" customHeight="1" x14ac:dyDescent="0.25">
      <c r="B331" s="56" t="s">
        <v>41</v>
      </c>
      <c r="C331" s="57" t="s">
        <v>23</v>
      </c>
      <c r="D331" s="58" t="s">
        <v>33</v>
      </c>
      <c r="E331" s="62">
        <v>2.5600000000000015E-3</v>
      </c>
      <c r="F331" s="65">
        <f t="shared" si="142"/>
        <v>-5.9677480204906654</v>
      </c>
      <c r="S331" s="40">
        <f t="shared" si="143"/>
        <v>0</v>
      </c>
      <c r="T331" s="40">
        <f t="shared" si="144"/>
        <v>1</v>
      </c>
      <c r="U331" s="40">
        <f t="shared" si="145"/>
        <v>0</v>
      </c>
      <c r="V331" s="40">
        <f t="shared" si="146"/>
        <v>0</v>
      </c>
      <c r="W331" s="40">
        <f t="shared" si="147"/>
        <v>0</v>
      </c>
      <c r="X331" s="40">
        <f t="shared" si="148"/>
        <v>0</v>
      </c>
      <c r="Y331" s="40">
        <f t="shared" si="149"/>
        <v>0</v>
      </c>
      <c r="Z331" s="40">
        <f t="shared" si="150"/>
        <v>0</v>
      </c>
      <c r="AA331" s="40">
        <f t="shared" si="151"/>
        <v>0</v>
      </c>
      <c r="AB331" s="40">
        <f t="shared" si="152"/>
        <v>1</v>
      </c>
      <c r="AC331" s="40">
        <f t="shared" si="153"/>
        <v>0</v>
      </c>
      <c r="AD331" s="40">
        <f t="shared" si="154"/>
        <v>0</v>
      </c>
      <c r="AE331" s="40">
        <f t="shared" si="155"/>
        <v>0</v>
      </c>
      <c r="AF331" s="40">
        <f t="shared" si="156"/>
        <v>0</v>
      </c>
      <c r="AG331" s="40">
        <f t="shared" si="157"/>
        <v>0</v>
      </c>
      <c r="AH331" s="40">
        <f t="shared" si="158"/>
        <v>0</v>
      </c>
      <c r="AI331" s="40">
        <f t="shared" si="159"/>
        <v>1</v>
      </c>
      <c r="AJ331" s="40">
        <f t="shared" si="160"/>
        <v>0</v>
      </c>
      <c r="AK331" s="40">
        <f t="shared" si="161"/>
        <v>0</v>
      </c>
      <c r="AL331" s="40">
        <f t="shared" si="162"/>
        <v>0</v>
      </c>
      <c r="AM331" s="40">
        <f t="shared" si="163"/>
        <v>0</v>
      </c>
      <c r="AN331" s="40">
        <f t="shared" si="164"/>
        <v>0</v>
      </c>
      <c r="AO331" s="40">
        <f t="shared" si="165"/>
        <v>0</v>
      </c>
      <c r="AP331" s="40">
        <f t="shared" si="166"/>
        <v>0</v>
      </c>
      <c r="AQ331" s="40">
        <f t="shared" si="167"/>
        <v>0</v>
      </c>
      <c r="AR331" s="40">
        <f t="shared" si="168"/>
        <v>0</v>
      </c>
      <c r="AS331" s="40">
        <f t="shared" si="169"/>
        <v>0</v>
      </c>
    </row>
    <row r="332" spans="2:45" s="2" customFormat="1" ht="14.4" customHeight="1" x14ac:dyDescent="0.25">
      <c r="B332" s="56" t="s">
        <v>41</v>
      </c>
      <c r="C332" s="57" t="s">
        <v>25</v>
      </c>
      <c r="D332" s="58" t="s">
        <v>28</v>
      </c>
      <c r="E332" s="62">
        <v>1.4399999999999999E-3</v>
      </c>
      <c r="F332" s="65">
        <f t="shared" ref="F332:F395" si="170">LN(E332)</f>
        <v>-6.5431121653942279</v>
      </c>
      <c r="S332" s="40">
        <f t="shared" si="143"/>
        <v>0</v>
      </c>
      <c r="T332" s="40">
        <f t="shared" si="144"/>
        <v>1</v>
      </c>
      <c r="U332" s="40">
        <f t="shared" si="145"/>
        <v>0</v>
      </c>
      <c r="V332" s="40">
        <f t="shared" si="146"/>
        <v>0</v>
      </c>
      <c r="W332" s="40">
        <f t="shared" si="147"/>
        <v>0</v>
      </c>
      <c r="X332" s="40">
        <f t="shared" si="148"/>
        <v>0</v>
      </c>
      <c r="Y332" s="40">
        <f t="shared" si="149"/>
        <v>0</v>
      </c>
      <c r="Z332" s="40">
        <f t="shared" si="150"/>
        <v>0</v>
      </c>
      <c r="AA332" s="40">
        <f t="shared" si="151"/>
        <v>0</v>
      </c>
      <c r="AB332" s="40">
        <f t="shared" si="152"/>
        <v>0</v>
      </c>
      <c r="AC332" s="40">
        <f t="shared" si="153"/>
        <v>0</v>
      </c>
      <c r="AD332" s="40">
        <f t="shared" si="154"/>
        <v>0</v>
      </c>
      <c r="AE332" s="40">
        <f t="shared" si="155"/>
        <v>0</v>
      </c>
      <c r="AF332" s="40">
        <f t="shared" si="156"/>
        <v>0</v>
      </c>
      <c r="AG332" s="40">
        <f t="shared" si="157"/>
        <v>1</v>
      </c>
      <c r="AH332" s="40">
        <f t="shared" si="158"/>
        <v>0</v>
      </c>
      <c r="AI332" s="40">
        <f t="shared" si="159"/>
        <v>0</v>
      </c>
      <c r="AJ332" s="40">
        <f t="shared" si="160"/>
        <v>0</v>
      </c>
      <c r="AK332" s="40">
        <f t="shared" si="161"/>
        <v>0</v>
      </c>
      <c r="AL332" s="40">
        <f t="shared" si="162"/>
        <v>0</v>
      </c>
      <c r="AM332" s="40">
        <f t="shared" si="163"/>
        <v>1</v>
      </c>
      <c r="AN332" s="40">
        <f t="shared" si="164"/>
        <v>0</v>
      </c>
      <c r="AO332" s="40">
        <f t="shared" si="165"/>
        <v>0</v>
      </c>
      <c r="AP332" s="40">
        <f t="shared" si="166"/>
        <v>0</v>
      </c>
      <c r="AQ332" s="40">
        <f t="shared" si="167"/>
        <v>0</v>
      </c>
      <c r="AR332" s="40">
        <f t="shared" si="168"/>
        <v>0</v>
      </c>
      <c r="AS332" s="40">
        <f t="shared" si="169"/>
        <v>0</v>
      </c>
    </row>
    <row r="333" spans="2:45" s="2" customFormat="1" ht="14.4" customHeight="1" x14ac:dyDescent="0.25">
      <c r="B333" s="56" t="s">
        <v>41</v>
      </c>
      <c r="C333" s="57" t="s">
        <v>38</v>
      </c>
      <c r="D333" s="58" t="s">
        <v>35</v>
      </c>
      <c r="E333" s="62">
        <v>2.3300000000000005E-3</v>
      </c>
      <c r="F333" s="65">
        <f t="shared" si="170"/>
        <v>-6.0618870114045276</v>
      </c>
      <c r="S333" s="40">
        <f t="shared" si="143"/>
        <v>0</v>
      </c>
      <c r="T333" s="40">
        <f t="shared" si="144"/>
        <v>1</v>
      </c>
      <c r="U333" s="40">
        <f t="shared" si="145"/>
        <v>0</v>
      </c>
      <c r="V333" s="40">
        <f t="shared" si="146"/>
        <v>0</v>
      </c>
      <c r="W333" s="40">
        <f t="shared" si="147"/>
        <v>0</v>
      </c>
      <c r="X333" s="40">
        <f t="shared" si="148"/>
        <v>0</v>
      </c>
      <c r="Y333" s="40">
        <f t="shared" si="149"/>
        <v>0</v>
      </c>
      <c r="Z333" s="40">
        <f t="shared" si="150"/>
        <v>0</v>
      </c>
      <c r="AA333" s="40">
        <f t="shared" si="151"/>
        <v>0</v>
      </c>
      <c r="AB333" s="40">
        <f t="shared" si="152"/>
        <v>1</v>
      </c>
      <c r="AC333" s="40">
        <f t="shared" si="153"/>
        <v>0</v>
      </c>
      <c r="AD333" s="40">
        <f t="shared" si="154"/>
        <v>0</v>
      </c>
      <c r="AE333" s="40">
        <f t="shared" si="155"/>
        <v>0</v>
      </c>
      <c r="AF333" s="40">
        <f t="shared" si="156"/>
        <v>0</v>
      </c>
      <c r="AG333" s="40">
        <f t="shared" si="157"/>
        <v>0</v>
      </c>
      <c r="AH333" s="40">
        <f t="shared" si="158"/>
        <v>0</v>
      </c>
      <c r="AI333" s="40">
        <f t="shared" si="159"/>
        <v>0</v>
      </c>
      <c r="AJ333" s="40">
        <f t="shared" si="160"/>
        <v>0</v>
      </c>
      <c r="AK333" s="40">
        <f t="shared" si="161"/>
        <v>0</v>
      </c>
      <c r="AL333" s="40">
        <f t="shared" si="162"/>
        <v>0</v>
      </c>
      <c r="AM333" s="40">
        <f t="shared" si="163"/>
        <v>0</v>
      </c>
      <c r="AN333" s="40">
        <f t="shared" si="164"/>
        <v>1</v>
      </c>
      <c r="AO333" s="40">
        <f t="shared" si="165"/>
        <v>0</v>
      </c>
      <c r="AP333" s="40">
        <f t="shared" si="166"/>
        <v>0</v>
      </c>
      <c r="AQ333" s="40">
        <f t="shared" si="167"/>
        <v>0</v>
      </c>
      <c r="AR333" s="40">
        <f t="shared" si="168"/>
        <v>0</v>
      </c>
      <c r="AS333" s="40">
        <f t="shared" si="169"/>
        <v>0</v>
      </c>
    </row>
    <row r="334" spans="2:45" s="2" customFormat="1" ht="14.4" customHeight="1" x14ac:dyDescent="0.25">
      <c r="B334" s="56" t="s">
        <v>41</v>
      </c>
      <c r="C334" s="57" t="s">
        <v>25</v>
      </c>
      <c r="D334" s="58" t="s">
        <v>29</v>
      </c>
      <c r="E334" s="62">
        <v>1.9699999999999995E-3</v>
      </c>
      <c r="F334" s="65">
        <f t="shared" si="170"/>
        <v>-6.2297217362322401</v>
      </c>
      <c r="S334" s="40">
        <f t="shared" si="143"/>
        <v>0</v>
      </c>
      <c r="T334" s="40">
        <f t="shared" si="144"/>
        <v>1</v>
      </c>
      <c r="U334" s="40">
        <f t="shared" si="145"/>
        <v>0</v>
      </c>
      <c r="V334" s="40">
        <f t="shared" si="146"/>
        <v>0</v>
      </c>
      <c r="W334" s="40">
        <f t="shared" si="147"/>
        <v>0</v>
      </c>
      <c r="X334" s="40">
        <f t="shared" si="148"/>
        <v>0</v>
      </c>
      <c r="Y334" s="40">
        <f t="shared" si="149"/>
        <v>0</v>
      </c>
      <c r="Z334" s="40">
        <f t="shared" si="150"/>
        <v>0</v>
      </c>
      <c r="AA334" s="40">
        <f t="shared" si="151"/>
        <v>0</v>
      </c>
      <c r="AB334" s="40">
        <f t="shared" si="152"/>
        <v>0</v>
      </c>
      <c r="AC334" s="40">
        <f t="shared" si="153"/>
        <v>0</v>
      </c>
      <c r="AD334" s="40">
        <f t="shared" si="154"/>
        <v>0</v>
      </c>
      <c r="AE334" s="40">
        <f t="shared" si="155"/>
        <v>0</v>
      </c>
      <c r="AF334" s="40">
        <f t="shared" si="156"/>
        <v>1</v>
      </c>
      <c r="AG334" s="40">
        <f t="shared" si="157"/>
        <v>0</v>
      </c>
      <c r="AH334" s="40">
        <f t="shared" si="158"/>
        <v>0</v>
      </c>
      <c r="AI334" s="40">
        <f t="shared" si="159"/>
        <v>0</v>
      </c>
      <c r="AJ334" s="40">
        <f t="shared" si="160"/>
        <v>0</v>
      </c>
      <c r="AK334" s="40">
        <f t="shared" si="161"/>
        <v>1</v>
      </c>
      <c r="AL334" s="40">
        <f t="shared" si="162"/>
        <v>0</v>
      </c>
      <c r="AM334" s="40">
        <f t="shared" si="163"/>
        <v>0</v>
      </c>
      <c r="AN334" s="40">
        <f t="shared" si="164"/>
        <v>0</v>
      </c>
      <c r="AO334" s="40">
        <f t="shared" si="165"/>
        <v>0</v>
      </c>
      <c r="AP334" s="40">
        <f t="shared" si="166"/>
        <v>0</v>
      </c>
      <c r="AQ334" s="40">
        <f t="shared" si="167"/>
        <v>0</v>
      </c>
      <c r="AR334" s="40">
        <f t="shared" si="168"/>
        <v>0</v>
      </c>
      <c r="AS334" s="40">
        <f t="shared" si="169"/>
        <v>0</v>
      </c>
    </row>
    <row r="335" spans="2:45" s="2" customFormat="1" ht="14.4" customHeight="1" x14ac:dyDescent="0.25">
      <c r="B335" s="56" t="s">
        <v>41</v>
      </c>
      <c r="C335" s="57" t="s">
        <v>26</v>
      </c>
      <c r="D335" s="58" t="s">
        <v>32</v>
      </c>
      <c r="E335" s="62">
        <v>3.5200000000000014E-3</v>
      </c>
      <c r="F335" s="65">
        <f t="shared" si="170"/>
        <v>-5.649294289372131</v>
      </c>
      <c r="S335" s="40">
        <f t="shared" si="143"/>
        <v>0</v>
      </c>
      <c r="T335" s="40">
        <f t="shared" si="144"/>
        <v>1</v>
      </c>
      <c r="U335" s="40">
        <f t="shared" si="145"/>
        <v>0</v>
      </c>
      <c r="V335" s="40">
        <f t="shared" si="146"/>
        <v>0</v>
      </c>
      <c r="W335" s="40">
        <f t="shared" si="147"/>
        <v>0</v>
      </c>
      <c r="X335" s="40">
        <f t="shared" si="148"/>
        <v>0</v>
      </c>
      <c r="Y335" s="40">
        <f t="shared" si="149"/>
        <v>0</v>
      </c>
      <c r="Z335" s="40">
        <f t="shared" si="150"/>
        <v>0</v>
      </c>
      <c r="AA335" s="40">
        <f t="shared" si="151"/>
        <v>0</v>
      </c>
      <c r="AB335" s="40">
        <f t="shared" si="152"/>
        <v>0</v>
      </c>
      <c r="AC335" s="40">
        <f t="shared" si="153"/>
        <v>0</v>
      </c>
      <c r="AD335" s="40">
        <f t="shared" si="154"/>
        <v>0</v>
      </c>
      <c r="AE335" s="40">
        <f t="shared" si="155"/>
        <v>0</v>
      </c>
      <c r="AF335" s="40">
        <f t="shared" si="156"/>
        <v>0</v>
      </c>
      <c r="AG335" s="40">
        <f t="shared" si="157"/>
        <v>1</v>
      </c>
      <c r="AH335" s="40">
        <f t="shared" si="158"/>
        <v>0</v>
      </c>
      <c r="AI335" s="40">
        <f t="shared" si="159"/>
        <v>0</v>
      </c>
      <c r="AJ335" s="40">
        <f t="shared" si="160"/>
        <v>0</v>
      </c>
      <c r="AK335" s="40">
        <f t="shared" si="161"/>
        <v>0</v>
      </c>
      <c r="AL335" s="40">
        <f t="shared" si="162"/>
        <v>1</v>
      </c>
      <c r="AM335" s="40">
        <f t="shared" si="163"/>
        <v>0</v>
      </c>
      <c r="AN335" s="40">
        <f t="shared" si="164"/>
        <v>0</v>
      </c>
      <c r="AO335" s="40">
        <f t="shared" si="165"/>
        <v>0</v>
      </c>
      <c r="AP335" s="40">
        <f t="shared" si="166"/>
        <v>0</v>
      </c>
      <c r="AQ335" s="40">
        <f t="shared" si="167"/>
        <v>0</v>
      </c>
      <c r="AR335" s="40">
        <f t="shared" si="168"/>
        <v>0</v>
      </c>
      <c r="AS335" s="40">
        <f t="shared" si="169"/>
        <v>0</v>
      </c>
    </row>
    <row r="336" spans="2:45" s="2" customFormat="1" ht="14.4" customHeight="1" x14ac:dyDescent="0.25">
      <c r="B336" s="56" t="s">
        <v>41</v>
      </c>
      <c r="C336" s="57" t="s">
        <v>38</v>
      </c>
      <c r="D336" s="58" t="s">
        <v>24</v>
      </c>
      <c r="E336" s="62">
        <v>3.9499999999999995E-3</v>
      </c>
      <c r="F336" s="65">
        <f t="shared" si="170"/>
        <v>-5.5340397000691066</v>
      </c>
      <c r="S336" s="40">
        <f t="shared" si="143"/>
        <v>0</v>
      </c>
      <c r="T336" s="40">
        <f t="shared" si="144"/>
        <v>1</v>
      </c>
      <c r="U336" s="40">
        <f t="shared" si="145"/>
        <v>0</v>
      </c>
      <c r="V336" s="40">
        <f t="shared" si="146"/>
        <v>0</v>
      </c>
      <c r="W336" s="40">
        <f t="shared" si="147"/>
        <v>0</v>
      </c>
      <c r="X336" s="40">
        <f t="shared" si="148"/>
        <v>0</v>
      </c>
      <c r="Y336" s="40">
        <f t="shared" si="149"/>
        <v>0</v>
      </c>
      <c r="Z336" s="40">
        <f t="shared" si="150"/>
        <v>0</v>
      </c>
      <c r="AA336" s="40">
        <f t="shared" si="151"/>
        <v>0</v>
      </c>
      <c r="AB336" s="40">
        <f t="shared" si="152"/>
        <v>0</v>
      </c>
      <c r="AC336" s="40">
        <f t="shared" si="153"/>
        <v>0</v>
      </c>
      <c r="AD336" s="40">
        <f t="shared" si="154"/>
        <v>0</v>
      </c>
      <c r="AE336" s="40">
        <f t="shared" si="155"/>
        <v>0</v>
      </c>
      <c r="AF336" s="40">
        <f t="shared" si="156"/>
        <v>1</v>
      </c>
      <c r="AG336" s="40">
        <f t="shared" si="157"/>
        <v>0</v>
      </c>
      <c r="AH336" s="40">
        <f t="shared" si="158"/>
        <v>0</v>
      </c>
      <c r="AI336" s="40">
        <f t="shared" si="159"/>
        <v>1</v>
      </c>
      <c r="AJ336" s="40">
        <f t="shared" si="160"/>
        <v>0</v>
      </c>
      <c r="AK336" s="40">
        <f t="shared" si="161"/>
        <v>0</v>
      </c>
      <c r="AL336" s="40">
        <f t="shared" si="162"/>
        <v>0</v>
      </c>
      <c r="AM336" s="40">
        <f t="shared" si="163"/>
        <v>0</v>
      </c>
      <c r="AN336" s="40">
        <f t="shared" si="164"/>
        <v>0</v>
      </c>
      <c r="AO336" s="40">
        <f t="shared" si="165"/>
        <v>0</v>
      </c>
      <c r="AP336" s="40">
        <f t="shared" si="166"/>
        <v>0</v>
      </c>
      <c r="AQ336" s="40">
        <f t="shared" si="167"/>
        <v>0</v>
      </c>
      <c r="AR336" s="40">
        <f t="shared" si="168"/>
        <v>0</v>
      </c>
      <c r="AS336" s="40">
        <f t="shared" si="169"/>
        <v>0</v>
      </c>
    </row>
    <row r="337" spans="2:45" s="2" customFormat="1" ht="14.4" customHeight="1" x14ac:dyDescent="0.25">
      <c r="B337" s="56" t="s">
        <v>41</v>
      </c>
      <c r="C337" s="57" t="s">
        <v>26</v>
      </c>
      <c r="D337" s="58" t="s">
        <v>28</v>
      </c>
      <c r="E337" s="62">
        <v>1.9499999999999997E-3</v>
      </c>
      <c r="F337" s="65">
        <f t="shared" si="170"/>
        <v>-6.2399259064064818</v>
      </c>
      <c r="S337" s="40">
        <f t="shared" si="143"/>
        <v>0</v>
      </c>
      <c r="T337" s="40">
        <f t="shared" si="144"/>
        <v>1</v>
      </c>
      <c r="U337" s="40">
        <f t="shared" si="145"/>
        <v>0</v>
      </c>
      <c r="V337" s="40">
        <f t="shared" si="146"/>
        <v>0</v>
      </c>
      <c r="W337" s="40">
        <f t="shared" si="147"/>
        <v>0</v>
      </c>
      <c r="X337" s="40">
        <f t="shared" si="148"/>
        <v>0</v>
      </c>
      <c r="Y337" s="40">
        <f t="shared" si="149"/>
        <v>0</v>
      </c>
      <c r="Z337" s="40">
        <f t="shared" si="150"/>
        <v>0</v>
      </c>
      <c r="AA337" s="40">
        <f t="shared" si="151"/>
        <v>0</v>
      </c>
      <c r="AB337" s="40">
        <f t="shared" si="152"/>
        <v>0</v>
      </c>
      <c r="AC337" s="40">
        <f t="shared" si="153"/>
        <v>0</v>
      </c>
      <c r="AD337" s="40">
        <f t="shared" si="154"/>
        <v>1</v>
      </c>
      <c r="AE337" s="40">
        <f t="shared" si="155"/>
        <v>0</v>
      </c>
      <c r="AF337" s="40">
        <f t="shared" si="156"/>
        <v>0</v>
      </c>
      <c r="AG337" s="40">
        <f t="shared" si="157"/>
        <v>0</v>
      </c>
      <c r="AH337" s="40">
        <f t="shared" si="158"/>
        <v>0</v>
      </c>
      <c r="AI337" s="40">
        <f t="shared" si="159"/>
        <v>0</v>
      </c>
      <c r="AJ337" s="40">
        <f t="shared" si="160"/>
        <v>0</v>
      </c>
      <c r="AK337" s="40">
        <f t="shared" si="161"/>
        <v>0</v>
      </c>
      <c r="AL337" s="40">
        <f t="shared" si="162"/>
        <v>0</v>
      </c>
      <c r="AM337" s="40">
        <f t="shared" si="163"/>
        <v>1</v>
      </c>
      <c r="AN337" s="40">
        <f t="shared" si="164"/>
        <v>0</v>
      </c>
      <c r="AO337" s="40">
        <f t="shared" si="165"/>
        <v>0</v>
      </c>
      <c r="AP337" s="40">
        <f t="shared" si="166"/>
        <v>0</v>
      </c>
      <c r="AQ337" s="40">
        <f t="shared" si="167"/>
        <v>0</v>
      </c>
      <c r="AR337" s="40">
        <f t="shared" si="168"/>
        <v>0</v>
      </c>
      <c r="AS337" s="40">
        <f t="shared" si="169"/>
        <v>0</v>
      </c>
    </row>
    <row r="338" spans="2:45" s="2" customFormat="1" ht="14.4" customHeight="1" x14ac:dyDescent="0.25">
      <c r="B338" s="56" t="s">
        <v>41</v>
      </c>
      <c r="C338" s="57" t="s">
        <v>21</v>
      </c>
      <c r="D338" s="58" t="s">
        <v>35</v>
      </c>
      <c r="E338" s="62">
        <v>4.4200000000000021E-3</v>
      </c>
      <c r="F338" s="65">
        <f t="shared" si="170"/>
        <v>-5.4216155828925299</v>
      </c>
      <c r="S338" s="40">
        <f t="shared" si="143"/>
        <v>0</v>
      </c>
      <c r="T338" s="40">
        <f t="shared" si="144"/>
        <v>1</v>
      </c>
      <c r="U338" s="40">
        <f t="shared" si="145"/>
        <v>0</v>
      </c>
      <c r="V338" s="40">
        <f t="shared" si="146"/>
        <v>0</v>
      </c>
      <c r="W338" s="40">
        <f t="shared" si="147"/>
        <v>0</v>
      </c>
      <c r="X338" s="40">
        <f t="shared" si="148"/>
        <v>0</v>
      </c>
      <c r="Y338" s="40">
        <f t="shared" si="149"/>
        <v>0</v>
      </c>
      <c r="Z338" s="40">
        <f t="shared" si="150"/>
        <v>0</v>
      </c>
      <c r="AA338" s="40">
        <f t="shared" si="151"/>
        <v>0</v>
      </c>
      <c r="AB338" s="40">
        <f t="shared" si="152"/>
        <v>0</v>
      </c>
      <c r="AC338" s="40">
        <f t="shared" si="153"/>
        <v>0</v>
      </c>
      <c r="AD338" s="40">
        <f t="shared" si="154"/>
        <v>0</v>
      </c>
      <c r="AE338" s="40">
        <f t="shared" si="155"/>
        <v>0</v>
      </c>
      <c r="AF338" s="40">
        <f t="shared" si="156"/>
        <v>1</v>
      </c>
      <c r="AG338" s="40">
        <f t="shared" si="157"/>
        <v>0</v>
      </c>
      <c r="AH338" s="40">
        <f t="shared" si="158"/>
        <v>0</v>
      </c>
      <c r="AI338" s="40">
        <f t="shared" si="159"/>
        <v>0</v>
      </c>
      <c r="AJ338" s="40">
        <f t="shared" si="160"/>
        <v>0</v>
      </c>
      <c r="AK338" s="40">
        <f t="shared" si="161"/>
        <v>0</v>
      </c>
      <c r="AL338" s="40">
        <f t="shared" si="162"/>
        <v>0</v>
      </c>
      <c r="AM338" s="40">
        <f t="shared" si="163"/>
        <v>0</v>
      </c>
      <c r="AN338" s="40">
        <f t="shared" si="164"/>
        <v>1</v>
      </c>
      <c r="AO338" s="40">
        <f t="shared" si="165"/>
        <v>0</v>
      </c>
      <c r="AP338" s="40">
        <f t="shared" si="166"/>
        <v>0</v>
      </c>
      <c r="AQ338" s="40">
        <f t="shared" si="167"/>
        <v>0</v>
      </c>
      <c r="AR338" s="40">
        <f t="shared" si="168"/>
        <v>0</v>
      </c>
      <c r="AS338" s="40">
        <f t="shared" si="169"/>
        <v>0</v>
      </c>
    </row>
    <row r="339" spans="2:45" s="2" customFormat="1" ht="14.4" customHeight="1" x14ac:dyDescent="0.25">
      <c r="B339" s="56" t="s">
        <v>41</v>
      </c>
      <c r="C339" s="57" t="s">
        <v>26</v>
      </c>
      <c r="D339" s="58" t="s">
        <v>29</v>
      </c>
      <c r="E339" s="62">
        <v>2.429999999999999E-3</v>
      </c>
      <c r="F339" s="65">
        <f t="shared" si="170"/>
        <v>-6.0198640216296804</v>
      </c>
      <c r="S339" s="40">
        <f t="shared" si="143"/>
        <v>0</v>
      </c>
      <c r="T339" s="40">
        <f t="shared" si="144"/>
        <v>1</v>
      </c>
      <c r="U339" s="40">
        <f t="shared" si="145"/>
        <v>0</v>
      </c>
      <c r="V339" s="40">
        <f t="shared" si="146"/>
        <v>0</v>
      </c>
      <c r="W339" s="40">
        <f t="shared" si="147"/>
        <v>0</v>
      </c>
      <c r="X339" s="40">
        <f t="shared" si="148"/>
        <v>0</v>
      </c>
      <c r="Y339" s="40">
        <f t="shared" si="149"/>
        <v>0</v>
      </c>
      <c r="Z339" s="40">
        <f t="shared" si="150"/>
        <v>1</v>
      </c>
      <c r="AA339" s="40">
        <f t="shared" si="151"/>
        <v>0</v>
      </c>
      <c r="AB339" s="40">
        <f t="shared" si="152"/>
        <v>0</v>
      </c>
      <c r="AC339" s="40">
        <f t="shared" si="153"/>
        <v>0</v>
      </c>
      <c r="AD339" s="40">
        <f t="shared" si="154"/>
        <v>0</v>
      </c>
      <c r="AE339" s="40">
        <f t="shared" si="155"/>
        <v>0</v>
      </c>
      <c r="AF339" s="40">
        <f t="shared" si="156"/>
        <v>0</v>
      </c>
      <c r="AG339" s="40">
        <f t="shared" si="157"/>
        <v>0</v>
      </c>
      <c r="AH339" s="40">
        <f t="shared" si="158"/>
        <v>0</v>
      </c>
      <c r="AI339" s="40">
        <f t="shared" si="159"/>
        <v>0</v>
      </c>
      <c r="AJ339" s="40">
        <f t="shared" si="160"/>
        <v>0</v>
      </c>
      <c r="AK339" s="40">
        <f t="shared" si="161"/>
        <v>0</v>
      </c>
      <c r="AL339" s="40">
        <f t="shared" si="162"/>
        <v>0</v>
      </c>
      <c r="AM339" s="40">
        <f t="shared" si="163"/>
        <v>0</v>
      </c>
      <c r="AN339" s="40">
        <f t="shared" si="164"/>
        <v>0</v>
      </c>
      <c r="AO339" s="40">
        <f t="shared" si="165"/>
        <v>0</v>
      </c>
      <c r="AP339" s="40">
        <f t="shared" si="166"/>
        <v>0</v>
      </c>
      <c r="AQ339" s="40">
        <f t="shared" si="167"/>
        <v>1</v>
      </c>
      <c r="AR339" s="40">
        <f t="shared" si="168"/>
        <v>0</v>
      </c>
      <c r="AS339" s="40">
        <f t="shared" si="169"/>
        <v>0</v>
      </c>
    </row>
    <row r="340" spans="2:45" s="2" customFormat="1" ht="14.4" customHeight="1" x14ac:dyDescent="0.25">
      <c r="B340" s="56" t="s">
        <v>41</v>
      </c>
      <c r="C340" s="57" t="s">
        <v>36</v>
      </c>
      <c r="D340" s="58" t="s">
        <v>30</v>
      </c>
      <c r="E340" s="62">
        <v>3.4399999999999986E-3</v>
      </c>
      <c r="F340" s="65">
        <f t="shared" si="170"/>
        <v>-5.6722838075968305</v>
      </c>
      <c r="S340" s="40">
        <f t="shared" si="143"/>
        <v>0</v>
      </c>
      <c r="T340" s="40">
        <f t="shared" si="144"/>
        <v>1</v>
      </c>
      <c r="U340" s="40">
        <f t="shared" si="145"/>
        <v>0</v>
      </c>
      <c r="V340" s="40">
        <f t="shared" si="146"/>
        <v>0</v>
      </c>
      <c r="W340" s="40">
        <f t="shared" si="147"/>
        <v>0</v>
      </c>
      <c r="X340" s="40">
        <f t="shared" si="148"/>
        <v>0</v>
      </c>
      <c r="Y340" s="40">
        <f t="shared" si="149"/>
        <v>0</v>
      </c>
      <c r="Z340" s="40">
        <f t="shared" si="150"/>
        <v>0</v>
      </c>
      <c r="AA340" s="40">
        <f t="shared" si="151"/>
        <v>0</v>
      </c>
      <c r="AB340" s="40">
        <f t="shared" si="152"/>
        <v>1</v>
      </c>
      <c r="AC340" s="40">
        <f t="shared" si="153"/>
        <v>0</v>
      </c>
      <c r="AD340" s="40">
        <f t="shared" si="154"/>
        <v>0</v>
      </c>
      <c r="AE340" s="40">
        <f t="shared" si="155"/>
        <v>0</v>
      </c>
      <c r="AF340" s="40">
        <f t="shared" si="156"/>
        <v>0</v>
      </c>
      <c r="AG340" s="40">
        <f t="shared" si="157"/>
        <v>0</v>
      </c>
      <c r="AH340" s="40">
        <f t="shared" si="158"/>
        <v>0</v>
      </c>
      <c r="AI340" s="40">
        <f t="shared" si="159"/>
        <v>0</v>
      </c>
      <c r="AJ340" s="40">
        <f t="shared" si="160"/>
        <v>0</v>
      </c>
      <c r="AK340" s="40">
        <f t="shared" si="161"/>
        <v>1</v>
      </c>
      <c r="AL340" s="40">
        <f t="shared" si="162"/>
        <v>0</v>
      </c>
      <c r="AM340" s="40">
        <f t="shared" si="163"/>
        <v>0</v>
      </c>
      <c r="AN340" s="40">
        <f t="shared" si="164"/>
        <v>0</v>
      </c>
      <c r="AO340" s="40">
        <f t="shared" si="165"/>
        <v>0</v>
      </c>
      <c r="AP340" s="40">
        <f t="shared" si="166"/>
        <v>0</v>
      </c>
      <c r="AQ340" s="40">
        <f t="shared" si="167"/>
        <v>0</v>
      </c>
      <c r="AR340" s="40">
        <f t="shared" si="168"/>
        <v>0</v>
      </c>
      <c r="AS340" s="40">
        <f t="shared" si="169"/>
        <v>0</v>
      </c>
    </row>
    <row r="341" spans="2:45" s="2" customFormat="1" ht="14.4" customHeight="1" x14ac:dyDescent="0.25">
      <c r="B341" s="56" t="s">
        <v>41</v>
      </c>
      <c r="C341" s="57" t="s">
        <v>25</v>
      </c>
      <c r="D341" s="58" t="s">
        <v>32</v>
      </c>
      <c r="E341" s="62">
        <v>2.9500000000000004E-3</v>
      </c>
      <c r="F341" s="65">
        <f t="shared" si="170"/>
        <v>-5.8259501086304084</v>
      </c>
      <c r="S341" s="40">
        <f t="shared" si="143"/>
        <v>0</v>
      </c>
      <c r="T341" s="40">
        <f t="shared" si="144"/>
        <v>1</v>
      </c>
      <c r="U341" s="40">
        <f t="shared" si="145"/>
        <v>0</v>
      </c>
      <c r="V341" s="40">
        <f t="shared" si="146"/>
        <v>0</v>
      </c>
      <c r="W341" s="40">
        <f t="shared" si="147"/>
        <v>0</v>
      </c>
      <c r="X341" s="40">
        <f t="shared" si="148"/>
        <v>0</v>
      </c>
      <c r="Y341" s="40">
        <f t="shared" si="149"/>
        <v>0</v>
      </c>
      <c r="Z341" s="40">
        <f t="shared" si="150"/>
        <v>0</v>
      </c>
      <c r="AA341" s="40">
        <f t="shared" si="151"/>
        <v>0</v>
      </c>
      <c r="AB341" s="40">
        <f t="shared" si="152"/>
        <v>1</v>
      </c>
      <c r="AC341" s="40">
        <f t="shared" si="153"/>
        <v>0</v>
      </c>
      <c r="AD341" s="40">
        <f t="shared" si="154"/>
        <v>0</v>
      </c>
      <c r="AE341" s="40">
        <f t="shared" si="155"/>
        <v>0</v>
      </c>
      <c r="AF341" s="40">
        <f t="shared" si="156"/>
        <v>0</v>
      </c>
      <c r="AG341" s="40">
        <f t="shared" si="157"/>
        <v>0</v>
      </c>
      <c r="AH341" s="40">
        <f t="shared" si="158"/>
        <v>0</v>
      </c>
      <c r="AI341" s="40">
        <f t="shared" si="159"/>
        <v>0</v>
      </c>
      <c r="AJ341" s="40">
        <f t="shared" si="160"/>
        <v>0</v>
      </c>
      <c r="AK341" s="40">
        <f t="shared" si="161"/>
        <v>0</v>
      </c>
      <c r="AL341" s="40">
        <f t="shared" si="162"/>
        <v>1</v>
      </c>
      <c r="AM341" s="40">
        <f t="shared" si="163"/>
        <v>0</v>
      </c>
      <c r="AN341" s="40">
        <f t="shared" si="164"/>
        <v>0</v>
      </c>
      <c r="AO341" s="40">
        <f t="shared" si="165"/>
        <v>0</v>
      </c>
      <c r="AP341" s="40">
        <f t="shared" si="166"/>
        <v>0</v>
      </c>
      <c r="AQ341" s="40">
        <f t="shared" si="167"/>
        <v>0</v>
      </c>
      <c r="AR341" s="40">
        <f t="shared" si="168"/>
        <v>0</v>
      </c>
      <c r="AS341" s="40">
        <f t="shared" si="169"/>
        <v>0</v>
      </c>
    </row>
    <row r="342" spans="2:45" s="2" customFormat="1" ht="14.4" customHeight="1" x14ac:dyDescent="0.25">
      <c r="B342" s="56" t="s">
        <v>41</v>
      </c>
      <c r="C342" s="57" t="s">
        <v>25</v>
      </c>
      <c r="D342" s="58" t="s">
        <v>24</v>
      </c>
      <c r="E342" s="62">
        <v>2.5199999999999997E-3</v>
      </c>
      <c r="F342" s="65">
        <f t="shared" si="170"/>
        <v>-5.9834963774588052</v>
      </c>
      <c r="S342" s="40">
        <f t="shared" si="143"/>
        <v>0</v>
      </c>
      <c r="T342" s="40">
        <f t="shared" si="144"/>
        <v>1</v>
      </c>
      <c r="U342" s="40">
        <f t="shared" si="145"/>
        <v>0</v>
      </c>
      <c r="V342" s="40">
        <f t="shared" si="146"/>
        <v>0</v>
      </c>
      <c r="W342" s="40">
        <f t="shared" si="147"/>
        <v>0</v>
      </c>
      <c r="X342" s="40">
        <f t="shared" si="148"/>
        <v>0</v>
      </c>
      <c r="Y342" s="40">
        <f t="shared" si="149"/>
        <v>0</v>
      </c>
      <c r="Z342" s="40">
        <f t="shared" si="150"/>
        <v>0</v>
      </c>
      <c r="AA342" s="40">
        <f t="shared" si="151"/>
        <v>0</v>
      </c>
      <c r="AB342" s="40">
        <f t="shared" si="152"/>
        <v>1</v>
      </c>
      <c r="AC342" s="40">
        <f t="shared" si="153"/>
        <v>0</v>
      </c>
      <c r="AD342" s="40">
        <f t="shared" si="154"/>
        <v>0</v>
      </c>
      <c r="AE342" s="40">
        <f t="shared" si="155"/>
        <v>0</v>
      </c>
      <c r="AF342" s="40">
        <f t="shared" si="156"/>
        <v>0</v>
      </c>
      <c r="AG342" s="40">
        <f t="shared" si="157"/>
        <v>0</v>
      </c>
      <c r="AH342" s="40">
        <f t="shared" si="158"/>
        <v>0</v>
      </c>
      <c r="AI342" s="40">
        <f t="shared" si="159"/>
        <v>0</v>
      </c>
      <c r="AJ342" s="40">
        <f t="shared" si="160"/>
        <v>0</v>
      </c>
      <c r="AK342" s="40">
        <f t="shared" si="161"/>
        <v>0</v>
      </c>
      <c r="AL342" s="40">
        <f t="shared" si="162"/>
        <v>1</v>
      </c>
      <c r="AM342" s="40">
        <f t="shared" si="163"/>
        <v>0</v>
      </c>
      <c r="AN342" s="40">
        <f t="shared" si="164"/>
        <v>0</v>
      </c>
      <c r="AO342" s="40">
        <f t="shared" si="165"/>
        <v>0</v>
      </c>
      <c r="AP342" s="40">
        <f t="shared" si="166"/>
        <v>0</v>
      </c>
      <c r="AQ342" s="40">
        <f t="shared" si="167"/>
        <v>0</v>
      </c>
      <c r="AR342" s="40">
        <f t="shared" si="168"/>
        <v>0</v>
      </c>
      <c r="AS342" s="40">
        <f t="shared" si="169"/>
        <v>0</v>
      </c>
    </row>
    <row r="343" spans="2:45" s="2" customFormat="1" ht="14.4" customHeight="1" x14ac:dyDescent="0.25">
      <c r="B343" s="56" t="s">
        <v>41</v>
      </c>
      <c r="C343" s="57" t="s">
        <v>25</v>
      </c>
      <c r="D343" s="58" t="s">
        <v>24</v>
      </c>
      <c r="E343" s="62">
        <v>2.2800000000000003E-3</v>
      </c>
      <c r="F343" s="65">
        <f t="shared" si="170"/>
        <v>-6.0835798360157876</v>
      </c>
      <c r="S343" s="40">
        <f t="shared" si="143"/>
        <v>0</v>
      </c>
      <c r="T343" s="40">
        <f t="shared" si="144"/>
        <v>1</v>
      </c>
      <c r="U343" s="40">
        <f t="shared" si="145"/>
        <v>0</v>
      </c>
      <c r="V343" s="40">
        <f t="shared" si="146"/>
        <v>0</v>
      </c>
      <c r="W343" s="40">
        <f t="shared" si="147"/>
        <v>0</v>
      </c>
      <c r="X343" s="40">
        <f t="shared" si="148"/>
        <v>0</v>
      </c>
      <c r="Y343" s="40">
        <f t="shared" si="149"/>
        <v>0</v>
      </c>
      <c r="Z343" s="40">
        <f t="shared" si="150"/>
        <v>0</v>
      </c>
      <c r="AA343" s="40">
        <f t="shared" si="151"/>
        <v>0</v>
      </c>
      <c r="AB343" s="40">
        <f t="shared" si="152"/>
        <v>0</v>
      </c>
      <c r="AC343" s="40">
        <f t="shared" si="153"/>
        <v>0</v>
      </c>
      <c r="AD343" s="40">
        <f t="shared" si="154"/>
        <v>0</v>
      </c>
      <c r="AE343" s="40">
        <f t="shared" si="155"/>
        <v>0</v>
      </c>
      <c r="AF343" s="40">
        <f t="shared" si="156"/>
        <v>1</v>
      </c>
      <c r="AG343" s="40">
        <f t="shared" si="157"/>
        <v>0</v>
      </c>
      <c r="AH343" s="40">
        <f t="shared" si="158"/>
        <v>0</v>
      </c>
      <c r="AI343" s="40">
        <f t="shared" si="159"/>
        <v>0</v>
      </c>
      <c r="AJ343" s="40">
        <f t="shared" si="160"/>
        <v>0</v>
      </c>
      <c r="AK343" s="40">
        <f t="shared" si="161"/>
        <v>0</v>
      </c>
      <c r="AL343" s="40">
        <f t="shared" si="162"/>
        <v>1</v>
      </c>
      <c r="AM343" s="40">
        <f t="shared" si="163"/>
        <v>0</v>
      </c>
      <c r="AN343" s="40">
        <f t="shared" si="164"/>
        <v>0</v>
      </c>
      <c r="AO343" s="40">
        <f t="shared" si="165"/>
        <v>0</v>
      </c>
      <c r="AP343" s="40">
        <f t="shared" si="166"/>
        <v>0</v>
      </c>
      <c r="AQ343" s="40">
        <f t="shared" si="167"/>
        <v>0</v>
      </c>
      <c r="AR343" s="40">
        <f t="shared" si="168"/>
        <v>0</v>
      </c>
      <c r="AS343" s="40">
        <f t="shared" si="169"/>
        <v>0</v>
      </c>
    </row>
    <row r="344" spans="2:45" s="2" customFormat="1" ht="14.4" customHeight="1" x14ac:dyDescent="0.25">
      <c r="B344" s="56" t="s">
        <v>41</v>
      </c>
      <c r="C344" s="57" t="s">
        <v>26</v>
      </c>
      <c r="D344" s="58" t="s">
        <v>24</v>
      </c>
      <c r="E344" s="62">
        <v>5.7300000000000007E-3</v>
      </c>
      <c r="F344" s="65">
        <f t="shared" si="170"/>
        <v>-5.1620397482554887</v>
      </c>
      <c r="S344" s="40">
        <f t="shared" si="143"/>
        <v>0</v>
      </c>
      <c r="T344" s="40">
        <f t="shared" si="144"/>
        <v>1</v>
      </c>
      <c r="U344" s="40">
        <f t="shared" si="145"/>
        <v>0</v>
      </c>
      <c r="V344" s="40">
        <f t="shared" si="146"/>
        <v>0</v>
      </c>
      <c r="W344" s="40">
        <f t="shared" si="147"/>
        <v>0</v>
      </c>
      <c r="X344" s="40">
        <f t="shared" si="148"/>
        <v>0</v>
      </c>
      <c r="Y344" s="40">
        <f t="shared" si="149"/>
        <v>0</v>
      </c>
      <c r="Z344" s="40">
        <f t="shared" si="150"/>
        <v>0</v>
      </c>
      <c r="AA344" s="40">
        <f t="shared" si="151"/>
        <v>0</v>
      </c>
      <c r="AB344" s="40">
        <f t="shared" si="152"/>
        <v>0</v>
      </c>
      <c r="AC344" s="40">
        <f t="shared" si="153"/>
        <v>1</v>
      </c>
      <c r="AD344" s="40">
        <f t="shared" si="154"/>
        <v>0</v>
      </c>
      <c r="AE344" s="40">
        <f t="shared" si="155"/>
        <v>0</v>
      </c>
      <c r="AF344" s="40">
        <f t="shared" si="156"/>
        <v>0</v>
      </c>
      <c r="AG344" s="40">
        <f t="shared" si="157"/>
        <v>0</v>
      </c>
      <c r="AH344" s="40">
        <f t="shared" si="158"/>
        <v>0</v>
      </c>
      <c r="AI344" s="40">
        <f t="shared" si="159"/>
        <v>1</v>
      </c>
      <c r="AJ344" s="40">
        <f t="shared" si="160"/>
        <v>0</v>
      </c>
      <c r="AK344" s="40">
        <f t="shared" si="161"/>
        <v>0</v>
      </c>
      <c r="AL344" s="40">
        <f t="shared" si="162"/>
        <v>0</v>
      </c>
      <c r="AM344" s="40">
        <f t="shared" si="163"/>
        <v>0</v>
      </c>
      <c r="AN344" s="40">
        <f t="shared" si="164"/>
        <v>0</v>
      </c>
      <c r="AO344" s="40">
        <f t="shared" si="165"/>
        <v>0</v>
      </c>
      <c r="AP344" s="40">
        <f t="shared" si="166"/>
        <v>0</v>
      </c>
      <c r="AQ344" s="40">
        <f t="shared" si="167"/>
        <v>0</v>
      </c>
      <c r="AR344" s="40">
        <f t="shared" si="168"/>
        <v>0</v>
      </c>
      <c r="AS344" s="40">
        <f t="shared" si="169"/>
        <v>0</v>
      </c>
    </row>
    <row r="345" spans="2:45" s="2" customFormat="1" ht="14.4" customHeight="1" x14ac:dyDescent="0.25">
      <c r="B345" s="56" t="s">
        <v>41</v>
      </c>
      <c r="C345" s="57" t="s">
        <v>23</v>
      </c>
      <c r="D345" s="58" t="s">
        <v>28</v>
      </c>
      <c r="E345" s="62">
        <v>1.7500000000000005E-3</v>
      </c>
      <c r="F345" s="65">
        <f t="shared" si="170"/>
        <v>-6.3481394910467142</v>
      </c>
      <c r="S345" s="40">
        <f t="shared" si="143"/>
        <v>0</v>
      </c>
      <c r="T345" s="40">
        <f t="shared" si="144"/>
        <v>1</v>
      </c>
      <c r="U345" s="40">
        <f t="shared" si="145"/>
        <v>0</v>
      </c>
      <c r="V345" s="40">
        <f t="shared" si="146"/>
        <v>0</v>
      </c>
      <c r="W345" s="40">
        <f t="shared" si="147"/>
        <v>0</v>
      </c>
      <c r="X345" s="40">
        <f t="shared" si="148"/>
        <v>0</v>
      </c>
      <c r="Y345" s="40">
        <f t="shared" si="149"/>
        <v>0</v>
      </c>
      <c r="Z345" s="40">
        <f t="shared" si="150"/>
        <v>0</v>
      </c>
      <c r="AA345" s="40">
        <f t="shared" si="151"/>
        <v>0</v>
      </c>
      <c r="AB345" s="40">
        <f t="shared" si="152"/>
        <v>1</v>
      </c>
      <c r="AC345" s="40">
        <f t="shared" si="153"/>
        <v>0</v>
      </c>
      <c r="AD345" s="40">
        <f t="shared" si="154"/>
        <v>0</v>
      </c>
      <c r="AE345" s="40">
        <f t="shared" si="155"/>
        <v>0</v>
      </c>
      <c r="AF345" s="40">
        <f t="shared" si="156"/>
        <v>0</v>
      </c>
      <c r="AG345" s="40">
        <f t="shared" si="157"/>
        <v>0</v>
      </c>
      <c r="AH345" s="40">
        <f t="shared" si="158"/>
        <v>0</v>
      </c>
      <c r="AI345" s="40">
        <f t="shared" si="159"/>
        <v>0</v>
      </c>
      <c r="AJ345" s="40">
        <f t="shared" si="160"/>
        <v>0</v>
      </c>
      <c r="AK345" s="40">
        <f t="shared" si="161"/>
        <v>0</v>
      </c>
      <c r="AL345" s="40">
        <f t="shared" si="162"/>
        <v>0</v>
      </c>
      <c r="AM345" s="40">
        <f t="shared" si="163"/>
        <v>1</v>
      </c>
      <c r="AN345" s="40">
        <f t="shared" si="164"/>
        <v>0</v>
      </c>
      <c r="AO345" s="40">
        <f t="shared" si="165"/>
        <v>0</v>
      </c>
      <c r="AP345" s="40">
        <f t="shared" si="166"/>
        <v>0</v>
      </c>
      <c r="AQ345" s="40">
        <f t="shared" si="167"/>
        <v>0</v>
      </c>
      <c r="AR345" s="40">
        <f t="shared" si="168"/>
        <v>0</v>
      </c>
      <c r="AS345" s="40">
        <f t="shared" si="169"/>
        <v>0</v>
      </c>
    </row>
    <row r="346" spans="2:45" s="2" customFormat="1" ht="14.4" customHeight="1" x14ac:dyDescent="0.25">
      <c r="B346" s="56" t="s">
        <v>41</v>
      </c>
      <c r="C346" s="57" t="s">
        <v>25</v>
      </c>
      <c r="D346" s="58" t="s">
        <v>35</v>
      </c>
      <c r="E346" s="62">
        <v>3.4300000000000008E-3</v>
      </c>
      <c r="F346" s="65">
        <f t="shared" si="170"/>
        <v>-5.6751950178042883</v>
      </c>
      <c r="S346" s="40">
        <f t="shared" si="143"/>
        <v>0</v>
      </c>
      <c r="T346" s="40">
        <f t="shared" si="144"/>
        <v>1</v>
      </c>
      <c r="U346" s="40">
        <f t="shared" si="145"/>
        <v>0</v>
      </c>
      <c r="V346" s="40">
        <f t="shared" si="146"/>
        <v>0</v>
      </c>
      <c r="W346" s="40">
        <f t="shared" si="147"/>
        <v>0</v>
      </c>
      <c r="X346" s="40">
        <f t="shared" si="148"/>
        <v>0</v>
      </c>
      <c r="Y346" s="40">
        <f t="shared" si="149"/>
        <v>0</v>
      </c>
      <c r="Z346" s="40">
        <f t="shared" si="150"/>
        <v>1</v>
      </c>
      <c r="AA346" s="40">
        <f t="shared" si="151"/>
        <v>0</v>
      </c>
      <c r="AB346" s="40">
        <f t="shared" si="152"/>
        <v>0</v>
      </c>
      <c r="AC346" s="40">
        <f t="shared" si="153"/>
        <v>0</v>
      </c>
      <c r="AD346" s="40">
        <f t="shared" si="154"/>
        <v>0</v>
      </c>
      <c r="AE346" s="40">
        <f t="shared" si="155"/>
        <v>0</v>
      </c>
      <c r="AF346" s="40">
        <f t="shared" si="156"/>
        <v>0</v>
      </c>
      <c r="AG346" s="40">
        <f t="shared" si="157"/>
        <v>0</v>
      </c>
      <c r="AH346" s="40">
        <f t="shared" si="158"/>
        <v>0</v>
      </c>
      <c r="AI346" s="40">
        <f t="shared" si="159"/>
        <v>0</v>
      </c>
      <c r="AJ346" s="40">
        <f t="shared" si="160"/>
        <v>0</v>
      </c>
      <c r="AK346" s="40">
        <f t="shared" si="161"/>
        <v>0</v>
      </c>
      <c r="AL346" s="40">
        <f t="shared" si="162"/>
        <v>1</v>
      </c>
      <c r="AM346" s="40">
        <f t="shared" si="163"/>
        <v>0</v>
      </c>
      <c r="AN346" s="40">
        <f t="shared" si="164"/>
        <v>0</v>
      </c>
      <c r="AO346" s="40">
        <f t="shared" si="165"/>
        <v>0</v>
      </c>
      <c r="AP346" s="40">
        <f t="shared" si="166"/>
        <v>0</v>
      </c>
      <c r="AQ346" s="40">
        <f t="shared" si="167"/>
        <v>0</v>
      </c>
      <c r="AR346" s="40">
        <f t="shared" si="168"/>
        <v>0</v>
      </c>
      <c r="AS346" s="40">
        <f t="shared" si="169"/>
        <v>0</v>
      </c>
    </row>
    <row r="347" spans="2:45" s="2" customFormat="1" ht="14.4" customHeight="1" x14ac:dyDescent="0.25">
      <c r="B347" s="56" t="s">
        <v>41</v>
      </c>
      <c r="C347" s="57" t="s">
        <v>36</v>
      </c>
      <c r="D347" s="58" t="s">
        <v>24</v>
      </c>
      <c r="E347" s="62">
        <v>4.9199999999999982E-3</v>
      </c>
      <c r="F347" s="65">
        <f t="shared" si="170"/>
        <v>-5.3144467484779208</v>
      </c>
      <c r="S347" s="40">
        <f t="shared" si="143"/>
        <v>0</v>
      </c>
      <c r="T347" s="40">
        <f t="shared" si="144"/>
        <v>1</v>
      </c>
      <c r="U347" s="40">
        <f t="shared" si="145"/>
        <v>0</v>
      </c>
      <c r="V347" s="40">
        <f t="shared" si="146"/>
        <v>0</v>
      </c>
      <c r="W347" s="40">
        <f t="shared" si="147"/>
        <v>0</v>
      </c>
      <c r="X347" s="40">
        <f t="shared" si="148"/>
        <v>0</v>
      </c>
      <c r="Y347" s="40">
        <f t="shared" si="149"/>
        <v>0</v>
      </c>
      <c r="Z347" s="40">
        <f t="shared" si="150"/>
        <v>0</v>
      </c>
      <c r="AA347" s="40">
        <f t="shared" si="151"/>
        <v>0</v>
      </c>
      <c r="AB347" s="40">
        <f t="shared" si="152"/>
        <v>0</v>
      </c>
      <c r="AC347" s="40">
        <f t="shared" si="153"/>
        <v>0</v>
      </c>
      <c r="AD347" s="40">
        <f t="shared" si="154"/>
        <v>0</v>
      </c>
      <c r="AE347" s="40">
        <f t="shared" si="155"/>
        <v>0</v>
      </c>
      <c r="AF347" s="40">
        <f t="shared" si="156"/>
        <v>1</v>
      </c>
      <c r="AG347" s="40">
        <f t="shared" si="157"/>
        <v>0</v>
      </c>
      <c r="AH347" s="40">
        <f t="shared" si="158"/>
        <v>0</v>
      </c>
      <c r="AI347" s="40">
        <f t="shared" si="159"/>
        <v>0</v>
      </c>
      <c r="AJ347" s="40">
        <f t="shared" si="160"/>
        <v>0</v>
      </c>
      <c r="AK347" s="40">
        <f t="shared" si="161"/>
        <v>1</v>
      </c>
      <c r="AL347" s="40">
        <f t="shared" si="162"/>
        <v>0</v>
      </c>
      <c r="AM347" s="40">
        <f t="shared" si="163"/>
        <v>0</v>
      </c>
      <c r="AN347" s="40">
        <f t="shared" si="164"/>
        <v>0</v>
      </c>
      <c r="AO347" s="40">
        <f t="shared" si="165"/>
        <v>0</v>
      </c>
      <c r="AP347" s="40">
        <f t="shared" si="166"/>
        <v>0</v>
      </c>
      <c r="AQ347" s="40">
        <f t="shared" si="167"/>
        <v>0</v>
      </c>
      <c r="AR347" s="40">
        <f t="shared" si="168"/>
        <v>0</v>
      </c>
      <c r="AS347" s="40">
        <f t="shared" si="169"/>
        <v>0</v>
      </c>
    </row>
    <row r="348" spans="2:45" s="2" customFormat="1" ht="14.4" customHeight="1" x14ac:dyDescent="0.25">
      <c r="B348" s="56" t="s">
        <v>41</v>
      </c>
      <c r="C348" s="57" t="s">
        <v>26</v>
      </c>
      <c r="D348" s="58" t="s">
        <v>32</v>
      </c>
      <c r="E348" s="62">
        <v>4.1100000000000008E-3</v>
      </c>
      <c r="F348" s="65">
        <f t="shared" si="170"/>
        <v>-5.4943322504739935</v>
      </c>
      <c r="S348" s="40">
        <f t="shared" si="143"/>
        <v>0</v>
      </c>
      <c r="T348" s="40">
        <f t="shared" si="144"/>
        <v>1</v>
      </c>
      <c r="U348" s="40">
        <f t="shared" si="145"/>
        <v>0</v>
      </c>
      <c r="V348" s="40">
        <f t="shared" si="146"/>
        <v>0</v>
      </c>
      <c r="W348" s="40">
        <f t="shared" si="147"/>
        <v>0</v>
      </c>
      <c r="X348" s="40">
        <f t="shared" si="148"/>
        <v>0</v>
      </c>
      <c r="Y348" s="40">
        <f t="shared" si="149"/>
        <v>0</v>
      </c>
      <c r="Z348" s="40">
        <f t="shared" si="150"/>
        <v>0</v>
      </c>
      <c r="AA348" s="40">
        <f t="shared" si="151"/>
        <v>0</v>
      </c>
      <c r="AB348" s="40">
        <f t="shared" si="152"/>
        <v>0</v>
      </c>
      <c r="AC348" s="40">
        <f t="shared" si="153"/>
        <v>0</v>
      </c>
      <c r="AD348" s="40">
        <f t="shared" si="154"/>
        <v>0</v>
      </c>
      <c r="AE348" s="40">
        <f t="shared" si="155"/>
        <v>0</v>
      </c>
      <c r="AF348" s="40">
        <f t="shared" si="156"/>
        <v>1</v>
      </c>
      <c r="AG348" s="40">
        <f t="shared" si="157"/>
        <v>0</v>
      </c>
      <c r="AH348" s="40">
        <f t="shared" si="158"/>
        <v>0</v>
      </c>
      <c r="AI348" s="40">
        <f t="shared" si="159"/>
        <v>0</v>
      </c>
      <c r="AJ348" s="40">
        <f t="shared" si="160"/>
        <v>1</v>
      </c>
      <c r="AK348" s="40">
        <f t="shared" si="161"/>
        <v>0</v>
      </c>
      <c r="AL348" s="40">
        <f t="shared" si="162"/>
        <v>0</v>
      </c>
      <c r="AM348" s="40">
        <f t="shared" si="163"/>
        <v>0</v>
      </c>
      <c r="AN348" s="40">
        <f t="shared" si="164"/>
        <v>0</v>
      </c>
      <c r="AO348" s="40">
        <f t="shared" si="165"/>
        <v>0</v>
      </c>
      <c r="AP348" s="40">
        <f t="shared" si="166"/>
        <v>0</v>
      </c>
      <c r="AQ348" s="40">
        <f t="shared" si="167"/>
        <v>0</v>
      </c>
      <c r="AR348" s="40">
        <f t="shared" si="168"/>
        <v>0</v>
      </c>
      <c r="AS348" s="40">
        <f t="shared" si="169"/>
        <v>0</v>
      </c>
    </row>
    <row r="349" spans="2:45" s="2" customFormat="1" ht="14.4" customHeight="1" x14ac:dyDescent="0.25">
      <c r="B349" s="56" t="s">
        <v>41</v>
      </c>
      <c r="C349" s="57" t="s">
        <v>26</v>
      </c>
      <c r="D349" s="58" t="s">
        <v>37</v>
      </c>
      <c r="E349" s="62">
        <v>2.4500000000000004E-3</v>
      </c>
      <c r="F349" s="65">
        <f t="shared" si="170"/>
        <v>-6.0116672544255012</v>
      </c>
      <c r="S349" s="40">
        <f t="shared" si="143"/>
        <v>0</v>
      </c>
      <c r="T349" s="40">
        <f t="shared" si="144"/>
        <v>1</v>
      </c>
      <c r="U349" s="40">
        <f t="shared" si="145"/>
        <v>0</v>
      </c>
      <c r="V349" s="40">
        <f t="shared" si="146"/>
        <v>0</v>
      </c>
      <c r="W349" s="40">
        <f t="shared" si="147"/>
        <v>0</v>
      </c>
      <c r="X349" s="40">
        <f t="shared" si="148"/>
        <v>0</v>
      </c>
      <c r="Y349" s="40">
        <f t="shared" si="149"/>
        <v>0</v>
      </c>
      <c r="Z349" s="40">
        <f t="shared" si="150"/>
        <v>0</v>
      </c>
      <c r="AA349" s="40">
        <f t="shared" si="151"/>
        <v>0</v>
      </c>
      <c r="AB349" s="40">
        <f t="shared" si="152"/>
        <v>0</v>
      </c>
      <c r="AC349" s="40">
        <f t="shared" si="153"/>
        <v>0</v>
      </c>
      <c r="AD349" s="40">
        <f t="shared" si="154"/>
        <v>0</v>
      </c>
      <c r="AE349" s="40">
        <f t="shared" si="155"/>
        <v>0</v>
      </c>
      <c r="AF349" s="40">
        <f t="shared" si="156"/>
        <v>1</v>
      </c>
      <c r="AG349" s="40">
        <f t="shared" si="157"/>
        <v>0</v>
      </c>
      <c r="AH349" s="40">
        <f t="shared" si="158"/>
        <v>0</v>
      </c>
      <c r="AI349" s="40">
        <f t="shared" si="159"/>
        <v>0</v>
      </c>
      <c r="AJ349" s="40">
        <f t="shared" si="160"/>
        <v>0</v>
      </c>
      <c r="AK349" s="40">
        <f t="shared" si="161"/>
        <v>0</v>
      </c>
      <c r="AL349" s="40">
        <f t="shared" si="162"/>
        <v>1</v>
      </c>
      <c r="AM349" s="40">
        <f t="shared" si="163"/>
        <v>0</v>
      </c>
      <c r="AN349" s="40">
        <f t="shared" si="164"/>
        <v>0</v>
      </c>
      <c r="AO349" s="40">
        <f t="shared" si="165"/>
        <v>0</v>
      </c>
      <c r="AP349" s="40">
        <f t="shared" si="166"/>
        <v>0</v>
      </c>
      <c r="AQ349" s="40">
        <f t="shared" si="167"/>
        <v>0</v>
      </c>
      <c r="AR349" s="40">
        <f t="shared" si="168"/>
        <v>0</v>
      </c>
      <c r="AS349" s="40">
        <f t="shared" si="169"/>
        <v>0</v>
      </c>
    </row>
    <row r="350" spans="2:45" s="2" customFormat="1" ht="14.4" customHeight="1" x14ac:dyDescent="0.25">
      <c r="B350" s="56" t="s">
        <v>41</v>
      </c>
      <c r="C350" s="57" t="s">
        <v>26</v>
      </c>
      <c r="D350" s="58" t="s">
        <v>24</v>
      </c>
      <c r="E350" s="62">
        <v>4.2799999999999982E-3</v>
      </c>
      <c r="F350" s="65">
        <f t="shared" si="170"/>
        <v>-5.453802269388432</v>
      </c>
      <c r="S350" s="40">
        <f t="shared" si="143"/>
        <v>0</v>
      </c>
      <c r="T350" s="40">
        <f t="shared" si="144"/>
        <v>1</v>
      </c>
      <c r="U350" s="40">
        <f t="shared" si="145"/>
        <v>0</v>
      </c>
      <c r="V350" s="40">
        <f t="shared" si="146"/>
        <v>0</v>
      </c>
      <c r="W350" s="40">
        <f t="shared" si="147"/>
        <v>0</v>
      </c>
      <c r="X350" s="40">
        <f t="shared" si="148"/>
        <v>0</v>
      </c>
      <c r="Y350" s="40">
        <f t="shared" si="149"/>
        <v>0</v>
      </c>
      <c r="Z350" s="40">
        <f t="shared" si="150"/>
        <v>0</v>
      </c>
      <c r="AA350" s="40">
        <f t="shared" si="151"/>
        <v>0</v>
      </c>
      <c r="AB350" s="40">
        <f t="shared" si="152"/>
        <v>0</v>
      </c>
      <c r="AC350" s="40">
        <f t="shared" si="153"/>
        <v>0</v>
      </c>
      <c r="AD350" s="40">
        <f t="shared" si="154"/>
        <v>0</v>
      </c>
      <c r="AE350" s="40">
        <f t="shared" si="155"/>
        <v>0</v>
      </c>
      <c r="AF350" s="40">
        <f t="shared" si="156"/>
        <v>0</v>
      </c>
      <c r="AG350" s="40">
        <f t="shared" si="157"/>
        <v>1</v>
      </c>
      <c r="AH350" s="40">
        <f t="shared" si="158"/>
        <v>0</v>
      </c>
      <c r="AI350" s="40">
        <f t="shared" si="159"/>
        <v>0</v>
      </c>
      <c r="AJ350" s="40">
        <f t="shared" si="160"/>
        <v>0</v>
      </c>
      <c r="AK350" s="40">
        <f t="shared" si="161"/>
        <v>0</v>
      </c>
      <c r="AL350" s="40">
        <f t="shared" si="162"/>
        <v>1</v>
      </c>
      <c r="AM350" s="40">
        <f t="shared" si="163"/>
        <v>0</v>
      </c>
      <c r="AN350" s="40">
        <f t="shared" si="164"/>
        <v>0</v>
      </c>
      <c r="AO350" s="40">
        <f t="shared" si="165"/>
        <v>0</v>
      </c>
      <c r="AP350" s="40">
        <f t="shared" si="166"/>
        <v>0</v>
      </c>
      <c r="AQ350" s="40">
        <f t="shared" si="167"/>
        <v>0</v>
      </c>
      <c r="AR350" s="40">
        <f t="shared" si="168"/>
        <v>0</v>
      </c>
      <c r="AS350" s="40">
        <f t="shared" si="169"/>
        <v>0</v>
      </c>
    </row>
    <row r="351" spans="2:45" s="2" customFormat="1" ht="14.4" customHeight="1" x14ac:dyDescent="0.25">
      <c r="B351" s="56" t="s">
        <v>41</v>
      </c>
      <c r="C351" s="57" t="s">
        <v>38</v>
      </c>
      <c r="D351" s="58" t="s">
        <v>24</v>
      </c>
      <c r="E351" s="62">
        <v>3.9399999999999999E-3</v>
      </c>
      <c r="F351" s="65">
        <f t="shared" si="170"/>
        <v>-5.5365745556722947</v>
      </c>
      <c r="S351" s="40">
        <f t="shared" si="143"/>
        <v>0</v>
      </c>
      <c r="T351" s="40">
        <f t="shared" si="144"/>
        <v>1</v>
      </c>
      <c r="U351" s="40">
        <f t="shared" si="145"/>
        <v>0</v>
      </c>
      <c r="V351" s="40">
        <f t="shared" si="146"/>
        <v>0</v>
      </c>
      <c r="W351" s="40">
        <f t="shared" si="147"/>
        <v>0</v>
      </c>
      <c r="X351" s="40">
        <f t="shared" si="148"/>
        <v>0</v>
      </c>
      <c r="Y351" s="40">
        <f t="shared" si="149"/>
        <v>0</v>
      </c>
      <c r="Z351" s="40">
        <f t="shared" si="150"/>
        <v>0</v>
      </c>
      <c r="AA351" s="40">
        <f t="shared" si="151"/>
        <v>0</v>
      </c>
      <c r="AB351" s="40">
        <f t="shared" si="152"/>
        <v>1</v>
      </c>
      <c r="AC351" s="40">
        <f t="shared" si="153"/>
        <v>0</v>
      </c>
      <c r="AD351" s="40">
        <f t="shared" si="154"/>
        <v>0</v>
      </c>
      <c r="AE351" s="40">
        <f t="shared" si="155"/>
        <v>0</v>
      </c>
      <c r="AF351" s="40">
        <f t="shared" si="156"/>
        <v>0</v>
      </c>
      <c r="AG351" s="40">
        <f t="shared" si="157"/>
        <v>0</v>
      </c>
      <c r="AH351" s="40">
        <f t="shared" si="158"/>
        <v>0</v>
      </c>
      <c r="AI351" s="40">
        <f t="shared" si="159"/>
        <v>0</v>
      </c>
      <c r="AJ351" s="40">
        <f t="shared" si="160"/>
        <v>0</v>
      </c>
      <c r="AK351" s="40">
        <f t="shared" si="161"/>
        <v>0</v>
      </c>
      <c r="AL351" s="40">
        <f t="shared" si="162"/>
        <v>0</v>
      </c>
      <c r="AM351" s="40">
        <f t="shared" si="163"/>
        <v>1</v>
      </c>
      <c r="AN351" s="40">
        <f t="shared" si="164"/>
        <v>0</v>
      </c>
      <c r="AO351" s="40">
        <f t="shared" si="165"/>
        <v>0</v>
      </c>
      <c r="AP351" s="40">
        <f t="shared" si="166"/>
        <v>0</v>
      </c>
      <c r="AQ351" s="40">
        <f t="shared" si="167"/>
        <v>0</v>
      </c>
      <c r="AR351" s="40">
        <f t="shared" si="168"/>
        <v>0</v>
      </c>
      <c r="AS351" s="40">
        <f t="shared" si="169"/>
        <v>0</v>
      </c>
    </row>
    <row r="352" spans="2:45" s="2" customFormat="1" ht="14.4" customHeight="1" x14ac:dyDescent="0.25">
      <c r="B352" s="56" t="s">
        <v>41</v>
      </c>
      <c r="C352" s="57" t="s">
        <v>25</v>
      </c>
      <c r="D352" s="58" t="s">
        <v>35</v>
      </c>
      <c r="E352" s="62">
        <v>1.7799999999999995E-3</v>
      </c>
      <c r="F352" s="65">
        <f t="shared" si="170"/>
        <v>-6.3311419146781436</v>
      </c>
      <c r="S352" s="40">
        <f t="shared" si="143"/>
        <v>0</v>
      </c>
      <c r="T352" s="40">
        <f t="shared" si="144"/>
        <v>1</v>
      </c>
      <c r="U352" s="40">
        <f t="shared" si="145"/>
        <v>0</v>
      </c>
      <c r="V352" s="40">
        <f t="shared" si="146"/>
        <v>0</v>
      </c>
      <c r="W352" s="40">
        <f t="shared" si="147"/>
        <v>0</v>
      </c>
      <c r="X352" s="40">
        <f t="shared" si="148"/>
        <v>0</v>
      </c>
      <c r="Y352" s="40">
        <f t="shared" si="149"/>
        <v>0</v>
      </c>
      <c r="Z352" s="40">
        <f t="shared" si="150"/>
        <v>0</v>
      </c>
      <c r="AA352" s="40">
        <f t="shared" si="151"/>
        <v>0</v>
      </c>
      <c r="AB352" s="40">
        <f t="shared" si="152"/>
        <v>1</v>
      </c>
      <c r="AC352" s="40">
        <f t="shared" si="153"/>
        <v>0</v>
      </c>
      <c r="AD352" s="40">
        <f t="shared" si="154"/>
        <v>0</v>
      </c>
      <c r="AE352" s="40">
        <f t="shared" si="155"/>
        <v>0</v>
      </c>
      <c r="AF352" s="40">
        <f t="shared" si="156"/>
        <v>0</v>
      </c>
      <c r="AG352" s="40">
        <f t="shared" si="157"/>
        <v>0</v>
      </c>
      <c r="AH352" s="40">
        <f t="shared" si="158"/>
        <v>0</v>
      </c>
      <c r="AI352" s="40">
        <f t="shared" si="159"/>
        <v>0</v>
      </c>
      <c r="AJ352" s="40">
        <f t="shared" si="160"/>
        <v>0</v>
      </c>
      <c r="AK352" s="40">
        <f t="shared" si="161"/>
        <v>0</v>
      </c>
      <c r="AL352" s="40">
        <f t="shared" si="162"/>
        <v>0</v>
      </c>
      <c r="AM352" s="40">
        <f t="shared" si="163"/>
        <v>1</v>
      </c>
      <c r="AN352" s="40">
        <f t="shared" si="164"/>
        <v>0</v>
      </c>
      <c r="AO352" s="40">
        <f t="shared" si="165"/>
        <v>0</v>
      </c>
      <c r="AP352" s="40">
        <f t="shared" si="166"/>
        <v>0</v>
      </c>
      <c r="AQ352" s="40">
        <f t="shared" si="167"/>
        <v>0</v>
      </c>
      <c r="AR352" s="40">
        <f t="shared" si="168"/>
        <v>0</v>
      </c>
      <c r="AS352" s="40">
        <f t="shared" si="169"/>
        <v>0</v>
      </c>
    </row>
    <row r="353" spans="2:45" s="2" customFormat="1" ht="14.4" customHeight="1" x14ac:dyDescent="0.25">
      <c r="B353" s="56" t="s">
        <v>41</v>
      </c>
      <c r="C353" s="57" t="s">
        <v>25</v>
      </c>
      <c r="D353" s="58" t="s">
        <v>35</v>
      </c>
      <c r="E353" s="62">
        <v>1.8699999999999999E-3</v>
      </c>
      <c r="F353" s="65">
        <f t="shared" si="170"/>
        <v>-6.2818168481156418</v>
      </c>
      <c r="S353" s="40">
        <f t="shared" si="143"/>
        <v>0</v>
      </c>
      <c r="T353" s="40">
        <f t="shared" si="144"/>
        <v>1</v>
      </c>
      <c r="U353" s="40">
        <f t="shared" si="145"/>
        <v>0</v>
      </c>
      <c r="V353" s="40">
        <f t="shared" si="146"/>
        <v>0</v>
      </c>
      <c r="W353" s="40">
        <f t="shared" si="147"/>
        <v>0</v>
      </c>
      <c r="X353" s="40">
        <f t="shared" si="148"/>
        <v>0</v>
      </c>
      <c r="Y353" s="40">
        <f t="shared" si="149"/>
        <v>0</v>
      </c>
      <c r="Z353" s="40">
        <f t="shared" si="150"/>
        <v>0</v>
      </c>
      <c r="AA353" s="40">
        <f t="shared" si="151"/>
        <v>0</v>
      </c>
      <c r="AB353" s="40">
        <f t="shared" si="152"/>
        <v>0</v>
      </c>
      <c r="AC353" s="40">
        <f t="shared" si="153"/>
        <v>0</v>
      </c>
      <c r="AD353" s="40">
        <f t="shared" si="154"/>
        <v>0</v>
      </c>
      <c r="AE353" s="40">
        <f t="shared" si="155"/>
        <v>0</v>
      </c>
      <c r="AF353" s="40">
        <f t="shared" si="156"/>
        <v>1</v>
      </c>
      <c r="AG353" s="40">
        <f t="shared" si="157"/>
        <v>0</v>
      </c>
      <c r="AH353" s="40">
        <f t="shared" si="158"/>
        <v>0</v>
      </c>
      <c r="AI353" s="40">
        <f t="shared" si="159"/>
        <v>0</v>
      </c>
      <c r="AJ353" s="40">
        <f t="shared" si="160"/>
        <v>0</v>
      </c>
      <c r="AK353" s="40">
        <f t="shared" si="161"/>
        <v>0</v>
      </c>
      <c r="AL353" s="40">
        <f t="shared" si="162"/>
        <v>1</v>
      </c>
      <c r="AM353" s="40">
        <f t="shared" si="163"/>
        <v>0</v>
      </c>
      <c r="AN353" s="40">
        <f t="shared" si="164"/>
        <v>0</v>
      </c>
      <c r="AO353" s="40">
        <f t="shared" si="165"/>
        <v>0</v>
      </c>
      <c r="AP353" s="40">
        <f t="shared" si="166"/>
        <v>0</v>
      </c>
      <c r="AQ353" s="40">
        <f t="shared" si="167"/>
        <v>0</v>
      </c>
      <c r="AR353" s="40">
        <f t="shared" si="168"/>
        <v>0</v>
      </c>
      <c r="AS353" s="40">
        <f t="shared" si="169"/>
        <v>0</v>
      </c>
    </row>
    <row r="354" spans="2:45" s="2" customFormat="1" ht="14.4" customHeight="1" x14ac:dyDescent="0.25">
      <c r="B354" s="56" t="s">
        <v>41</v>
      </c>
      <c r="C354" s="57" t="s">
        <v>26</v>
      </c>
      <c r="D354" s="58" t="s">
        <v>24</v>
      </c>
      <c r="E354" s="62">
        <v>5.3400000000000001E-3</v>
      </c>
      <c r="F354" s="65">
        <f t="shared" si="170"/>
        <v>-5.2325296260100336</v>
      </c>
      <c r="S354" s="40">
        <f t="shared" si="143"/>
        <v>0</v>
      </c>
      <c r="T354" s="40">
        <f t="shared" si="144"/>
        <v>1</v>
      </c>
      <c r="U354" s="40">
        <f t="shared" si="145"/>
        <v>0</v>
      </c>
      <c r="V354" s="40">
        <f t="shared" si="146"/>
        <v>0</v>
      </c>
      <c r="W354" s="40">
        <f t="shared" si="147"/>
        <v>0</v>
      </c>
      <c r="X354" s="40">
        <f t="shared" si="148"/>
        <v>0</v>
      </c>
      <c r="Y354" s="40">
        <f t="shared" si="149"/>
        <v>0</v>
      </c>
      <c r="Z354" s="40">
        <f t="shared" si="150"/>
        <v>0</v>
      </c>
      <c r="AA354" s="40">
        <f t="shared" si="151"/>
        <v>0</v>
      </c>
      <c r="AB354" s="40">
        <f t="shared" si="152"/>
        <v>0</v>
      </c>
      <c r="AC354" s="40">
        <f t="shared" si="153"/>
        <v>0</v>
      </c>
      <c r="AD354" s="40">
        <f t="shared" si="154"/>
        <v>0</v>
      </c>
      <c r="AE354" s="40">
        <f t="shared" si="155"/>
        <v>0</v>
      </c>
      <c r="AF354" s="40">
        <f t="shared" si="156"/>
        <v>1</v>
      </c>
      <c r="AG354" s="40">
        <f t="shared" si="157"/>
        <v>0</v>
      </c>
      <c r="AH354" s="40">
        <f t="shared" si="158"/>
        <v>0</v>
      </c>
      <c r="AI354" s="40">
        <f t="shared" si="159"/>
        <v>0</v>
      </c>
      <c r="AJ354" s="40">
        <f t="shared" si="160"/>
        <v>0</v>
      </c>
      <c r="AK354" s="40">
        <f t="shared" si="161"/>
        <v>0</v>
      </c>
      <c r="AL354" s="40">
        <f t="shared" si="162"/>
        <v>1</v>
      </c>
      <c r="AM354" s="40">
        <f t="shared" si="163"/>
        <v>0</v>
      </c>
      <c r="AN354" s="40">
        <f t="shared" si="164"/>
        <v>0</v>
      </c>
      <c r="AO354" s="40">
        <f t="shared" si="165"/>
        <v>0</v>
      </c>
      <c r="AP354" s="40">
        <f t="shared" si="166"/>
        <v>0</v>
      </c>
      <c r="AQ354" s="40">
        <f t="shared" si="167"/>
        <v>0</v>
      </c>
      <c r="AR354" s="40">
        <f t="shared" si="168"/>
        <v>0</v>
      </c>
      <c r="AS354" s="40">
        <f t="shared" si="169"/>
        <v>0</v>
      </c>
    </row>
    <row r="355" spans="2:45" s="2" customFormat="1" ht="14.4" customHeight="1" x14ac:dyDescent="0.25">
      <c r="B355" s="56" t="s">
        <v>41</v>
      </c>
      <c r="C355" s="57" t="s">
        <v>26</v>
      </c>
      <c r="D355" s="58" t="s">
        <v>24</v>
      </c>
      <c r="E355" s="62">
        <v>5.1400000000000013E-3</v>
      </c>
      <c r="F355" s="65">
        <f t="shared" si="170"/>
        <v>-5.2707021995150631</v>
      </c>
      <c r="S355" s="40">
        <f t="shared" si="143"/>
        <v>0</v>
      </c>
      <c r="T355" s="40">
        <f t="shared" si="144"/>
        <v>1</v>
      </c>
      <c r="U355" s="40">
        <f t="shared" si="145"/>
        <v>0</v>
      </c>
      <c r="V355" s="40">
        <f t="shared" si="146"/>
        <v>0</v>
      </c>
      <c r="W355" s="40">
        <f t="shared" si="147"/>
        <v>0</v>
      </c>
      <c r="X355" s="40">
        <f t="shared" si="148"/>
        <v>0</v>
      </c>
      <c r="Y355" s="40">
        <f t="shared" si="149"/>
        <v>0</v>
      </c>
      <c r="Z355" s="40">
        <f t="shared" si="150"/>
        <v>0</v>
      </c>
      <c r="AA355" s="40">
        <f t="shared" si="151"/>
        <v>0</v>
      </c>
      <c r="AB355" s="40">
        <f t="shared" si="152"/>
        <v>1</v>
      </c>
      <c r="AC355" s="40">
        <f t="shared" si="153"/>
        <v>0</v>
      </c>
      <c r="AD355" s="40">
        <f t="shared" si="154"/>
        <v>0</v>
      </c>
      <c r="AE355" s="40">
        <f t="shared" si="155"/>
        <v>0</v>
      </c>
      <c r="AF355" s="40">
        <f t="shared" si="156"/>
        <v>0</v>
      </c>
      <c r="AG355" s="40">
        <f t="shared" si="157"/>
        <v>0</v>
      </c>
      <c r="AH355" s="40">
        <f t="shared" si="158"/>
        <v>0</v>
      </c>
      <c r="AI355" s="40">
        <f t="shared" si="159"/>
        <v>0</v>
      </c>
      <c r="AJ355" s="40">
        <f t="shared" si="160"/>
        <v>0</v>
      </c>
      <c r="AK355" s="40">
        <f t="shared" si="161"/>
        <v>0</v>
      </c>
      <c r="AL355" s="40">
        <f t="shared" si="162"/>
        <v>1</v>
      </c>
      <c r="AM355" s="40">
        <f t="shared" si="163"/>
        <v>0</v>
      </c>
      <c r="AN355" s="40">
        <f t="shared" si="164"/>
        <v>0</v>
      </c>
      <c r="AO355" s="40">
        <f t="shared" si="165"/>
        <v>0</v>
      </c>
      <c r="AP355" s="40">
        <f t="shared" si="166"/>
        <v>0</v>
      </c>
      <c r="AQ355" s="40">
        <f t="shared" si="167"/>
        <v>0</v>
      </c>
      <c r="AR355" s="40">
        <f t="shared" si="168"/>
        <v>0</v>
      </c>
      <c r="AS355" s="40">
        <f t="shared" si="169"/>
        <v>0</v>
      </c>
    </row>
    <row r="356" spans="2:45" s="2" customFormat="1" ht="14.4" customHeight="1" x14ac:dyDescent="0.25">
      <c r="B356" s="56" t="s">
        <v>41</v>
      </c>
      <c r="C356" s="57" t="s">
        <v>25</v>
      </c>
      <c r="D356" s="58" t="s">
        <v>24</v>
      </c>
      <c r="E356" s="62">
        <v>2.4099999999999989E-3</v>
      </c>
      <c r="F356" s="65">
        <f t="shared" si="170"/>
        <v>-6.0281285314795738</v>
      </c>
      <c r="S356" s="40">
        <f t="shared" si="143"/>
        <v>0</v>
      </c>
      <c r="T356" s="40">
        <f t="shared" si="144"/>
        <v>1</v>
      </c>
      <c r="U356" s="40">
        <f t="shared" si="145"/>
        <v>0</v>
      </c>
      <c r="V356" s="40">
        <f t="shared" si="146"/>
        <v>0</v>
      </c>
      <c r="W356" s="40">
        <f t="shared" si="147"/>
        <v>0</v>
      </c>
      <c r="X356" s="40">
        <f t="shared" si="148"/>
        <v>0</v>
      </c>
      <c r="Y356" s="40">
        <f t="shared" si="149"/>
        <v>0</v>
      </c>
      <c r="Z356" s="40">
        <f t="shared" si="150"/>
        <v>0</v>
      </c>
      <c r="AA356" s="40">
        <f t="shared" si="151"/>
        <v>0</v>
      </c>
      <c r="AB356" s="40">
        <f t="shared" si="152"/>
        <v>1</v>
      </c>
      <c r="AC356" s="40">
        <f t="shared" si="153"/>
        <v>0</v>
      </c>
      <c r="AD356" s="40">
        <f t="shared" si="154"/>
        <v>0</v>
      </c>
      <c r="AE356" s="40">
        <f t="shared" si="155"/>
        <v>0</v>
      </c>
      <c r="AF356" s="40">
        <f t="shared" si="156"/>
        <v>0</v>
      </c>
      <c r="AG356" s="40">
        <f t="shared" si="157"/>
        <v>0</v>
      </c>
      <c r="AH356" s="40">
        <f t="shared" si="158"/>
        <v>0</v>
      </c>
      <c r="AI356" s="40">
        <f t="shared" si="159"/>
        <v>1</v>
      </c>
      <c r="AJ356" s="40">
        <f t="shared" si="160"/>
        <v>0</v>
      </c>
      <c r="AK356" s="40">
        <f t="shared" si="161"/>
        <v>0</v>
      </c>
      <c r="AL356" s="40">
        <f t="shared" si="162"/>
        <v>0</v>
      </c>
      <c r="AM356" s="40">
        <f t="shared" si="163"/>
        <v>0</v>
      </c>
      <c r="AN356" s="40">
        <f t="shared" si="164"/>
        <v>0</v>
      </c>
      <c r="AO356" s="40">
        <f t="shared" si="165"/>
        <v>0</v>
      </c>
      <c r="AP356" s="40">
        <f t="shared" si="166"/>
        <v>0</v>
      </c>
      <c r="AQ356" s="40">
        <f t="shared" si="167"/>
        <v>0</v>
      </c>
      <c r="AR356" s="40">
        <f t="shared" si="168"/>
        <v>0</v>
      </c>
      <c r="AS356" s="40">
        <f t="shared" si="169"/>
        <v>0</v>
      </c>
    </row>
    <row r="357" spans="2:45" s="2" customFormat="1" ht="14.4" customHeight="1" x14ac:dyDescent="0.25">
      <c r="B357" s="56" t="s">
        <v>41</v>
      </c>
      <c r="C357" s="57" t="s">
        <v>25</v>
      </c>
      <c r="D357" s="58" t="s">
        <v>28</v>
      </c>
      <c r="E357" s="62">
        <v>3.4600000000000008E-3</v>
      </c>
      <c r="F357" s="65">
        <f t="shared" si="170"/>
        <v>-5.6664866899125039</v>
      </c>
      <c r="S357" s="40">
        <f t="shared" si="143"/>
        <v>0</v>
      </c>
      <c r="T357" s="40">
        <f t="shared" si="144"/>
        <v>1</v>
      </c>
      <c r="U357" s="40">
        <f t="shared" si="145"/>
        <v>0</v>
      </c>
      <c r="V357" s="40">
        <f t="shared" si="146"/>
        <v>0</v>
      </c>
      <c r="W357" s="40">
        <f t="shared" si="147"/>
        <v>0</v>
      </c>
      <c r="X357" s="40">
        <f t="shared" si="148"/>
        <v>0</v>
      </c>
      <c r="Y357" s="40">
        <f t="shared" si="149"/>
        <v>0</v>
      </c>
      <c r="Z357" s="40">
        <f t="shared" si="150"/>
        <v>0</v>
      </c>
      <c r="AA357" s="40">
        <f t="shared" si="151"/>
        <v>0</v>
      </c>
      <c r="AB357" s="40">
        <f t="shared" si="152"/>
        <v>1</v>
      </c>
      <c r="AC357" s="40">
        <f t="shared" si="153"/>
        <v>0</v>
      </c>
      <c r="AD357" s="40">
        <f t="shared" si="154"/>
        <v>0</v>
      </c>
      <c r="AE357" s="40">
        <f t="shared" si="155"/>
        <v>0</v>
      </c>
      <c r="AF357" s="40">
        <f t="shared" si="156"/>
        <v>0</v>
      </c>
      <c r="AG357" s="40">
        <f t="shared" si="157"/>
        <v>0</v>
      </c>
      <c r="AH357" s="40">
        <f t="shared" si="158"/>
        <v>0</v>
      </c>
      <c r="AI357" s="40">
        <f t="shared" si="159"/>
        <v>0</v>
      </c>
      <c r="AJ357" s="40">
        <f t="shared" si="160"/>
        <v>1</v>
      </c>
      <c r="AK357" s="40">
        <f t="shared" si="161"/>
        <v>0</v>
      </c>
      <c r="AL357" s="40">
        <f t="shared" si="162"/>
        <v>0</v>
      </c>
      <c r="AM357" s="40">
        <f t="shared" si="163"/>
        <v>0</v>
      </c>
      <c r="AN357" s="40">
        <f t="shared" si="164"/>
        <v>0</v>
      </c>
      <c r="AO357" s="40">
        <f t="shared" si="165"/>
        <v>0</v>
      </c>
      <c r="AP357" s="40">
        <f t="shared" si="166"/>
        <v>0</v>
      </c>
      <c r="AQ357" s="40">
        <f t="shared" si="167"/>
        <v>0</v>
      </c>
      <c r="AR357" s="40">
        <f t="shared" si="168"/>
        <v>0</v>
      </c>
      <c r="AS357" s="40">
        <f t="shared" si="169"/>
        <v>0</v>
      </c>
    </row>
    <row r="358" spans="2:45" s="2" customFormat="1" ht="14.4" customHeight="1" x14ac:dyDescent="0.25">
      <c r="B358" s="56" t="s">
        <v>41</v>
      </c>
      <c r="C358" s="57" t="s">
        <v>25</v>
      </c>
      <c r="D358" s="58" t="s">
        <v>37</v>
      </c>
      <c r="E358" s="62">
        <v>1.4000000000000004E-3</v>
      </c>
      <c r="F358" s="65">
        <f t="shared" si="170"/>
        <v>-6.5712830423609239</v>
      </c>
      <c r="S358" s="40">
        <f t="shared" si="143"/>
        <v>0</v>
      </c>
      <c r="T358" s="40">
        <f t="shared" si="144"/>
        <v>1</v>
      </c>
      <c r="U358" s="40">
        <f t="shared" si="145"/>
        <v>0</v>
      </c>
      <c r="V358" s="40">
        <f t="shared" si="146"/>
        <v>0</v>
      </c>
      <c r="W358" s="40">
        <f t="shared" si="147"/>
        <v>0</v>
      </c>
      <c r="X358" s="40">
        <f t="shared" si="148"/>
        <v>0</v>
      </c>
      <c r="Y358" s="40">
        <f t="shared" si="149"/>
        <v>0</v>
      </c>
      <c r="Z358" s="40">
        <f t="shared" si="150"/>
        <v>0</v>
      </c>
      <c r="AA358" s="40">
        <f t="shared" si="151"/>
        <v>0</v>
      </c>
      <c r="AB358" s="40">
        <f t="shared" si="152"/>
        <v>1</v>
      </c>
      <c r="AC358" s="40">
        <f t="shared" si="153"/>
        <v>0</v>
      </c>
      <c r="AD358" s="40">
        <f t="shared" si="154"/>
        <v>0</v>
      </c>
      <c r="AE358" s="40">
        <f t="shared" si="155"/>
        <v>0</v>
      </c>
      <c r="AF358" s="40">
        <f t="shared" si="156"/>
        <v>0</v>
      </c>
      <c r="AG358" s="40">
        <f t="shared" si="157"/>
        <v>0</v>
      </c>
      <c r="AH358" s="40">
        <f t="shared" si="158"/>
        <v>0</v>
      </c>
      <c r="AI358" s="40">
        <f t="shared" si="159"/>
        <v>0</v>
      </c>
      <c r="AJ358" s="40">
        <f t="shared" si="160"/>
        <v>0</v>
      </c>
      <c r="AK358" s="40">
        <f t="shared" si="161"/>
        <v>0</v>
      </c>
      <c r="AL358" s="40">
        <f t="shared" si="162"/>
        <v>0</v>
      </c>
      <c r="AM358" s="40">
        <f t="shared" si="163"/>
        <v>0</v>
      </c>
      <c r="AN358" s="40">
        <f t="shared" si="164"/>
        <v>1</v>
      </c>
      <c r="AO358" s="40">
        <f t="shared" si="165"/>
        <v>0</v>
      </c>
      <c r="AP358" s="40">
        <f t="shared" si="166"/>
        <v>0</v>
      </c>
      <c r="AQ358" s="40">
        <f t="shared" si="167"/>
        <v>0</v>
      </c>
      <c r="AR358" s="40">
        <f t="shared" si="168"/>
        <v>0</v>
      </c>
      <c r="AS358" s="40">
        <f t="shared" si="169"/>
        <v>0</v>
      </c>
    </row>
    <row r="359" spans="2:45" s="2" customFormat="1" ht="14.4" customHeight="1" x14ac:dyDescent="0.25">
      <c r="B359" s="56" t="s">
        <v>41</v>
      </c>
      <c r="C359" s="57" t="s">
        <v>25</v>
      </c>
      <c r="D359" s="58" t="s">
        <v>29</v>
      </c>
      <c r="E359" s="62">
        <v>2.3100000000000009E-3</v>
      </c>
      <c r="F359" s="65">
        <f t="shared" si="170"/>
        <v>-6.0705077544484345</v>
      </c>
      <c r="S359" s="40">
        <f t="shared" si="143"/>
        <v>0</v>
      </c>
      <c r="T359" s="40">
        <f t="shared" si="144"/>
        <v>1</v>
      </c>
      <c r="U359" s="40">
        <f t="shared" si="145"/>
        <v>0</v>
      </c>
      <c r="V359" s="40">
        <f t="shared" si="146"/>
        <v>0</v>
      </c>
      <c r="W359" s="40">
        <f t="shared" si="147"/>
        <v>0</v>
      </c>
      <c r="X359" s="40">
        <f t="shared" si="148"/>
        <v>0</v>
      </c>
      <c r="Y359" s="40">
        <f t="shared" si="149"/>
        <v>0</v>
      </c>
      <c r="Z359" s="40">
        <f t="shared" si="150"/>
        <v>0</v>
      </c>
      <c r="AA359" s="40">
        <f t="shared" si="151"/>
        <v>0</v>
      </c>
      <c r="AB359" s="40">
        <f t="shared" si="152"/>
        <v>1</v>
      </c>
      <c r="AC359" s="40">
        <f t="shared" si="153"/>
        <v>0</v>
      </c>
      <c r="AD359" s="40">
        <f t="shared" si="154"/>
        <v>0</v>
      </c>
      <c r="AE359" s="40">
        <f t="shared" si="155"/>
        <v>0</v>
      </c>
      <c r="AF359" s="40">
        <f t="shared" si="156"/>
        <v>0</v>
      </c>
      <c r="AG359" s="40">
        <f t="shared" si="157"/>
        <v>0</v>
      </c>
      <c r="AH359" s="40">
        <f t="shared" si="158"/>
        <v>0</v>
      </c>
      <c r="AI359" s="40">
        <f t="shared" si="159"/>
        <v>0</v>
      </c>
      <c r="AJ359" s="40">
        <f t="shared" si="160"/>
        <v>0</v>
      </c>
      <c r="AK359" s="40">
        <f t="shared" si="161"/>
        <v>1</v>
      </c>
      <c r="AL359" s="40">
        <f t="shared" si="162"/>
        <v>0</v>
      </c>
      <c r="AM359" s="40">
        <f t="shared" si="163"/>
        <v>0</v>
      </c>
      <c r="AN359" s="40">
        <f t="shared" si="164"/>
        <v>0</v>
      </c>
      <c r="AO359" s="40">
        <f t="shared" si="165"/>
        <v>0</v>
      </c>
      <c r="AP359" s="40">
        <f t="shared" si="166"/>
        <v>0</v>
      </c>
      <c r="AQ359" s="40">
        <f t="shared" si="167"/>
        <v>0</v>
      </c>
      <c r="AR359" s="40">
        <f t="shared" si="168"/>
        <v>0</v>
      </c>
      <c r="AS359" s="40">
        <f t="shared" si="169"/>
        <v>0</v>
      </c>
    </row>
    <row r="360" spans="2:45" s="2" customFormat="1" ht="14.4" customHeight="1" x14ac:dyDescent="0.25">
      <c r="B360" s="56" t="s">
        <v>41</v>
      </c>
      <c r="C360" s="57" t="s">
        <v>25</v>
      </c>
      <c r="D360" s="58" t="s">
        <v>32</v>
      </c>
      <c r="E360" s="62">
        <v>2.5700000000000002E-3</v>
      </c>
      <c r="F360" s="65">
        <f t="shared" si="170"/>
        <v>-5.9638493800750085</v>
      </c>
      <c r="S360" s="40">
        <f t="shared" si="143"/>
        <v>0</v>
      </c>
      <c r="T360" s="40">
        <f t="shared" si="144"/>
        <v>1</v>
      </c>
      <c r="U360" s="40">
        <f t="shared" si="145"/>
        <v>0</v>
      </c>
      <c r="V360" s="40">
        <f t="shared" si="146"/>
        <v>0</v>
      </c>
      <c r="W360" s="40">
        <f t="shared" si="147"/>
        <v>0</v>
      </c>
      <c r="X360" s="40">
        <f t="shared" si="148"/>
        <v>0</v>
      </c>
      <c r="Y360" s="40">
        <f t="shared" si="149"/>
        <v>0</v>
      </c>
      <c r="Z360" s="40">
        <f t="shared" si="150"/>
        <v>0</v>
      </c>
      <c r="AA360" s="40">
        <f t="shared" si="151"/>
        <v>0</v>
      </c>
      <c r="AB360" s="40">
        <f t="shared" si="152"/>
        <v>1</v>
      </c>
      <c r="AC360" s="40">
        <f t="shared" si="153"/>
        <v>0</v>
      </c>
      <c r="AD360" s="40">
        <f t="shared" si="154"/>
        <v>0</v>
      </c>
      <c r="AE360" s="40">
        <f t="shared" si="155"/>
        <v>0</v>
      </c>
      <c r="AF360" s="40">
        <f t="shared" si="156"/>
        <v>0</v>
      </c>
      <c r="AG360" s="40">
        <f t="shared" si="157"/>
        <v>0</v>
      </c>
      <c r="AH360" s="40">
        <f t="shared" si="158"/>
        <v>0</v>
      </c>
      <c r="AI360" s="40">
        <f t="shared" si="159"/>
        <v>0</v>
      </c>
      <c r="AJ360" s="40">
        <f t="shared" si="160"/>
        <v>0</v>
      </c>
      <c r="AK360" s="40">
        <f t="shared" si="161"/>
        <v>0</v>
      </c>
      <c r="AL360" s="40">
        <f t="shared" si="162"/>
        <v>1</v>
      </c>
      <c r="AM360" s="40">
        <f t="shared" si="163"/>
        <v>0</v>
      </c>
      <c r="AN360" s="40">
        <f t="shared" si="164"/>
        <v>0</v>
      </c>
      <c r="AO360" s="40">
        <f t="shared" si="165"/>
        <v>0</v>
      </c>
      <c r="AP360" s="40">
        <f t="shared" si="166"/>
        <v>0</v>
      </c>
      <c r="AQ360" s="40">
        <f t="shared" si="167"/>
        <v>0</v>
      </c>
      <c r="AR360" s="40">
        <f t="shared" si="168"/>
        <v>0</v>
      </c>
      <c r="AS360" s="40">
        <f t="shared" si="169"/>
        <v>0</v>
      </c>
    </row>
    <row r="361" spans="2:45" s="2" customFormat="1" ht="14.4" customHeight="1" x14ac:dyDescent="0.25">
      <c r="B361" s="56" t="s">
        <v>41</v>
      </c>
      <c r="C361" s="57" t="s">
        <v>25</v>
      </c>
      <c r="D361" s="58" t="s">
        <v>24</v>
      </c>
      <c r="E361" s="62">
        <v>4.6600000000000018E-3</v>
      </c>
      <c r="F361" s="65">
        <f t="shared" si="170"/>
        <v>-5.3687398308445822</v>
      </c>
      <c r="S361" s="40">
        <f t="shared" si="143"/>
        <v>0</v>
      </c>
      <c r="T361" s="40">
        <f t="shared" si="144"/>
        <v>1</v>
      </c>
      <c r="U361" s="40">
        <f t="shared" si="145"/>
        <v>0</v>
      </c>
      <c r="V361" s="40">
        <f t="shared" si="146"/>
        <v>0</v>
      </c>
      <c r="W361" s="40">
        <f t="shared" si="147"/>
        <v>0</v>
      </c>
      <c r="X361" s="40">
        <f t="shared" si="148"/>
        <v>0</v>
      </c>
      <c r="Y361" s="40">
        <f t="shared" si="149"/>
        <v>0</v>
      </c>
      <c r="Z361" s="40">
        <f t="shared" si="150"/>
        <v>0</v>
      </c>
      <c r="AA361" s="40">
        <f t="shared" si="151"/>
        <v>0</v>
      </c>
      <c r="AB361" s="40">
        <f t="shared" si="152"/>
        <v>1</v>
      </c>
      <c r="AC361" s="40">
        <f t="shared" si="153"/>
        <v>0</v>
      </c>
      <c r="AD361" s="40">
        <f t="shared" si="154"/>
        <v>0</v>
      </c>
      <c r="AE361" s="40">
        <f t="shared" si="155"/>
        <v>0</v>
      </c>
      <c r="AF361" s="40">
        <f t="shared" si="156"/>
        <v>0</v>
      </c>
      <c r="AG361" s="40">
        <f t="shared" si="157"/>
        <v>0</v>
      </c>
      <c r="AH361" s="40">
        <f t="shared" si="158"/>
        <v>0</v>
      </c>
      <c r="AI361" s="40">
        <f t="shared" si="159"/>
        <v>0</v>
      </c>
      <c r="AJ361" s="40">
        <f t="shared" si="160"/>
        <v>0</v>
      </c>
      <c r="AK361" s="40">
        <f t="shared" si="161"/>
        <v>0</v>
      </c>
      <c r="AL361" s="40">
        <f t="shared" si="162"/>
        <v>0</v>
      </c>
      <c r="AM361" s="40">
        <f t="shared" si="163"/>
        <v>0</v>
      </c>
      <c r="AN361" s="40">
        <f t="shared" si="164"/>
        <v>0</v>
      </c>
      <c r="AO361" s="40">
        <f t="shared" si="165"/>
        <v>1</v>
      </c>
      <c r="AP361" s="40">
        <f t="shared" si="166"/>
        <v>0</v>
      </c>
      <c r="AQ361" s="40">
        <f t="shared" si="167"/>
        <v>0</v>
      </c>
      <c r="AR361" s="40">
        <f t="shared" si="168"/>
        <v>0</v>
      </c>
      <c r="AS361" s="40">
        <f t="shared" si="169"/>
        <v>0</v>
      </c>
    </row>
    <row r="362" spans="2:45" s="2" customFormat="1" ht="14.4" customHeight="1" x14ac:dyDescent="0.25">
      <c r="B362" s="56" t="s">
        <v>41</v>
      </c>
      <c r="C362" s="57" t="s">
        <v>25</v>
      </c>
      <c r="D362" s="58" t="s">
        <v>31</v>
      </c>
      <c r="E362" s="62">
        <v>3.6899999999999988E-3</v>
      </c>
      <c r="F362" s="65">
        <f t="shared" si="170"/>
        <v>-5.6021288209297015</v>
      </c>
      <c r="S362" s="40">
        <f t="shared" si="143"/>
        <v>0</v>
      </c>
      <c r="T362" s="40">
        <f t="shared" si="144"/>
        <v>1</v>
      </c>
      <c r="U362" s="40">
        <f t="shared" si="145"/>
        <v>0</v>
      </c>
      <c r="V362" s="40">
        <f t="shared" si="146"/>
        <v>0</v>
      </c>
      <c r="W362" s="40">
        <f t="shared" si="147"/>
        <v>0</v>
      </c>
      <c r="X362" s="40">
        <f t="shared" si="148"/>
        <v>0</v>
      </c>
      <c r="Y362" s="40">
        <f t="shared" si="149"/>
        <v>0</v>
      </c>
      <c r="Z362" s="40">
        <f t="shared" si="150"/>
        <v>0</v>
      </c>
      <c r="AA362" s="40">
        <f t="shared" si="151"/>
        <v>0</v>
      </c>
      <c r="AB362" s="40">
        <f t="shared" si="152"/>
        <v>1</v>
      </c>
      <c r="AC362" s="40">
        <f t="shared" si="153"/>
        <v>0</v>
      </c>
      <c r="AD362" s="40">
        <f t="shared" si="154"/>
        <v>0</v>
      </c>
      <c r="AE362" s="40">
        <f t="shared" si="155"/>
        <v>0</v>
      </c>
      <c r="AF362" s="40">
        <f t="shared" si="156"/>
        <v>0</v>
      </c>
      <c r="AG362" s="40">
        <f t="shared" si="157"/>
        <v>0</v>
      </c>
      <c r="AH362" s="40">
        <f t="shared" si="158"/>
        <v>0</v>
      </c>
      <c r="AI362" s="40">
        <f t="shared" si="159"/>
        <v>0</v>
      </c>
      <c r="AJ362" s="40">
        <f t="shared" si="160"/>
        <v>0</v>
      </c>
      <c r="AK362" s="40">
        <f t="shared" si="161"/>
        <v>1</v>
      </c>
      <c r="AL362" s="40">
        <f t="shared" si="162"/>
        <v>0</v>
      </c>
      <c r="AM362" s="40">
        <f t="shared" si="163"/>
        <v>0</v>
      </c>
      <c r="AN362" s="40">
        <f t="shared" si="164"/>
        <v>0</v>
      </c>
      <c r="AO362" s="40">
        <f t="shared" si="165"/>
        <v>0</v>
      </c>
      <c r="AP362" s="40">
        <f t="shared" si="166"/>
        <v>0</v>
      </c>
      <c r="AQ362" s="40">
        <f t="shared" si="167"/>
        <v>0</v>
      </c>
      <c r="AR362" s="40">
        <f t="shared" si="168"/>
        <v>0</v>
      </c>
      <c r="AS362" s="40">
        <f t="shared" si="169"/>
        <v>0</v>
      </c>
    </row>
    <row r="363" spans="2:45" s="2" customFormat="1" ht="14.4" customHeight="1" x14ac:dyDescent="0.25">
      <c r="B363" s="56" t="s">
        <v>41</v>
      </c>
      <c r="C363" s="57" t="s">
        <v>25</v>
      </c>
      <c r="D363" s="58" t="s">
        <v>32</v>
      </c>
      <c r="E363" s="62">
        <v>2.9199999999999994E-3</v>
      </c>
      <c r="F363" s="65">
        <f t="shared" si="170"/>
        <v>-5.8361716627019469</v>
      </c>
      <c r="S363" s="40">
        <f t="shared" si="143"/>
        <v>0</v>
      </c>
      <c r="T363" s="40">
        <f t="shared" si="144"/>
        <v>1</v>
      </c>
      <c r="U363" s="40">
        <f t="shared" si="145"/>
        <v>0</v>
      </c>
      <c r="V363" s="40">
        <f t="shared" si="146"/>
        <v>0</v>
      </c>
      <c r="W363" s="40">
        <f t="shared" si="147"/>
        <v>0</v>
      </c>
      <c r="X363" s="40">
        <f t="shared" si="148"/>
        <v>0</v>
      </c>
      <c r="Y363" s="40">
        <f t="shared" si="149"/>
        <v>0</v>
      </c>
      <c r="Z363" s="40">
        <f t="shared" si="150"/>
        <v>0</v>
      </c>
      <c r="AA363" s="40">
        <f t="shared" si="151"/>
        <v>0</v>
      </c>
      <c r="AB363" s="40">
        <f t="shared" si="152"/>
        <v>1</v>
      </c>
      <c r="AC363" s="40">
        <f t="shared" si="153"/>
        <v>0</v>
      </c>
      <c r="AD363" s="40">
        <f t="shared" si="154"/>
        <v>0</v>
      </c>
      <c r="AE363" s="40">
        <f t="shared" si="155"/>
        <v>0</v>
      </c>
      <c r="AF363" s="40">
        <f t="shared" si="156"/>
        <v>0</v>
      </c>
      <c r="AG363" s="40">
        <f t="shared" si="157"/>
        <v>0</v>
      </c>
      <c r="AH363" s="40">
        <f t="shared" si="158"/>
        <v>0</v>
      </c>
      <c r="AI363" s="40">
        <f t="shared" si="159"/>
        <v>0</v>
      </c>
      <c r="AJ363" s="40">
        <f t="shared" si="160"/>
        <v>0</v>
      </c>
      <c r="AK363" s="40">
        <f t="shared" si="161"/>
        <v>0</v>
      </c>
      <c r="AL363" s="40">
        <f t="shared" si="162"/>
        <v>0</v>
      </c>
      <c r="AM363" s="40">
        <f t="shared" si="163"/>
        <v>0</v>
      </c>
      <c r="AN363" s="40">
        <f t="shared" si="164"/>
        <v>1</v>
      </c>
      <c r="AO363" s="40">
        <f t="shared" si="165"/>
        <v>0</v>
      </c>
      <c r="AP363" s="40">
        <f t="shared" si="166"/>
        <v>0</v>
      </c>
      <c r="AQ363" s="40">
        <f t="shared" si="167"/>
        <v>0</v>
      </c>
      <c r="AR363" s="40">
        <f t="shared" si="168"/>
        <v>0</v>
      </c>
      <c r="AS363" s="40">
        <f t="shared" si="169"/>
        <v>0</v>
      </c>
    </row>
    <row r="364" spans="2:45" s="2" customFormat="1" ht="14.4" customHeight="1" x14ac:dyDescent="0.25">
      <c r="B364" s="56" t="s">
        <v>41</v>
      </c>
      <c r="C364" s="57" t="s">
        <v>25</v>
      </c>
      <c r="D364" s="58" t="s">
        <v>29</v>
      </c>
      <c r="E364" s="62">
        <v>2.5199999999999997E-3</v>
      </c>
      <c r="F364" s="65">
        <f t="shared" si="170"/>
        <v>-5.9834963774588052</v>
      </c>
      <c r="S364" s="40">
        <f t="shared" si="143"/>
        <v>0</v>
      </c>
      <c r="T364" s="40">
        <f t="shared" si="144"/>
        <v>1</v>
      </c>
      <c r="U364" s="40">
        <f t="shared" si="145"/>
        <v>0</v>
      </c>
      <c r="V364" s="40">
        <f t="shared" si="146"/>
        <v>0</v>
      </c>
      <c r="W364" s="40">
        <f t="shared" si="147"/>
        <v>0</v>
      </c>
      <c r="X364" s="40">
        <f t="shared" si="148"/>
        <v>0</v>
      </c>
      <c r="Y364" s="40">
        <f t="shared" si="149"/>
        <v>0</v>
      </c>
      <c r="Z364" s="40">
        <f t="shared" si="150"/>
        <v>0</v>
      </c>
      <c r="AA364" s="40">
        <f t="shared" si="151"/>
        <v>0</v>
      </c>
      <c r="AB364" s="40">
        <f t="shared" si="152"/>
        <v>1</v>
      </c>
      <c r="AC364" s="40">
        <f t="shared" si="153"/>
        <v>0</v>
      </c>
      <c r="AD364" s="40">
        <f t="shared" si="154"/>
        <v>0</v>
      </c>
      <c r="AE364" s="40">
        <f t="shared" si="155"/>
        <v>0</v>
      </c>
      <c r="AF364" s="40">
        <f t="shared" si="156"/>
        <v>0</v>
      </c>
      <c r="AG364" s="40">
        <f t="shared" si="157"/>
        <v>0</v>
      </c>
      <c r="AH364" s="40">
        <f t="shared" si="158"/>
        <v>0</v>
      </c>
      <c r="AI364" s="40">
        <f t="shared" si="159"/>
        <v>0</v>
      </c>
      <c r="AJ364" s="40">
        <f t="shared" si="160"/>
        <v>0</v>
      </c>
      <c r="AK364" s="40">
        <f t="shared" si="161"/>
        <v>0</v>
      </c>
      <c r="AL364" s="40">
        <f t="shared" si="162"/>
        <v>1</v>
      </c>
      <c r="AM364" s="40">
        <f t="shared" si="163"/>
        <v>0</v>
      </c>
      <c r="AN364" s="40">
        <f t="shared" si="164"/>
        <v>0</v>
      </c>
      <c r="AO364" s="40">
        <f t="shared" si="165"/>
        <v>0</v>
      </c>
      <c r="AP364" s="40">
        <f t="shared" si="166"/>
        <v>0</v>
      </c>
      <c r="AQ364" s="40">
        <f t="shared" si="167"/>
        <v>0</v>
      </c>
      <c r="AR364" s="40">
        <f t="shared" si="168"/>
        <v>0</v>
      </c>
      <c r="AS364" s="40">
        <f t="shared" si="169"/>
        <v>0</v>
      </c>
    </row>
    <row r="365" spans="2:45" s="2" customFormat="1" ht="14.4" customHeight="1" x14ac:dyDescent="0.25">
      <c r="B365" s="56" t="s">
        <v>41</v>
      </c>
      <c r="C365" s="57" t="s">
        <v>25</v>
      </c>
      <c r="D365" s="58" t="s">
        <v>24</v>
      </c>
      <c r="E365" s="62">
        <v>2.6499999999999991E-3</v>
      </c>
      <c r="F365" s="65">
        <f t="shared" si="170"/>
        <v>-5.9331956389840066</v>
      </c>
      <c r="S365" s="40">
        <f t="shared" si="143"/>
        <v>0</v>
      </c>
      <c r="T365" s="40">
        <f t="shared" si="144"/>
        <v>1</v>
      </c>
      <c r="U365" s="40">
        <f t="shared" si="145"/>
        <v>0</v>
      </c>
      <c r="V365" s="40">
        <f t="shared" si="146"/>
        <v>0</v>
      </c>
      <c r="W365" s="40">
        <f t="shared" si="147"/>
        <v>0</v>
      </c>
      <c r="X365" s="40">
        <f t="shared" si="148"/>
        <v>0</v>
      </c>
      <c r="Y365" s="40">
        <f t="shared" si="149"/>
        <v>0</v>
      </c>
      <c r="Z365" s="40">
        <f t="shared" si="150"/>
        <v>0</v>
      </c>
      <c r="AA365" s="40">
        <f t="shared" si="151"/>
        <v>0</v>
      </c>
      <c r="AB365" s="40">
        <f t="shared" si="152"/>
        <v>1</v>
      </c>
      <c r="AC365" s="40">
        <f t="shared" si="153"/>
        <v>0</v>
      </c>
      <c r="AD365" s="40">
        <f t="shared" si="154"/>
        <v>0</v>
      </c>
      <c r="AE365" s="40">
        <f t="shared" si="155"/>
        <v>0</v>
      </c>
      <c r="AF365" s="40">
        <f t="shared" si="156"/>
        <v>0</v>
      </c>
      <c r="AG365" s="40">
        <f t="shared" si="157"/>
        <v>0</v>
      </c>
      <c r="AH365" s="40">
        <f t="shared" si="158"/>
        <v>0</v>
      </c>
      <c r="AI365" s="40">
        <f t="shared" si="159"/>
        <v>0</v>
      </c>
      <c r="AJ365" s="40">
        <f t="shared" si="160"/>
        <v>0</v>
      </c>
      <c r="AK365" s="40">
        <f t="shared" si="161"/>
        <v>0</v>
      </c>
      <c r="AL365" s="40">
        <f t="shared" si="162"/>
        <v>1</v>
      </c>
      <c r="AM365" s="40">
        <f t="shared" si="163"/>
        <v>0</v>
      </c>
      <c r="AN365" s="40">
        <f t="shared" si="164"/>
        <v>0</v>
      </c>
      <c r="AO365" s="40">
        <f t="shared" si="165"/>
        <v>0</v>
      </c>
      <c r="AP365" s="40">
        <f t="shared" si="166"/>
        <v>0</v>
      </c>
      <c r="AQ365" s="40">
        <f t="shared" si="167"/>
        <v>0</v>
      </c>
      <c r="AR365" s="40">
        <f t="shared" si="168"/>
        <v>0</v>
      </c>
      <c r="AS365" s="40">
        <f t="shared" si="169"/>
        <v>0</v>
      </c>
    </row>
    <row r="366" spans="2:45" s="2" customFormat="1" ht="14.4" customHeight="1" x14ac:dyDescent="0.25">
      <c r="B366" s="56" t="s">
        <v>41</v>
      </c>
      <c r="C366" s="57" t="s">
        <v>25</v>
      </c>
      <c r="D366" s="58" t="s">
        <v>24</v>
      </c>
      <c r="E366" s="62">
        <v>2.2100000000000006E-3</v>
      </c>
      <c r="F366" s="65">
        <f t="shared" si="170"/>
        <v>-6.1147627634524753</v>
      </c>
      <c r="S366" s="40">
        <f t="shared" si="143"/>
        <v>0</v>
      </c>
      <c r="T366" s="40">
        <f t="shared" si="144"/>
        <v>1</v>
      </c>
      <c r="U366" s="40">
        <f t="shared" si="145"/>
        <v>0</v>
      </c>
      <c r="V366" s="40">
        <f t="shared" si="146"/>
        <v>0</v>
      </c>
      <c r="W366" s="40">
        <f t="shared" si="147"/>
        <v>0</v>
      </c>
      <c r="X366" s="40">
        <f t="shared" si="148"/>
        <v>0</v>
      </c>
      <c r="Y366" s="40">
        <f t="shared" si="149"/>
        <v>0</v>
      </c>
      <c r="Z366" s="40">
        <f t="shared" si="150"/>
        <v>0</v>
      </c>
      <c r="AA366" s="40">
        <f t="shared" si="151"/>
        <v>0</v>
      </c>
      <c r="AB366" s="40">
        <f t="shared" si="152"/>
        <v>1</v>
      </c>
      <c r="AC366" s="40">
        <f t="shared" si="153"/>
        <v>0</v>
      </c>
      <c r="AD366" s="40">
        <f t="shared" si="154"/>
        <v>0</v>
      </c>
      <c r="AE366" s="40">
        <f t="shared" si="155"/>
        <v>0</v>
      </c>
      <c r="AF366" s="40">
        <f t="shared" si="156"/>
        <v>0</v>
      </c>
      <c r="AG366" s="40">
        <f t="shared" si="157"/>
        <v>0</v>
      </c>
      <c r="AH366" s="40">
        <f t="shared" si="158"/>
        <v>0</v>
      </c>
      <c r="AI366" s="40">
        <f t="shared" si="159"/>
        <v>0</v>
      </c>
      <c r="AJ366" s="40">
        <f t="shared" si="160"/>
        <v>0</v>
      </c>
      <c r="AK366" s="40">
        <f t="shared" si="161"/>
        <v>0</v>
      </c>
      <c r="AL366" s="40">
        <f t="shared" si="162"/>
        <v>1</v>
      </c>
      <c r="AM366" s="40">
        <f t="shared" si="163"/>
        <v>0</v>
      </c>
      <c r="AN366" s="40">
        <f t="shared" si="164"/>
        <v>0</v>
      </c>
      <c r="AO366" s="40">
        <f t="shared" si="165"/>
        <v>0</v>
      </c>
      <c r="AP366" s="40">
        <f t="shared" si="166"/>
        <v>0</v>
      </c>
      <c r="AQ366" s="40">
        <f t="shared" si="167"/>
        <v>0</v>
      </c>
      <c r="AR366" s="40">
        <f t="shared" si="168"/>
        <v>0</v>
      </c>
      <c r="AS366" s="40">
        <f t="shared" si="169"/>
        <v>0</v>
      </c>
    </row>
    <row r="367" spans="2:45" s="2" customFormat="1" ht="14.4" customHeight="1" x14ac:dyDescent="0.25">
      <c r="B367" s="56" t="s">
        <v>41</v>
      </c>
      <c r="C367" s="57" t="s">
        <v>25</v>
      </c>
      <c r="D367" s="58" t="s">
        <v>24</v>
      </c>
      <c r="E367" s="62">
        <v>2.5700000000000002E-3</v>
      </c>
      <c r="F367" s="65">
        <f t="shared" si="170"/>
        <v>-5.9638493800750085</v>
      </c>
      <c r="S367" s="40">
        <f t="shared" si="143"/>
        <v>0</v>
      </c>
      <c r="T367" s="40">
        <f t="shared" si="144"/>
        <v>1</v>
      </c>
      <c r="U367" s="40">
        <f t="shared" si="145"/>
        <v>0</v>
      </c>
      <c r="V367" s="40">
        <f t="shared" si="146"/>
        <v>0</v>
      </c>
      <c r="W367" s="40">
        <f t="shared" si="147"/>
        <v>0</v>
      </c>
      <c r="X367" s="40">
        <f t="shared" si="148"/>
        <v>0</v>
      </c>
      <c r="Y367" s="40">
        <f t="shared" si="149"/>
        <v>0</v>
      </c>
      <c r="Z367" s="40">
        <f t="shared" si="150"/>
        <v>0</v>
      </c>
      <c r="AA367" s="40">
        <f t="shared" si="151"/>
        <v>0</v>
      </c>
      <c r="AB367" s="40">
        <f t="shared" si="152"/>
        <v>0</v>
      </c>
      <c r="AC367" s="40">
        <f t="shared" si="153"/>
        <v>1</v>
      </c>
      <c r="AD367" s="40">
        <f t="shared" si="154"/>
        <v>0</v>
      </c>
      <c r="AE367" s="40">
        <f t="shared" si="155"/>
        <v>0</v>
      </c>
      <c r="AF367" s="40">
        <f t="shared" si="156"/>
        <v>0</v>
      </c>
      <c r="AG367" s="40">
        <f t="shared" si="157"/>
        <v>0</v>
      </c>
      <c r="AH367" s="40">
        <f t="shared" si="158"/>
        <v>0</v>
      </c>
      <c r="AI367" s="40">
        <f t="shared" si="159"/>
        <v>0</v>
      </c>
      <c r="AJ367" s="40">
        <f t="shared" si="160"/>
        <v>1</v>
      </c>
      <c r="AK367" s="40">
        <f t="shared" si="161"/>
        <v>0</v>
      </c>
      <c r="AL367" s="40">
        <f t="shared" si="162"/>
        <v>0</v>
      </c>
      <c r="AM367" s="40">
        <f t="shared" si="163"/>
        <v>0</v>
      </c>
      <c r="AN367" s="40">
        <f t="shared" si="164"/>
        <v>0</v>
      </c>
      <c r="AO367" s="40">
        <f t="shared" si="165"/>
        <v>0</v>
      </c>
      <c r="AP367" s="40">
        <f t="shared" si="166"/>
        <v>0</v>
      </c>
      <c r="AQ367" s="40">
        <f t="shared" si="167"/>
        <v>0</v>
      </c>
      <c r="AR367" s="40">
        <f t="shared" si="168"/>
        <v>0</v>
      </c>
      <c r="AS367" s="40">
        <f t="shared" si="169"/>
        <v>0</v>
      </c>
    </row>
    <row r="368" spans="2:45" s="2" customFormat="1" ht="14.4" customHeight="1" x14ac:dyDescent="0.25">
      <c r="B368" s="56" t="s">
        <v>41</v>
      </c>
      <c r="C368" s="57" t="s">
        <v>23</v>
      </c>
      <c r="D368" s="58" t="s">
        <v>37</v>
      </c>
      <c r="E368" s="62">
        <v>2.3E-3</v>
      </c>
      <c r="F368" s="65">
        <f t="shared" si="170"/>
        <v>-6.074846156047033</v>
      </c>
      <c r="S368" s="40">
        <f t="shared" si="143"/>
        <v>0</v>
      </c>
      <c r="T368" s="40">
        <f t="shared" si="144"/>
        <v>1</v>
      </c>
      <c r="U368" s="40">
        <f t="shared" si="145"/>
        <v>0</v>
      </c>
      <c r="V368" s="40">
        <f t="shared" si="146"/>
        <v>0</v>
      </c>
      <c r="W368" s="40">
        <f t="shared" si="147"/>
        <v>0</v>
      </c>
      <c r="X368" s="40">
        <f t="shared" si="148"/>
        <v>0</v>
      </c>
      <c r="Y368" s="40">
        <f t="shared" si="149"/>
        <v>0</v>
      </c>
      <c r="Z368" s="40">
        <f t="shared" si="150"/>
        <v>0</v>
      </c>
      <c r="AA368" s="40">
        <f t="shared" si="151"/>
        <v>0</v>
      </c>
      <c r="AB368" s="40">
        <f t="shared" si="152"/>
        <v>0</v>
      </c>
      <c r="AC368" s="40">
        <f t="shared" si="153"/>
        <v>1</v>
      </c>
      <c r="AD368" s="40">
        <f t="shared" si="154"/>
        <v>0</v>
      </c>
      <c r="AE368" s="40">
        <f t="shared" si="155"/>
        <v>0</v>
      </c>
      <c r="AF368" s="40">
        <f t="shared" si="156"/>
        <v>0</v>
      </c>
      <c r="AG368" s="40">
        <f t="shared" si="157"/>
        <v>0</v>
      </c>
      <c r="AH368" s="40">
        <f t="shared" si="158"/>
        <v>0</v>
      </c>
      <c r="AI368" s="40">
        <f t="shared" si="159"/>
        <v>0</v>
      </c>
      <c r="AJ368" s="40">
        <f t="shared" si="160"/>
        <v>0</v>
      </c>
      <c r="AK368" s="40">
        <f t="shared" si="161"/>
        <v>0</v>
      </c>
      <c r="AL368" s="40">
        <f t="shared" si="162"/>
        <v>0</v>
      </c>
      <c r="AM368" s="40">
        <f t="shared" si="163"/>
        <v>0</v>
      </c>
      <c r="AN368" s="40">
        <f t="shared" si="164"/>
        <v>0</v>
      </c>
      <c r="AO368" s="40">
        <f t="shared" si="165"/>
        <v>0</v>
      </c>
      <c r="AP368" s="40">
        <f t="shared" si="166"/>
        <v>0</v>
      </c>
      <c r="AQ368" s="40">
        <f t="shared" si="167"/>
        <v>0</v>
      </c>
      <c r="AR368" s="40">
        <f t="shared" si="168"/>
        <v>0</v>
      </c>
      <c r="AS368" s="40">
        <f t="shared" si="169"/>
        <v>1</v>
      </c>
    </row>
    <row r="369" spans="2:45" s="2" customFormat="1" ht="14.4" customHeight="1" x14ac:dyDescent="0.25">
      <c r="B369" s="56" t="s">
        <v>41</v>
      </c>
      <c r="C369" s="57" t="s">
        <v>23</v>
      </c>
      <c r="D369" s="58" t="s">
        <v>22</v>
      </c>
      <c r="E369" s="62">
        <v>2.8700000000000002E-3</v>
      </c>
      <c r="F369" s="65">
        <f t="shared" si="170"/>
        <v>-5.8534432492106072</v>
      </c>
      <c r="S369" s="40">
        <f t="shared" si="143"/>
        <v>0</v>
      </c>
      <c r="T369" s="40">
        <f t="shared" si="144"/>
        <v>1</v>
      </c>
      <c r="U369" s="40">
        <f t="shared" si="145"/>
        <v>0</v>
      </c>
      <c r="V369" s="40">
        <f t="shared" si="146"/>
        <v>0</v>
      </c>
      <c r="W369" s="40">
        <f t="shared" si="147"/>
        <v>0</v>
      </c>
      <c r="X369" s="40">
        <f t="shared" si="148"/>
        <v>0</v>
      </c>
      <c r="Y369" s="40">
        <f t="shared" si="149"/>
        <v>0</v>
      </c>
      <c r="Z369" s="40">
        <f t="shared" si="150"/>
        <v>0</v>
      </c>
      <c r="AA369" s="40">
        <f t="shared" si="151"/>
        <v>0</v>
      </c>
      <c r="AB369" s="40">
        <f t="shared" si="152"/>
        <v>0</v>
      </c>
      <c r="AC369" s="40">
        <f t="shared" si="153"/>
        <v>1</v>
      </c>
      <c r="AD369" s="40">
        <f t="shared" si="154"/>
        <v>0</v>
      </c>
      <c r="AE369" s="40">
        <f t="shared" si="155"/>
        <v>0</v>
      </c>
      <c r="AF369" s="40">
        <f t="shared" si="156"/>
        <v>0</v>
      </c>
      <c r="AG369" s="40">
        <f t="shared" si="157"/>
        <v>0</v>
      </c>
      <c r="AH369" s="40">
        <f t="shared" si="158"/>
        <v>0</v>
      </c>
      <c r="AI369" s="40">
        <f t="shared" si="159"/>
        <v>0</v>
      </c>
      <c r="AJ369" s="40">
        <f t="shared" si="160"/>
        <v>0</v>
      </c>
      <c r="AK369" s="40">
        <f t="shared" si="161"/>
        <v>0</v>
      </c>
      <c r="AL369" s="40">
        <f t="shared" si="162"/>
        <v>0</v>
      </c>
      <c r="AM369" s="40">
        <f t="shared" si="163"/>
        <v>0</v>
      </c>
      <c r="AN369" s="40">
        <f t="shared" si="164"/>
        <v>0</v>
      </c>
      <c r="AO369" s="40">
        <f t="shared" si="165"/>
        <v>0</v>
      </c>
      <c r="AP369" s="40">
        <f t="shared" si="166"/>
        <v>0</v>
      </c>
      <c r="AQ369" s="40">
        <f t="shared" si="167"/>
        <v>0</v>
      </c>
      <c r="AR369" s="40">
        <f t="shared" si="168"/>
        <v>0</v>
      </c>
      <c r="AS369" s="40">
        <f t="shared" si="169"/>
        <v>1</v>
      </c>
    </row>
    <row r="370" spans="2:45" s="2" customFormat="1" ht="14.4" customHeight="1" x14ac:dyDescent="0.25">
      <c r="B370" s="56" t="s">
        <v>41</v>
      </c>
      <c r="C370" s="57" t="s">
        <v>23</v>
      </c>
      <c r="D370" s="58" t="s">
        <v>22</v>
      </c>
      <c r="E370" s="62">
        <v>2.3800000000000002E-3</v>
      </c>
      <c r="F370" s="65">
        <f t="shared" si="170"/>
        <v>-6.0406547912987536</v>
      </c>
      <c r="S370" s="40">
        <f t="shared" si="143"/>
        <v>0</v>
      </c>
      <c r="T370" s="40">
        <f t="shared" si="144"/>
        <v>1</v>
      </c>
      <c r="U370" s="40">
        <f t="shared" si="145"/>
        <v>0</v>
      </c>
      <c r="V370" s="40">
        <f t="shared" si="146"/>
        <v>0</v>
      </c>
      <c r="W370" s="40">
        <f t="shared" si="147"/>
        <v>0</v>
      </c>
      <c r="X370" s="40">
        <f t="shared" si="148"/>
        <v>0</v>
      </c>
      <c r="Y370" s="40">
        <f t="shared" si="149"/>
        <v>0</v>
      </c>
      <c r="Z370" s="40">
        <f t="shared" si="150"/>
        <v>0</v>
      </c>
      <c r="AA370" s="40">
        <f t="shared" si="151"/>
        <v>0</v>
      </c>
      <c r="AB370" s="40">
        <f t="shared" si="152"/>
        <v>0</v>
      </c>
      <c r="AC370" s="40">
        <f t="shared" si="153"/>
        <v>0</v>
      </c>
      <c r="AD370" s="40">
        <f t="shared" si="154"/>
        <v>1</v>
      </c>
      <c r="AE370" s="40">
        <f t="shared" si="155"/>
        <v>0</v>
      </c>
      <c r="AF370" s="40">
        <f t="shared" si="156"/>
        <v>0</v>
      </c>
      <c r="AG370" s="40">
        <f t="shared" si="157"/>
        <v>0</v>
      </c>
      <c r="AH370" s="40">
        <f t="shared" si="158"/>
        <v>0</v>
      </c>
      <c r="AI370" s="40">
        <f t="shared" si="159"/>
        <v>0</v>
      </c>
      <c r="AJ370" s="40">
        <f t="shared" si="160"/>
        <v>0</v>
      </c>
      <c r="AK370" s="40">
        <f t="shared" si="161"/>
        <v>0</v>
      </c>
      <c r="AL370" s="40">
        <f t="shared" si="162"/>
        <v>0</v>
      </c>
      <c r="AM370" s="40">
        <f t="shared" si="163"/>
        <v>1</v>
      </c>
      <c r="AN370" s="40">
        <f t="shared" si="164"/>
        <v>0</v>
      </c>
      <c r="AO370" s="40">
        <f t="shared" si="165"/>
        <v>0</v>
      </c>
      <c r="AP370" s="40">
        <f t="shared" si="166"/>
        <v>0</v>
      </c>
      <c r="AQ370" s="40">
        <f t="shared" si="167"/>
        <v>0</v>
      </c>
      <c r="AR370" s="40">
        <f t="shared" si="168"/>
        <v>0</v>
      </c>
      <c r="AS370" s="40">
        <f t="shared" si="169"/>
        <v>0</v>
      </c>
    </row>
    <row r="371" spans="2:45" s="2" customFormat="1" ht="14.4" customHeight="1" x14ac:dyDescent="0.25">
      <c r="B371" s="56" t="s">
        <v>41</v>
      </c>
      <c r="C371" s="57" t="s">
        <v>21</v>
      </c>
      <c r="D371" s="58" t="s">
        <v>35</v>
      </c>
      <c r="E371" s="62">
        <v>4.0300000000000015E-3</v>
      </c>
      <c r="F371" s="65">
        <f t="shared" si="170"/>
        <v>-5.5139889030235452</v>
      </c>
      <c r="S371" s="40">
        <f t="shared" si="143"/>
        <v>0</v>
      </c>
      <c r="T371" s="40">
        <f t="shared" si="144"/>
        <v>1</v>
      </c>
      <c r="U371" s="40">
        <f t="shared" si="145"/>
        <v>0</v>
      </c>
      <c r="V371" s="40">
        <f t="shared" si="146"/>
        <v>0</v>
      </c>
      <c r="W371" s="40">
        <f t="shared" si="147"/>
        <v>0</v>
      </c>
      <c r="X371" s="40">
        <f t="shared" si="148"/>
        <v>0</v>
      </c>
      <c r="Y371" s="40">
        <f t="shared" si="149"/>
        <v>0</v>
      </c>
      <c r="Z371" s="40">
        <f t="shared" si="150"/>
        <v>0</v>
      </c>
      <c r="AA371" s="40">
        <f t="shared" si="151"/>
        <v>0</v>
      </c>
      <c r="AB371" s="40">
        <f t="shared" si="152"/>
        <v>0</v>
      </c>
      <c r="AC371" s="40">
        <f t="shared" si="153"/>
        <v>0</v>
      </c>
      <c r="AD371" s="40">
        <f t="shared" si="154"/>
        <v>1</v>
      </c>
      <c r="AE371" s="40">
        <f t="shared" si="155"/>
        <v>0</v>
      </c>
      <c r="AF371" s="40">
        <f t="shared" si="156"/>
        <v>0</v>
      </c>
      <c r="AG371" s="40">
        <f t="shared" si="157"/>
        <v>0</v>
      </c>
      <c r="AH371" s="40">
        <f t="shared" si="158"/>
        <v>0</v>
      </c>
      <c r="AI371" s="40">
        <f t="shared" si="159"/>
        <v>0</v>
      </c>
      <c r="AJ371" s="40">
        <f t="shared" si="160"/>
        <v>0</v>
      </c>
      <c r="AK371" s="40">
        <f t="shared" si="161"/>
        <v>0</v>
      </c>
      <c r="AL371" s="40">
        <f t="shared" si="162"/>
        <v>0</v>
      </c>
      <c r="AM371" s="40">
        <f t="shared" si="163"/>
        <v>0</v>
      </c>
      <c r="AN371" s="40">
        <f t="shared" si="164"/>
        <v>0</v>
      </c>
      <c r="AO371" s="40">
        <f t="shared" si="165"/>
        <v>1</v>
      </c>
      <c r="AP371" s="40">
        <f t="shared" si="166"/>
        <v>0</v>
      </c>
      <c r="AQ371" s="40">
        <f t="shared" si="167"/>
        <v>0</v>
      </c>
      <c r="AR371" s="40">
        <f t="shared" si="168"/>
        <v>0</v>
      </c>
      <c r="AS371" s="40">
        <f t="shared" si="169"/>
        <v>0</v>
      </c>
    </row>
    <row r="372" spans="2:45" s="2" customFormat="1" ht="14.4" customHeight="1" x14ac:dyDescent="0.25">
      <c r="B372" s="56" t="s">
        <v>41</v>
      </c>
      <c r="C372" s="57" t="s">
        <v>21</v>
      </c>
      <c r="D372" s="58" t="s">
        <v>31</v>
      </c>
      <c r="E372" s="62">
        <v>5.4000000000000012E-3</v>
      </c>
      <c r="F372" s="65">
        <f t="shared" si="170"/>
        <v>-5.2213563254119082</v>
      </c>
      <c r="S372" s="40">
        <f t="shared" si="143"/>
        <v>0</v>
      </c>
      <c r="T372" s="40">
        <f t="shared" si="144"/>
        <v>1</v>
      </c>
      <c r="U372" s="40">
        <f t="shared" si="145"/>
        <v>0</v>
      </c>
      <c r="V372" s="40">
        <f t="shared" si="146"/>
        <v>0</v>
      </c>
      <c r="W372" s="40">
        <f t="shared" si="147"/>
        <v>0</v>
      </c>
      <c r="X372" s="40">
        <f t="shared" si="148"/>
        <v>0</v>
      </c>
      <c r="Y372" s="40">
        <f t="shared" si="149"/>
        <v>0</v>
      </c>
      <c r="Z372" s="40">
        <f t="shared" si="150"/>
        <v>0</v>
      </c>
      <c r="AA372" s="40">
        <f t="shared" si="151"/>
        <v>0</v>
      </c>
      <c r="AB372" s="40">
        <f t="shared" si="152"/>
        <v>1</v>
      </c>
      <c r="AC372" s="40">
        <f t="shared" si="153"/>
        <v>0</v>
      </c>
      <c r="AD372" s="40">
        <f t="shared" si="154"/>
        <v>0</v>
      </c>
      <c r="AE372" s="40">
        <f t="shared" si="155"/>
        <v>0</v>
      </c>
      <c r="AF372" s="40">
        <f t="shared" si="156"/>
        <v>0</v>
      </c>
      <c r="AG372" s="40">
        <f t="shared" si="157"/>
        <v>0</v>
      </c>
      <c r="AH372" s="40">
        <f t="shared" si="158"/>
        <v>0</v>
      </c>
      <c r="AI372" s="40">
        <f t="shared" si="159"/>
        <v>0</v>
      </c>
      <c r="AJ372" s="40">
        <f t="shared" si="160"/>
        <v>0</v>
      </c>
      <c r="AK372" s="40">
        <f t="shared" si="161"/>
        <v>0</v>
      </c>
      <c r="AL372" s="40">
        <f t="shared" si="162"/>
        <v>0</v>
      </c>
      <c r="AM372" s="40">
        <f t="shared" si="163"/>
        <v>0</v>
      </c>
      <c r="AN372" s="40">
        <f t="shared" si="164"/>
        <v>0</v>
      </c>
      <c r="AO372" s="40">
        <f t="shared" si="165"/>
        <v>0</v>
      </c>
      <c r="AP372" s="40">
        <f t="shared" si="166"/>
        <v>0</v>
      </c>
      <c r="AQ372" s="40">
        <f t="shared" si="167"/>
        <v>0</v>
      </c>
      <c r="AR372" s="40">
        <f t="shared" si="168"/>
        <v>0</v>
      </c>
      <c r="AS372" s="40">
        <f t="shared" si="169"/>
        <v>1</v>
      </c>
    </row>
    <row r="373" spans="2:45" s="2" customFormat="1" ht="14.4" customHeight="1" x14ac:dyDescent="0.25">
      <c r="B373" s="56" t="s">
        <v>41</v>
      </c>
      <c r="C373" s="57" t="s">
        <v>25</v>
      </c>
      <c r="D373" s="58" t="s">
        <v>22</v>
      </c>
      <c r="E373" s="62">
        <v>5.0399999999999993E-3</v>
      </c>
      <c r="F373" s="65">
        <f t="shared" si="170"/>
        <v>-5.2903491968988599</v>
      </c>
      <c r="S373" s="40">
        <f t="shared" si="143"/>
        <v>0</v>
      </c>
      <c r="T373" s="40">
        <f t="shared" si="144"/>
        <v>1</v>
      </c>
      <c r="U373" s="40">
        <f t="shared" si="145"/>
        <v>0</v>
      </c>
      <c r="V373" s="40">
        <f t="shared" si="146"/>
        <v>0</v>
      </c>
      <c r="W373" s="40">
        <f t="shared" si="147"/>
        <v>0</v>
      </c>
      <c r="X373" s="40">
        <f t="shared" si="148"/>
        <v>0</v>
      </c>
      <c r="Y373" s="40">
        <f t="shared" si="149"/>
        <v>0</v>
      </c>
      <c r="Z373" s="40">
        <f t="shared" si="150"/>
        <v>0</v>
      </c>
      <c r="AA373" s="40">
        <f t="shared" si="151"/>
        <v>0</v>
      </c>
      <c r="AB373" s="40">
        <f t="shared" si="152"/>
        <v>1</v>
      </c>
      <c r="AC373" s="40">
        <f t="shared" si="153"/>
        <v>0</v>
      </c>
      <c r="AD373" s="40">
        <f t="shared" si="154"/>
        <v>0</v>
      </c>
      <c r="AE373" s="40">
        <f t="shared" si="155"/>
        <v>0</v>
      </c>
      <c r="AF373" s="40">
        <f t="shared" si="156"/>
        <v>0</v>
      </c>
      <c r="AG373" s="40">
        <f t="shared" si="157"/>
        <v>0</v>
      </c>
      <c r="AH373" s="40">
        <f t="shared" si="158"/>
        <v>0</v>
      </c>
      <c r="AI373" s="40">
        <f t="shared" si="159"/>
        <v>0</v>
      </c>
      <c r="AJ373" s="40">
        <f t="shared" si="160"/>
        <v>0</v>
      </c>
      <c r="AK373" s="40">
        <f t="shared" si="161"/>
        <v>0</v>
      </c>
      <c r="AL373" s="40">
        <f t="shared" si="162"/>
        <v>1</v>
      </c>
      <c r="AM373" s="40">
        <f t="shared" si="163"/>
        <v>0</v>
      </c>
      <c r="AN373" s="40">
        <f t="shared" si="164"/>
        <v>0</v>
      </c>
      <c r="AO373" s="40">
        <f t="shared" si="165"/>
        <v>0</v>
      </c>
      <c r="AP373" s="40">
        <f t="shared" si="166"/>
        <v>0</v>
      </c>
      <c r="AQ373" s="40">
        <f t="shared" si="167"/>
        <v>0</v>
      </c>
      <c r="AR373" s="40">
        <f t="shared" si="168"/>
        <v>0</v>
      </c>
      <c r="AS373" s="40">
        <f t="shared" si="169"/>
        <v>0</v>
      </c>
    </row>
    <row r="374" spans="2:45" s="2" customFormat="1" ht="14.4" customHeight="1" x14ac:dyDescent="0.25">
      <c r="B374" s="56" t="s">
        <v>41</v>
      </c>
      <c r="C374" s="57" t="s">
        <v>25</v>
      </c>
      <c r="D374" s="58" t="s">
        <v>24</v>
      </c>
      <c r="E374" s="62">
        <v>2.1400000000000008E-3</v>
      </c>
      <c r="F374" s="65">
        <f t="shared" si="170"/>
        <v>-6.1469494499483766</v>
      </c>
      <c r="S374" s="40">
        <f t="shared" si="143"/>
        <v>0</v>
      </c>
      <c r="T374" s="40">
        <f t="shared" si="144"/>
        <v>1</v>
      </c>
      <c r="U374" s="40">
        <f t="shared" si="145"/>
        <v>0</v>
      </c>
      <c r="V374" s="40">
        <f t="shared" si="146"/>
        <v>0</v>
      </c>
      <c r="W374" s="40">
        <f t="shared" si="147"/>
        <v>0</v>
      </c>
      <c r="X374" s="40">
        <f t="shared" si="148"/>
        <v>0</v>
      </c>
      <c r="Y374" s="40">
        <f t="shared" si="149"/>
        <v>0</v>
      </c>
      <c r="Z374" s="40">
        <f t="shared" si="150"/>
        <v>0</v>
      </c>
      <c r="AA374" s="40">
        <f t="shared" si="151"/>
        <v>0</v>
      </c>
      <c r="AB374" s="40">
        <f t="shared" si="152"/>
        <v>1</v>
      </c>
      <c r="AC374" s="40">
        <f t="shared" si="153"/>
        <v>0</v>
      </c>
      <c r="AD374" s="40">
        <f t="shared" si="154"/>
        <v>0</v>
      </c>
      <c r="AE374" s="40">
        <f t="shared" si="155"/>
        <v>0</v>
      </c>
      <c r="AF374" s="40">
        <f t="shared" si="156"/>
        <v>0</v>
      </c>
      <c r="AG374" s="40">
        <f t="shared" si="157"/>
        <v>0</v>
      </c>
      <c r="AH374" s="40">
        <f t="shared" si="158"/>
        <v>0</v>
      </c>
      <c r="AI374" s="40">
        <f t="shared" si="159"/>
        <v>0</v>
      </c>
      <c r="AJ374" s="40">
        <f t="shared" si="160"/>
        <v>0</v>
      </c>
      <c r="AK374" s="40">
        <f t="shared" si="161"/>
        <v>0</v>
      </c>
      <c r="AL374" s="40">
        <f t="shared" si="162"/>
        <v>1</v>
      </c>
      <c r="AM374" s="40">
        <f t="shared" si="163"/>
        <v>0</v>
      </c>
      <c r="AN374" s="40">
        <f t="shared" si="164"/>
        <v>0</v>
      </c>
      <c r="AO374" s="40">
        <f t="shared" si="165"/>
        <v>0</v>
      </c>
      <c r="AP374" s="40">
        <f t="shared" si="166"/>
        <v>0</v>
      </c>
      <c r="AQ374" s="40">
        <f t="shared" si="167"/>
        <v>0</v>
      </c>
      <c r="AR374" s="40">
        <f t="shared" si="168"/>
        <v>0</v>
      </c>
      <c r="AS374" s="40">
        <f t="shared" si="169"/>
        <v>0</v>
      </c>
    </row>
    <row r="375" spans="2:45" s="2" customFormat="1" ht="14.4" customHeight="1" x14ac:dyDescent="0.25">
      <c r="B375" s="56" t="s">
        <v>41</v>
      </c>
      <c r="C375" s="57" t="s">
        <v>25</v>
      </c>
      <c r="D375" s="58" t="s">
        <v>24</v>
      </c>
      <c r="E375" s="62">
        <v>2.3999999999999994E-3</v>
      </c>
      <c r="F375" s="65">
        <f t="shared" si="170"/>
        <v>-6.0322865416282374</v>
      </c>
      <c r="S375" s="40">
        <f t="shared" si="143"/>
        <v>0</v>
      </c>
      <c r="T375" s="40">
        <f t="shared" si="144"/>
        <v>1</v>
      </c>
      <c r="U375" s="40">
        <f t="shared" si="145"/>
        <v>0</v>
      </c>
      <c r="V375" s="40">
        <f t="shared" si="146"/>
        <v>0</v>
      </c>
      <c r="W375" s="40">
        <f t="shared" si="147"/>
        <v>0</v>
      </c>
      <c r="X375" s="40">
        <f t="shared" si="148"/>
        <v>0</v>
      </c>
      <c r="Y375" s="40">
        <f t="shared" si="149"/>
        <v>0</v>
      </c>
      <c r="Z375" s="40">
        <f t="shared" si="150"/>
        <v>0</v>
      </c>
      <c r="AA375" s="40">
        <f t="shared" si="151"/>
        <v>0</v>
      </c>
      <c r="AB375" s="40">
        <f t="shared" si="152"/>
        <v>1</v>
      </c>
      <c r="AC375" s="40">
        <f t="shared" si="153"/>
        <v>0</v>
      </c>
      <c r="AD375" s="40">
        <f t="shared" si="154"/>
        <v>0</v>
      </c>
      <c r="AE375" s="40">
        <f t="shared" si="155"/>
        <v>0</v>
      </c>
      <c r="AF375" s="40">
        <f t="shared" si="156"/>
        <v>0</v>
      </c>
      <c r="AG375" s="40">
        <f t="shared" si="157"/>
        <v>0</v>
      </c>
      <c r="AH375" s="40">
        <f t="shared" si="158"/>
        <v>0</v>
      </c>
      <c r="AI375" s="40">
        <f t="shared" si="159"/>
        <v>0</v>
      </c>
      <c r="AJ375" s="40">
        <f t="shared" si="160"/>
        <v>0</v>
      </c>
      <c r="AK375" s="40">
        <f t="shared" si="161"/>
        <v>0</v>
      </c>
      <c r="AL375" s="40">
        <f t="shared" si="162"/>
        <v>1</v>
      </c>
      <c r="AM375" s="40">
        <f t="shared" si="163"/>
        <v>0</v>
      </c>
      <c r="AN375" s="40">
        <f t="shared" si="164"/>
        <v>0</v>
      </c>
      <c r="AO375" s="40">
        <f t="shared" si="165"/>
        <v>0</v>
      </c>
      <c r="AP375" s="40">
        <f t="shared" si="166"/>
        <v>0</v>
      </c>
      <c r="AQ375" s="40">
        <f t="shared" si="167"/>
        <v>0</v>
      </c>
      <c r="AR375" s="40">
        <f t="shared" si="168"/>
        <v>0</v>
      </c>
      <c r="AS375" s="40">
        <f t="shared" si="169"/>
        <v>0</v>
      </c>
    </row>
    <row r="376" spans="2:45" s="2" customFormat="1" ht="14.4" customHeight="1" x14ac:dyDescent="0.25">
      <c r="B376" s="56" t="s">
        <v>41</v>
      </c>
      <c r="C376" s="57" t="s">
        <v>25</v>
      </c>
      <c r="D376" s="58" t="s">
        <v>24</v>
      </c>
      <c r="E376" s="62">
        <v>4.5800000000000007E-3</v>
      </c>
      <c r="F376" s="65">
        <f t="shared" si="170"/>
        <v>-5.3860562808560433</v>
      </c>
      <c r="S376" s="40">
        <f t="shared" si="143"/>
        <v>0</v>
      </c>
      <c r="T376" s="40">
        <f t="shared" si="144"/>
        <v>1</v>
      </c>
      <c r="U376" s="40">
        <f t="shared" si="145"/>
        <v>0</v>
      </c>
      <c r="V376" s="40">
        <f t="shared" si="146"/>
        <v>0</v>
      </c>
      <c r="W376" s="40">
        <f t="shared" si="147"/>
        <v>0</v>
      </c>
      <c r="X376" s="40">
        <f t="shared" si="148"/>
        <v>0</v>
      </c>
      <c r="Y376" s="40">
        <f t="shared" si="149"/>
        <v>0</v>
      </c>
      <c r="Z376" s="40">
        <f t="shared" si="150"/>
        <v>0</v>
      </c>
      <c r="AA376" s="40">
        <f t="shared" si="151"/>
        <v>0</v>
      </c>
      <c r="AB376" s="40">
        <f t="shared" si="152"/>
        <v>1</v>
      </c>
      <c r="AC376" s="40">
        <f t="shared" si="153"/>
        <v>0</v>
      </c>
      <c r="AD376" s="40">
        <f t="shared" si="154"/>
        <v>0</v>
      </c>
      <c r="AE376" s="40">
        <f t="shared" si="155"/>
        <v>0</v>
      </c>
      <c r="AF376" s="40">
        <f t="shared" si="156"/>
        <v>0</v>
      </c>
      <c r="AG376" s="40">
        <f t="shared" si="157"/>
        <v>0</v>
      </c>
      <c r="AH376" s="40">
        <f t="shared" si="158"/>
        <v>0</v>
      </c>
      <c r="AI376" s="40">
        <f t="shared" si="159"/>
        <v>0</v>
      </c>
      <c r="AJ376" s="40">
        <f t="shared" si="160"/>
        <v>0</v>
      </c>
      <c r="AK376" s="40">
        <f t="shared" si="161"/>
        <v>0</v>
      </c>
      <c r="AL376" s="40">
        <f t="shared" si="162"/>
        <v>1</v>
      </c>
      <c r="AM376" s="40">
        <f t="shared" si="163"/>
        <v>0</v>
      </c>
      <c r="AN376" s="40">
        <f t="shared" si="164"/>
        <v>0</v>
      </c>
      <c r="AO376" s="40">
        <f t="shared" si="165"/>
        <v>0</v>
      </c>
      <c r="AP376" s="40">
        <f t="shared" si="166"/>
        <v>0</v>
      </c>
      <c r="AQ376" s="40">
        <f t="shared" si="167"/>
        <v>0</v>
      </c>
      <c r="AR376" s="40">
        <f t="shared" si="168"/>
        <v>0</v>
      </c>
      <c r="AS376" s="40">
        <f t="shared" si="169"/>
        <v>0</v>
      </c>
    </row>
    <row r="377" spans="2:45" s="2" customFormat="1" ht="14.4" customHeight="1" x14ac:dyDescent="0.25">
      <c r="B377" s="56" t="s">
        <v>41</v>
      </c>
      <c r="C377" s="57" t="s">
        <v>25</v>
      </c>
      <c r="D377" s="58" t="s">
        <v>24</v>
      </c>
      <c r="E377" s="62">
        <v>3.3299999999999996E-3</v>
      </c>
      <c r="F377" s="65">
        <f t="shared" si="170"/>
        <v>-5.7047829749897847</v>
      </c>
      <c r="S377" s="40">
        <f t="shared" si="143"/>
        <v>0</v>
      </c>
      <c r="T377" s="40">
        <f t="shared" si="144"/>
        <v>1</v>
      </c>
      <c r="U377" s="40">
        <f t="shared" si="145"/>
        <v>0</v>
      </c>
      <c r="V377" s="40">
        <f t="shared" si="146"/>
        <v>0</v>
      </c>
      <c r="W377" s="40">
        <f t="shared" si="147"/>
        <v>0</v>
      </c>
      <c r="X377" s="40">
        <f t="shared" si="148"/>
        <v>0</v>
      </c>
      <c r="Y377" s="40">
        <f t="shared" si="149"/>
        <v>0</v>
      </c>
      <c r="Z377" s="40">
        <f t="shared" si="150"/>
        <v>0</v>
      </c>
      <c r="AA377" s="40">
        <f t="shared" si="151"/>
        <v>0</v>
      </c>
      <c r="AB377" s="40">
        <f t="shared" si="152"/>
        <v>1</v>
      </c>
      <c r="AC377" s="40">
        <f t="shared" si="153"/>
        <v>0</v>
      </c>
      <c r="AD377" s="40">
        <f t="shared" si="154"/>
        <v>0</v>
      </c>
      <c r="AE377" s="40">
        <f t="shared" si="155"/>
        <v>0</v>
      </c>
      <c r="AF377" s="40">
        <f t="shared" si="156"/>
        <v>0</v>
      </c>
      <c r="AG377" s="40">
        <f t="shared" si="157"/>
        <v>0</v>
      </c>
      <c r="AH377" s="40">
        <f t="shared" si="158"/>
        <v>0</v>
      </c>
      <c r="AI377" s="40">
        <f t="shared" si="159"/>
        <v>0</v>
      </c>
      <c r="AJ377" s="40">
        <f t="shared" si="160"/>
        <v>0</v>
      </c>
      <c r="AK377" s="40">
        <f t="shared" si="161"/>
        <v>0</v>
      </c>
      <c r="AL377" s="40">
        <f t="shared" si="162"/>
        <v>1</v>
      </c>
      <c r="AM377" s="40">
        <f t="shared" si="163"/>
        <v>0</v>
      </c>
      <c r="AN377" s="40">
        <f t="shared" si="164"/>
        <v>0</v>
      </c>
      <c r="AO377" s="40">
        <f t="shared" si="165"/>
        <v>0</v>
      </c>
      <c r="AP377" s="40">
        <f t="shared" si="166"/>
        <v>0</v>
      </c>
      <c r="AQ377" s="40">
        <f t="shared" si="167"/>
        <v>0</v>
      </c>
      <c r="AR377" s="40">
        <f t="shared" si="168"/>
        <v>0</v>
      </c>
      <c r="AS377" s="40">
        <f t="shared" si="169"/>
        <v>0</v>
      </c>
    </row>
    <row r="378" spans="2:45" s="2" customFormat="1" ht="14.4" customHeight="1" x14ac:dyDescent="0.25">
      <c r="B378" s="56" t="s">
        <v>41</v>
      </c>
      <c r="C378" s="57" t="s">
        <v>25</v>
      </c>
      <c r="D378" s="58" t="s">
        <v>24</v>
      </c>
      <c r="E378" s="62">
        <v>2.7500000000000007E-3</v>
      </c>
      <c r="F378" s="65">
        <f t="shared" si="170"/>
        <v>-5.8961543673036569</v>
      </c>
      <c r="S378" s="40">
        <f t="shared" si="143"/>
        <v>0</v>
      </c>
      <c r="T378" s="40">
        <f t="shared" si="144"/>
        <v>1</v>
      </c>
      <c r="U378" s="40">
        <f t="shared" si="145"/>
        <v>0</v>
      </c>
      <c r="V378" s="40">
        <f t="shared" si="146"/>
        <v>0</v>
      </c>
      <c r="W378" s="40">
        <f t="shared" si="147"/>
        <v>0</v>
      </c>
      <c r="X378" s="40">
        <f t="shared" si="148"/>
        <v>0</v>
      </c>
      <c r="Y378" s="40">
        <f t="shared" si="149"/>
        <v>0</v>
      </c>
      <c r="Z378" s="40">
        <f t="shared" si="150"/>
        <v>1</v>
      </c>
      <c r="AA378" s="40">
        <f t="shared" si="151"/>
        <v>0</v>
      </c>
      <c r="AB378" s="40">
        <f t="shared" si="152"/>
        <v>0</v>
      </c>
      <c r="AC378" s="40">
        <f t="shared" si="153"/>
        <v>0</v>
      </c>
      <c r="AD378" s="40">
        <f t="shared" si="154"/>
        <v>0</v>
      </c>
      <c r="AE378" s="40">
        <f t="shared" si="155"/>
        <v>0</v>
      </c>
      <c r="AF378" s="40">
        <f t="shared" si="156"/>
        <v>0</v>
      </c>
      <c r="AG378" s="40">
        <f t="shared" si="157"/>
        <v>0</v>
      </c>
      <c r="AH378" s="40">
        <f t="shared" si="158"/>
        <v>0</v>
      </c>
      <c r="AI378" s="40">
        <f t="shared" si="159"/>
        <v>0</v>
      </c>
      <c r="AJ378" s="40">
        <f t="shared" si="160"/>
        <v>0</v>
      </c>
      <c r="AK378" s="40">
        <f t="shared" si="161"/>
        <v>0</v>
      </c>
      <c r="AL378" s="40">
        <f t="shared" si="162"/>
        <v>0</v>
      </c>
      <c r="AM378" s="40">
        <f t="shared" si="163"/>
        <v>0</v>
      </c>
      <c r="AN378" s="40">
        <f t="shared" si="164"/>
        <v>0</v>
      </c>
      <c r="AO378" s="40">
        <f t="shared" si="165"/>
        <v>1</v>
      </c>
      <c r="AP378" s="40">
        <f t="shared" si="166"/>
        <v>0</v>
      </c>
      <c r="AQ378" s="40">
        <f t="shared" si="167"/>
        <v>0</v>
      </c>
      <c r="AR378" s="40">
        <f t="shared" si="168"/>
        <v>0</v>
      </c>
      <c r="AS378" s="40">
        <f t="shared" si="169"/>
        <v>0</v>
      </c>
    </row>
    <row r="379" spans="2:45" s="2" customFormat="1" ht="14.4" customHeight="1" x14ac:dyDescent="0.25">
      <c r="B379" s="56" t="s">
        <v>41</v>
      </c>
      <c r="C379" s="57" t="s">
        <v>36</v>
      </c>
      <c r="D379" s="58" t="s">
        <v>31</v>
      </c>
      <c r="E379" s="62">
        <v>4.0700000000000007E-3</v>
      </c>
      <c r="F379" s="65">
        <f t="shared" si="170"/>
        <v>-5.5041122795276332</v>
      </c>
      <c r="S379" s="40">
        <f t="shared" si="143"/>
        <v>0</v>
      </c>
      <c r="T379" s="40">
        <f t="shared" si="144"/>
        <v>1</v>
      </c>
      <c r="U379" s="40">
        <f t="shared" si="145"/>
        <v>0</v>
      </c>
      <c r="V379" s="40">
        <f t="shared" si="146"/>
        <v>0</v>
      </c>
      <c r="W379" s="40">
        <f t="shared" si="147"/>
        <v>0</v>
      </c>
      <c r="X379" s="40">
        <f t="shared" si="148"/>
        <v>0</v>
      </c>
      <c r="Y379" s="40">
        <f t="shared" si="149"/>
        <v>0</v>
      </c>
      <c r="Z379" s="40">
        <f t="shared" si="150"/>
        <v>1</v>
      </c>
      <c r="AA379" s="40">
        <f t="shared" si="151"/>
        <v>0</v>
      </c>
      <c r="AB379" s="40">
        <f t="shared" si="152"/>
        <v>0</v>
      </c>
      <c r="AC379" s="40">
        <f t="shared" si="153"/>
        <v>0</v>
      </c>
      <c r="AD379" s="40">
        <f t="shared" si="154"/>
        <v>0</v>
      </c>
      <c r="AE379" s="40">
        <f t="shared" si="155"/>
        <v>0</v>
      </c>
      <c r="AF379" s="40">
        <f t="shared" si="156"/>
        <v>0</v>
      </c>
      <c r="AG379" s="40">
        <f t="shared" si="157"/>
        <v>0</v>
      </c>
      <c r="AH379" s="40">
        <f t="shared" si="158"/>
        <v>0</v>
      </c>
      <c r="AI379" s="40">
        <f t="shared" si="159"/>
        <v>0</v>
      </c>
      <c r="AJ379" s="40">
        <f t="shared" si="160"/>
        <v>0</v>
      </c>
      <c r="AK379" s="40">
        <f t="shared" si="161"/>
        <v>0</v>
      </c>
      <c r="AL379" s="40">
        <f t="shared" si="162"/>
        <v>1</v>
      </c>
      <c r="AM379" s="40">
        <f t="shared" si="163"/>
        <v>0</v>
      </c>
      <c r="AN379" s="40">
        <f t="shared" si="164"/>
        <v>0</v>
      </c>
      <c r="AO379" s="40">
        <f t="shared" si="165"/>
        <v>0</v>
      </c>
      <c r="AP379" s="40">
        <f t="shared" si="166"/>
        <v>0</v>
      </c>
      <c r="AQ379" s="40">
        <f t="shared" si="167"/>
        <v>0</v>
      </c>
      <c r="AR379" s="40">
        <f t="shared" si="168"/>
        <v>0</v>
      </c>
      <c r="AS379" s="40">
        <f t="shared" si="169"/>
        <v>0</v>
      </c>
    </row>
    <row r="380" spans="2:45" s="2" customFormat="1" ht="14.4" customHeight="1" x14ac:dyDescent="0.25">
      <c r="B380" s="56" t="s">
        <v>41</v>
      </c>
      <c r="C380" s="57" t="s">
        <v>36</v>
      </c>
      <c r="D380" s="58" t="s">
        <v>24</v>
      </c>
      <c r="E380" s="62">
        <v>4.429999999999999E-3</v>
      </c>
      <c r="F380" s="65">
        <f t="shared" si="170"/>
        <v>-5.4193556949250929</v>
      </c>
      <c r="S380" s="40">
        <f t="shared" si="143"/>
        <v>0</v>
      </c>
      <c r="T380" s="40">
        <f t="shared" si="144"/>
        <v>1</v>
      </c>
      <c r="U380" s="40">
        <f t="shared" si="145"/>
        <v>0</v>
      </c>
      <c r="V380" s="40">
        <f t="shared" si="146"/>
        <v>0</v>
      </c>
      <c r="W380" s="40">
        <f t="shared" si="147"/>
        <v>0</v>
      </c>
      <c r="X380" s="40">
        <f t="shared" si="148"/>
        <v>0</v>
      </c>
      <c r="Y380" s="40">
        <f t="shared" si="149"/>
        <v>0</v>
      </c>
      <c r="Z380" s="40">
        <f t="shared" si="150"/>
        <v>1</v>
      </c>
      <c r="AA380" s="40">
        <f t="shared" si="151"/>
        <v>0</v>
      </c>
      <c r="AB380" s="40">
        <f t="shared" si="152"/>
        <v>0</v>
      </c>
      <c r="AC380" s="40">
        <f t="shared" si="153"/>
        <v>0</v>
      </c>
      <c r="AD380" s="40">
        <f t="shared" si="154"/>
        <v>0</v>
      </c>
      <c r="AE380" s="40">
        <f t="shared" si="155"/>
        <v>0</v>
      </c>
      <c r="AF380" s="40">
        <f t="shared" si="156"/>
        <v>0</v>
      </c>
      <c r="AG380" s="40">
        <f t="shared" si="157"/>
        <v>0</v>
      </c>
      <c r="AH380" s="40">
        <f t="shared" si="158"/>
        <v>0</v>
      </c>
      <c r="AI380" s="40">
        <f t="shared" si="159"/>
        <v>0</v>
      </c>
      <c r="AJ380" s="40">
        <f t="shared" si="160"/>
        <v>0</v>
      </c>
      <c r="AK380" s="40">
        <f t="shared" si="161"/>
        <v>0</v>
      </c>
      <c r="AL380" s="40">
        <f t="shared" si="162"/>
        <v>1</v>
      </c>
      <c r="AM380" s="40">
        <f t="shared" si="163"/>
        <v>0</v>
      </c>
      <c r="AN380" s="40">
        <f t="shared" si="164"/>
        <v>0</v>
      </c>
      <c r="AO380" s="40">
        <f t="shared" si="165"/>
        <v>0</v>
      </c>
      <c r="AP380" s="40">
        <f t="shared" si="166"/>
        <v>0</v>
      </c>
      <c r="AQ380" s="40">
        <f t="shared" si="167"/>
        <v>0</v>
      </c>
      <c r="AR380" s="40">
        <f t="shared" si="168"/>
        <v>0</v>
      </c>
      <c r="AS380" s="40">
        <f t="shared" si="169"/>
        <v>0</v>
      </c>
    </row>
    <row r="381" spans="2:45" s="2" customFormat="1" ht="14.4" customHeight="1" x14ac:dyDescent="0.25">
      <c r="B381" s="56" t="s">
        <v>41</v>
      </c>
      <c r="C381" s="57" t="s">
        <v>36</v>
      </c>
      <c r="D381" s="58" t="s">
        <v>24</v>
      </c>
      <c r="E381" s="62">
        <v>4.2199999999999998E-3</v>
      </c>
      <c r="F381" s="65">
        <f t="shared" si="170"/>
        <v>-5.4679201509342166</v>
      </c>
      <c r="S381" s="40">
        <f t="shared" si="143"/>
        <v>0</v>
      </c>
      <c r="T381" s="40">
        <f t="shared" si="144"/>
        <v>1</v>
      </c>
      <c r="U381" s="40">
        <f t="shared" si="145"/>
        <v>0</v>
      </c>
      <c r="V381" s="40">
        <f t="shared" si="146"/>
        <v>0</v>
      </c>
      <c r="W381" s="40">
        <f t="shared" si="147"/>
        <v>0</v>
      </c>
      <c r="X381" s="40">
        <f t="shared" si="148"/>
        <v>0</v>
      </c>
      <c r="Y381" s="40">
        <f t="shared" si="149"/>
        <v>0</v>
      </c>
      <c r="Z381" s="40">
        <f t="shared" si="150"/>
        <v>1</v>
      </c>
      <c r="AA381" s="40">
        <f t="shared" si="151"/>
        <v>0</v>
      </c>
      <c r="AB381" s="40">
        <f t="shared" si="152"/>
        <v>0</v>
      </c>
      <c r="AC381" s="40">
        <f t="shared" si="153"/>
        <v>0</v>
      </c>
      <c r="AD381" s="40">
        <f t="shared" si="154"/>
        <v>0</v>
      </c>
      <c r="AE381" s="40">
        <f t="shared" si="155"/>
        <v>0</v>
      </c>
      <c r="AF381" s="40">
        <f t="shared" si="156"/>
        <v>0</v>
      </c>
      <c r="AG381" s="40">
        <f t="shared" si="157"/>
        <v>0</v>
      </c>
      <c r="AH381" s="40">
        <f t="shared" si="158"/>
        <v>0</v>
      </c>
      <c r="AI381" s="40">
        <f t="shared" si="159"/>
        <v>0</v>
      </c>
      <c r="AJ381" s="40">
        <f t="shared" si="160"/>
        <v>0</v>
      </c>
      <c r="AK381" s="40">
        <f t="shared" si="161"/>
        <v>0</v>
      </c>
      <c r="AL381" s="40">
        <f t="shared" si="162"/>
        <v>0</v>
      </c>
      <c r="AM381" s="40">
        <f t="shared" si="163"/>
        <v>1</v>
      </c>
      <c r="AN381" s="40">
        <f t="shared" si="164"/>
        <v>0</v>
      </c>
      <c r="AO381" s="40">
        <f t="shared" si="165"/>
        <v>0</v>
      </c>
      <c r="AP381" s="40">
        <f t="shared" si="166"/>
        <v>0</v>
      </c>
      <c r="AQ381" s="40">
        <f t="shared" si="167"/>
        <v>0</v>
      </c>
      <c r="AR381" s="40">
        <f t="shared" si="168"/>
        <v>0</v>
      </c>
      <c r="AS381" s="40">
        <f t="shared" si="169"/>
        <v>0</v>
      </c>
    </row>
    <row r="382" spans="2:45" s="2" customFormat="1" ht="14.4" customHeight="1" x14ac:dyDescent="0.25">
      <c r="B382" s="56" t="s">
        <v>41</v>
      </c>
      <c r="C382" s="57" t="s">
        <v>36</v>
      </c>
      <c r="D382" s="58" t="s">
        <v>35</v>
      </c>
      <c r="E382" s="62">
        <v>3.1300000000000013E-3</v>
      </c>
      <c r="F382" s="65">
        <f t="shared" si="170"/>
        <v>-5.7667222744300748</v>
      </c>
      <c r="S382" s="40">
        <f t="shared" si="143"/>
        <v>0</v>
      </c>
      <c r="T382" s="40">
        <f t="shared" si="144"/>
        <v>1</v>
      </c>
      <c r="U382" s="40">
        <f t="shared" si="145"/>
        <v>0</v>
      </c>
      <c r="V382" s="40">
        <f t="shared" si="146"/>
        <v>0</v>
      </c>
      <c r="W382" s="40">
        <f t="shared" si="147"/>
        <v>0</v>
      </c>
      <c r="X382" s="40">
        <f t="shared" si="148"/>
        <v>0</v>
      </c>
      <c r="Y382" s="40">
        <f t="shared" si="149"/>
        <v>0</v>
      </c>
      <c r="Z382" s="40">
        <f t="shared" si="150"/>
        <v>1</v>
      </c>
      <c r="AA382" s="40">
        <f t="shared" si="151"/>
        <v>0</v>
      </c>
      <c r="AB382" s="40">
        <f t="shared" si="152"/>
        <v>0</v>
      </c>
      <c r="AC382" s="40">
        <f t="shared" si="153"/>
        <v>0</v>
      </c>
      <c r="AD382" s="40">
        <f t="shared" si="154"/>
        <v>0</v>
      </c>
      <c r="AE382" s="40">
        <f t="shared" si="155"/>
        <v>0</v>
      </c>
      <c r="AF382" s="40">
        <f t="shared" si="156"/>
        <v>0</v>
      </c>
      <c r="AG382" s="40">
        <f t="shared" si="157"/>
        <v>0</v>
      </c>
      <c r="AH382" s="40">
        <f t="shared" si="158"/>
        <v>0</v>
      </c>
      <c r="AI382" s="40">
        <f t="shared" si="159"/>
        <v>0</v>
      </c>
      <c r="AJ382" s="40">
        <f t="shared" si="160"/>
        <v>0</v>
      </c>
      <c r="AK382" s="40">
        <f t="shared" si="161"/>
        <v>0</v>
      </c>
      <c r="AL382" s="40">
        <f t="shared" si="162"/>
        <v>0</v>
      </c>
      <c r="AM382" s="40">
        <f t="shared" si="163"/>
        <v>1</v>
      </c>
      <c r="AN382" s="40">
        <f t="shared" si="164"/>
        <v>0</v>
      </c>
      <c r="AO382" s="40">
        <f t="shared" si="165"/>
        <v>0</v>
      </c>
      <c r="AP382" s="40">
        <f t="shared" si="166"/>
        <v>0</v>
      </c>
      <c r="AQ382" s="40">
        <f t="shared" si="167"/>
        <v>0</v>
      </c>
      <c r="AR382" s="40">
        <f t="shared" si="168"/>
        <v>0</v>
      </c>
      <c r="AS382" s="40">
        <f t="shared" si="169"/>
        <v>0</v>
      </c>
    </row>
    <row r="383" spans="2:45" s="2" customFormat="1" ht="14.4" customHeight="1" x14ac:dyDescent="0.25">
      <c r="B383" s="56" t="s">
        <v>41</v>
      </c>
      <c r="C383" s="57" t="s">
        <v>36</v>
      </c>
      <c r="D383" s="58" t="s">
        <v>35</v>
      </c>
      <c r="E383" s="62">
        <v>3.5400000000000015E-3</v>
      </c>
      <c r="F383" s="65">
        <f t="shared" si="170"/>
        <v>-5.6436285518364535</v>
      </c>
      <c r="S383" s="40">
        <f t="shared" si="143"/>
        <v>0</v>
      </c>
      <c r="T383" s="40">
        <f t="shared" si="144"/>
        <v>1</v>
      </c>
      <c r="U383" s="40">
        <f t="shared" si="145"/>
        <v>0</v>
      </c>
      <c r="V383" s="40">
        <f t="shared" si="146"/>
        <v>0</v>
      </c>
      <c r="W383" s="40">
        <f t="shared" si="147"/>
        <v>0</v>
      </c>
      <c r="X383" s="40">
        <f t="shared" si="148"/>
        <v>0</v>
      </c>
      <c r="Y383" s="40">
        <f t="shared" si="149"/>
        <v>0</v>
      </c>
      <c r="Z383" s="40">
        <f t="shared" si="150"/>
        <v>0</v>
      </c>
      <c r="AA383" s="40">
        <f t="shared" si="151"/>
        <v>0</v>
      </c>
      <c r="AB383" s="40">
        <f t="shared" si="152"/>
        <v>0</v>
      </c>
      <c r="AC383" s="40">
        <f t="shared" si="153"/>
        <v>0</v>
      </c>
      <c r="AD383" s="40">
        <f t="shared" si="154"/>
        <v>0</v>
      </c>
      <c r="AE383" s="40">
        <f t="shared" si="155"/>
        <v>0</v>
      </c>
      <c r="AF383" s="40">
        <f t="shared" si="156"/>
        <v>1</v>
      </c>
      <c r="AG383" s="40">
        <f t="shared" si="157"/>
        <v>0</v>
      </c>
      <c r="AH383" s="40">
        <f t="shared" si="158"/>
        <v>0</v>
      </c>
      <c r="AI383" s="40">
        <f t="shared" si="159"/>
        <v>0</v>
      </c>
      <c r="AJ383" s="40">
        <f t="shared" si="160"/>
        <v>0</v>
      </c>
      <c r="AK383" s="40">
        <f t="shared" si="161"/>
        <v>0</v>
      </c>
      <c r="AL383" s="40">
        <f t="shared" si="162"/>
        <v>0</v>
      </c>
      <c r="AM383" s="40">
        <f t="shared" si="163"/>
        <v>0</v>
      </c>
      <c r="AN383" s="40">
        <f t="shared" si="164"/>
        <v>0</v>
      </c>
      <c r="AO383" s="40">
        <f t="shared" si="165"/>
        <v>0</v>
      </c>
      <c r="AP383" s="40">
        <f t="shared" si="166"/>
        <v>1</v>
      </c>
      <c r="AQ383" s="40">
        <f t="shared" si="167"/>
        <v>0</v>
      </c>
      <c r="AR383" s="40">
        <f t="shared" si="168"/>
        <v>0</v>
      </c>
      <c r="AS383" s="40">
        <f t="shared" si="169"/>
        <v>0</v>
      </c>
    </row>
    <row r="384" spans="2:45" s="2" customFormat="1" ht="14.4" customHeight="1" x14ac:dyDescent="0.25">
      <c r="B384" s="56" t="s">
        <v>41</v>
      </c>
      <c r="C384" s="57" t="s">
        <v>26</v>
      </c>
      <c r="D384" s="58" t="s">
        <v>40</v>
      </c>
      <c r="E384" s="62">
        <v>5.1599999999999988E-3</v>
      </c>
      <c r="F384" s="65">
        <f t="shared" si="170"/>
        <v>-5.2668186994886659</v>
      </c>
      <c r="S384" s="40">
        <f t="shared" si="143"/>
        <v>0</v>
      </c>
      <c r="T384" s="40">
        <f t="shared" si="144"/>
        <v>1</v>
      </c>
      <c r="U384" s="40">
        <f t="shared" si="145"/>
        <v>0</v>
      </c>
      <c r="V384" s="40">
        <f t="shared" si="146"/>
        <v>0</v>
      </c>
      <c r="W384" s="40">
        <f t="shared" si="147"/>
        <v>0</v>
      </c>
      <c r="X384" s="40">
        <f t="shared" si="148"/>
        <v>0</v>
      </c>
      <c r="Y384" s="40">
        <f t="shared" si="149"/>
        <v>0</v>
      </c>
      <c r="Z384" s="40">
        <f t="shared" si="150"/>
        <v>0</v>
      </c>
      <c r="AA384" s="40">
        <f t="shared" si="151"/>
        <v>0</v>
      </c>
      <c r="AB384" s="40">
        <f t="shared" si="152"/>
        <v>0</v>
      </c>
      <c r="AC384" s="40">
        <f t="shared" si="153"/>
        <v>0</v>
      </c>
      <c r="AD384" s="40">
        <f t="shared" si="154"/>
        <v>0</v>
      </c>
      <c r="AE384" s="40">
        <f t="shared" si="155"/>
        <v>0</v>
      </c>
      <c r="AF384" s="40">
        <f t="shared" si="156"/>
        <v>1</v>
      </c>
      <c r="AG384" s="40">
        <f t="shared" si="157"/>
        <v>0</v>
      </c>
      <c r="AH384" s="40">
        <f t="shared" si="158"/>
        <v>0</v>
      </c>
      <c r="AI384" s="40">
        <f t="shared" si="159"/>
        <v>0</v>
      </c>
      <c r="AJ384" s="40">
        <f t="shared" si="160"/>
        <v>0</v>
      </c>
      <c r="AK384" s="40">
        <f t="shared" si="161"/>
        <v>0</v>
      </c>
      <c r="AL384" s="40">
        <f t="shared" si="162"/>
        <v>0</v>
      </c>
      <c r="AM384" s="40">
        <f t="shared" si="163"/>
        <v>0</v>
      </c>
      <c r="AN384" s="40">
        <f t="shared" si="164"/>
        <v>0</v>
      </c>
      <c r="AO384" s="40">
        <f t="shared" si="165"/>
        <v>0</v>
      </c>
      <c r="AP384" s="40">
        <f t="shared" si="166"/>
        <v>1</v>
      </c>
      <c r="AQ384" s="40">
        <f t="shared" si="167"/>
        <v>0</v>
      </c>
      <c r="AR384" s="40">
        <f t="shared" si="168"/>
        <v>0</v>
      </c>
      <c r="AS384" s="40">
        <f t="shared" si="169"/>
        <v>0</v>
      </c>
    </row>
    <row r="385" spans="2:45" s="2" customFormat="1" ht="14.4" customHeight="1" x14ac:dyDescent="0.25">
      <c r="B385" s="56" t="s">
        <v>41</v>
      </c>
      <c r="C385" s="57" t="s">
        <v>26</v>
      </c>
      <c r="D385" s="58" t="s">
        <v>40</v>
      </c>
      <c r="E385" s="62">
        <v>5.2999999999999983E-3</v>
      </c>
      <c r="F385" s="65">
        <f t="shared" si="170"/>
        <v>-5.2400484584240612</v>
      </c>
      <c r="S385" s="40">
        <f t="shared" si="143"/>
        <v>0</v>
      </c>
      <c r="T385" s="40">
        <f t="shared" si="144"/>
        <v>1</v>
      </c>
      <c r="U385" s="40">
        <f t="shared" si="145"/>
        <v>0</v>
      </c>
      <c r="V385" s="40">
        <f t="shared" si="146"/>
        <v>0</v>
      </c>
      <c r="W385" s="40">
        <f t="shared" si="147"/>
        <v>0</v>
      </c>
      <c r="X385" s="40">
        <f t="shared" si="148"/>
        <v>0</v>
      </c>
      <c r="Y385" s="40">
        <f t="shared" si="149"/>
        <v>0</v>
      </c>
      <c r="Z385" s="40">
        <f t="shared" si="150"/>
        <v>0</v>
      </c>
      <c r="AA385" s="40">
        <f t="shared" si="151"/>
        <v>0</v>
      </c>
      <c r="AB385" s="40">
        <f t="shared" si="152"/>
        <v>0</v>
      </c>
      <c r="AC385" s="40">
        <f t="shared" si="153"/>
        <v>0</v>
      </c>
      <c r="AD385" s="40">
        <f t="shared" si="154"/>
        <v>0</v>
      </c>
      <c r="AE385" s="40">
        <f t="shared" si="155"/>
        <v>0</v>
      </c>
      <c r="AF385" s="40">
        <f t="shared" si="156"/>
        <v>1</v>
      </c>
      <c r="AG385" s="40">
        <f t="shared" si="157"/>
        <v>0</v>
      </c>
      <c r="AH385" s="40">
        <f t="shared" si="158"/>
        <v>0</v>
      </c>
      <c r="AI385" s="40">
        <f t="shared" si="159"/>
        <v>0</v>
      </c>
      <c r="AJ385" s="40">
        <f t="shared" si="160"/>
        <v>0</v>
      </c>
      <c r="AK385" s="40">
        <f t="shared" si="161"/>
        <v>0</v>
      </c>
      <c r="AL385" s="40">
        <f t="shared" si="162"/>
        <v>0</v>
      </c>
      <c r="AM385" s="40">
        <f t="shared" si="163"/>
        <v>0</v>
      </c>
      <c r="AN385" s="40">
        <f t="shared" si="164"/>
        <v>0</v>
      </c>
      <c r="AO385" s="40">
        <f t="shared" si="165"/>
        <v>0</v>
      </c>
      <c r="AP385" s="40">
        <f t="shared" si="166"/>
        <v>1</v>
      </c>
      <c r="AQ385" s="40">
        <f t="shared" si="167"/>
        <v>0</v>
      </c>
      <c r="AR385" s="40">
        <f t="shared" si="168"/>
        <v>0</v>
      </c>
      <c r="AS385" s="40">
        <f t="shared" si="169"/>
        <v>0</v>
      </c>
    </row>
    <row r="386" spans="2:45" s="2" customFormat="1" ht="14.4" customHeight="1" x14ac:dyDescent="0.25">
      <c r="B386" s="56" t="s">
        <v>41</v>
      </c>
      <c r="C386" s="57" t="s">
        <v>26</v>
      </c>
      <c r="D386" s="58" t="s">
        <v>40</v>
      </c>
      <c r="E386" s="62">
        <v>4.1399999999999987E-3</v>
      </c>
      <c r="F386" s="65">
        <f t="shared" si="170"/>
        <v>-5.4870594911449144</v>
      </c>
      <c r="S386" s="40">
        <f t="shared" si="143"/>
        <v>0</v>
      </c>
      <c r="T386" s="40">
        <f t="shared" si="144"/>
        <v>1</v>
      </c>
      <c r="U386" s="40">
        <f t="shared" si="145"/>
        <v>0</v>
      </c>
      <c r="V386" s="40">
        <f t="shared" si="146"/>
        <v>0</v>
      </c>
      <c r="W386" s="40">
        <f t="shared" si="147"/>
        <v>0</v>
      </c>
      <c r="X386" s="40">
        <f t="shared" si="148"/>
        <v>0</v>
      </c>
      <c r="Y386" s="40">
        <f t="shared" si="149"/>
        <v>0</v>
      </c>
      <c r="Z386" s="40">
        <f t="shared" si="150"/>
        <v>0</v>
      </c>
      <c r="AA386" s="40">
        <f t="shared" si="151"/>
        <v>0</v>
      </c>
      <c r="AB386" s="40">
        <f t="shared" si="152"/>
        <v>0</v>
      </c>
      <c r="AC386" s="40">
        <f t="shared" si="153"/>
        <v>0</v>
      </c>
      <c r="AD386" s="40">
        <f t="shared" si="154"/>
        <v>0</v>
      </c>
      <c r="AE386" s="40">
        <f t="shared" si="155"/>
        <v>0</v>
      </c>
      <c r="AF386" s="40">
        <f t="shared" si="156"/>
        <v>1</v>
      </c>
      <c r="AG386" s="40">
        <f t="shared" si="157"/>
        <v>0</v>
      </c>
      <c r="AH386" s="40">
        <f t="shared" si="158"/>
        <v>0</v>
      </c>
      <c r="AI386" s="40">
        <f t="shared" si="159"/>
        <v>0</v>
      </c>
      <c r="AJ386" s="40">
        <f t="shared" si="160"/>
        <v>0</v>
      </c>
      <c r="AK386" s="40">
        <f t="shared" si="161"/>
        <v>0</v>
      </c>
      <c r="AL386" s="40">
        <f t="shared" si="162"/>
        <v>0</v>
      </c>
      <c r="AM386" s="40">
        <f t="shared" si="163"/>
        <v>0</v>
      </c>
      <c r="AN386" s="40">
        <f t="shared" si="164"/>
        <v>0</v>
      </c>
      <c r="AO386" s="40">
        <f t="shared" si="165"/>
        <v>0</v>
      </c>
      <c r="AP386" s="40">
        <f t="shared" si="166"/>
        <v>1</v>
      </c>
      <c r="AQ386" s="40">
        <f t="shared" si="167"/>
        <v>0</v>
      </c>
      <c r="AR386" s="40">
        <f t="shared" si="168"/>
        <v>0</v>
      </c>
      <c r="AS386" s="40">
        <f t="shared" si="169"/>
        <v>0</v>
      </c>
    </row>
    <row r="387" spans="2:45" s="2" customFormat="1" ht="14.4" customHeight="1" x14ac:dyDescent="0.25">
      <c r="B387" s="56" t="s">
        <v>41</v>
      </c>
      <c r="C387" s="57" t="s">
        <v>26</v>
      </c>
      <c r="D387" s="58" t="s">
        <v>40</v>
      </c>
      <c r="E387" s="62">
        <v>4.5300000000000002E-3</v>
      </c>
      <c r="F387" s="65">
        <f t="shared" si="170"/>
        <v>-5.3970333394871943</v>
      </c>
      <c r="S387" s="40">
        <f t="shared" si="143"/>
        <v>0</v>
      </c>
      <c r="T387" s="40">
        <f t="shared" si="144"/>
        <v>1</v>
      </c>
      <c r="U387" s="40">
        <f t="shared" si="145"/>
        <v>0</v>
      </c>
      <c r="V387" s="40">
        <f t="shared" si="146"/>
        <v>0</v>
      </c>
      <c r="W387" s="40">
        <f t="shared" si="147"/>
        <v>0</v>
      </c>
      <c r="X387" s="40">
        <f t="shared" si="148"/>
        <v>0</v>
      </c>
      <c r="Y387" s="40">
        <f t="shared" si="149"/>
        <v>0</v>
      </c>
      <c r="Z387" s="40">
        <f t="shared" si="150"/>
        <v>0</v>
      </c>
      <c r="AA387" s="40">
        <f t="shared" si="151"/>
        <v>0</v>
      </c>
      <c r="AB387" s="40">
        <f t="shared" si="152"/>
        <v>0</v>
      </c>
      <c r="AC387" s="40">
        <f t="shared" si="153"/>
        <v>0</v>
      </c>
      <c r="AD387" s="40">
        <f t="shared" si="154"/>
        <v>0</v>
      </c>
      <c r="AE387" s="40">
        <f t="shared" si="155"/>
        <v>0</v>
      </c>
      <c r="AF387" s="40">
        <f t="shared" si="156"/>
        <v>1</v>
      </c>
      <c r="AG387" s="40">
        <f t="shared" si="157"/>
        <v>0</v>
      </c>
      <c r="AH387" s="40">
        <f t="shared" si="158"/>
        <v>0</v>
      </c>
      <c r="AI387" s="40">
        <f t="shared" si="159"/>
        <v>0</v>
      </c>
      <c r="AJ387" s="40">
        <f t="shared" si="160"/>
        <v>0</v>
      </c>
      <c r="AK387" s="40">
        <f t="shared" si="161"/>
        <v>0</v>
      </c>
      <c r="AL387" s="40">
        <f t="shared" si="162"/>
        <v>0</v>
      </c>
      <c r="AM387" s="40">
        <f t="shared" si="163"/>
        <v>0</v>
      </c>
      <c r="AN387" s="40">
        <f t="shared" si="164"/>
        <v>0</v>
      </c>
      <c r="AO387" s="40">
        <f t="shared" si="165"/>
        <v>0</v>
      </c>
      <c r="AP387" s="40">
        <f t="shared" si="166"/>
        <v>1</v>
      </c>
      <c r="AQ387" s="40">
        <f t="shared" si="167"/>
        <v>0</v>
      </c>
      <c r="AR387" s="40">
        <f t="shared" si="168"/>
        <v>0</v>
      </c>
      <c r="AS387" s="40">
        <f t="shared" si="169"/>
        <v>0</v>
      </c>
    </row>
    <row r="388" spans="2:45" s="2" customFormat="1" ht="14.4" customHeight="1" x14ac:dyDescent="0.25">
      <c r="B388" s="56" t="s">
        <v>41</v>
      </c>
      <c r="C388" s="57" t="s">
        <v>26</v>
      </c>
      <c r="D388" s="58" t="s">
        <v>40</v>
      </c>
      <c r="E388" s="62">
        <v>5.0700000000000007E-3</v>
      </c>
      <c r="F388" s="65">
        <f t="shared" si="170"/>
        <v>-5.2844144613790451</v>
      </c>
      <c r="S388" s="40">
        <f t="shared" si="143"/>
        <v>0</v>
      </c>
      <c r="T388" s="40">
        <f t="shared" si="144"/>
        <v>1</v>
      </c>
      <c r="U388" s="40">
        <f t="shared" si="145"/>
        <v>0</v>
      </c>
      <c r="V388" s="40">
        <f t="shared" si="146"/>
        <v>0</v>
      </c>
      <c r="W388" s="40">
        <f t="shared" si="147"/>
        <v>0</v>
      </c>
      <c r="X388" s="40">
        <f t="shared" si="148"/>
        <v>0</v>
      </c>
      <c r="Y388" s="40">
        <f t="shared" si="149"/>
        <v>0</v>
      </c>
      <c r="Z388" s="40">
        <f t="shared" si="150"/>
        <v>0</v>
      </c>
      <c r="AA388" s="40">
        <f t="shared" si="151"/>
        <v>0</v>
      </c>
      <c r="AB388" s="40">
        <f t="shared" si="152"/>
        <v>0</v>
      </c>
      <c r="AC388" s="40">
        <f t="shared" si="153"/>
        <v>0</v>
      </c>
      <c r="AD388" s="40">
        <f t="shared" si="154"/>
        <v>0</v>
      </c>
      <c r="AE388" s="40">
        <f t="shared" si="155"/>
        <v>0</v>
      </c>
      <c r="AF388" s="40">
        <f t="shared" si="156"/>
        <v>1</v>
      </c>
      <c r="AG388" s="40">
        <f t="shared" si="157"/>
        <v>0</v>
      </c>
      <c r="AH388" s="40">
        <f t="shared" si="158"/>
        <v>0</v>
      </c>
      <c r="AI388" s="40">
        <f t="shared" si="159"/>
        <v>0</v>
      </c>
      <c r="AJ388" s="40">
        <f t="shared" si="160"/>
        <v>0</v>
      </c>
      <c r="AK388" s="40">
        <f t="shared" si="161"/>
        <v>0</v>
      </c>
      <c r="AL388" s="40">
        <f t="shared" si="162"/>
        <v>0</v>
      </c>
      <c r="AM388" s="40">
        <f t="shared" si="163"/>
        <v>0</v>
      </c>
      <c r="AN388" s="40">
        <f t="shared" si="164"/>
        <v>0</v>
      </c>
      <c r="AO388" s="40">
        <f t="shared" si="165"/>
        <v>0</v>
      </c>
      <c r="AP388" s="40">
        <f t="shared" si="166"/>
        <v>1</v>
      </c>
      <c r="AQ388" s="40">
        <f t="shared" si="167"/>
        <v>0</v>
      </c>
      <c r="AR388" s="40">
        <f t="shared" si="168"/>
        <v>0</v>
      </c>
      <c r="AS388" s="40">
        <f t="shared" si="169"/>
        <v>0</v>
      </c>
    </row>
    <row r="389" spans="2:45" s="2" customFormat="1" ht="14.4" customHeight="1" x14ac:dyDescent="0.25">
      <c r="B389" s="56" t="s">
        <v>41</v>
      </c>
      <c r="C389" s="57" t="s">
        <v>26</v>
      </c>
      <c r="D389" s="58" t="s">
        <v>40</v>
      </c>
      <c r="E389" s="62">
        <v>5.2999999999999983E-3</v>
      </c>
      <c r="F389" s="65">
        <f t="shared" si="170"/>
        <v>-5.2400484584240612</v>
      </c>
      <c r="S389" s="40">
        <f t="shared" si="143"/>
        <v>0</v>
      </c>
      <c r="T389" s="40">
        <f t="shared" si="144"/>
        <v>1</v>
      </c>
      <c r="U389" s="40">
        <f t="shared" si="145"/>
        <v>0</v>
      </c>
      <c r="V389" s="40">
        <f t="shared" si="146"/>
        <v>0</v>
      </c>
      <c r="W389" s="40">
        <f t="shared" si="147"/>
        <v>0</v>
      </c>
      <c r="X389" s="40">
        <f t="shared" si="148"/>
        <v>0</v>
      </c>
      <c r="Y389" s="40">
        <f t="shared" si="149"/>
        <v>0</v>
      </c>
      <c r="Z389" s="40">
        <f t="shared" si="150"/>
        <v>0</v>
      </c>
      <c r="AA389" s="40">
        <f t="shared" si="151"/>
        <v>0</v>
      </c>
      <c r="AB389" s="40">
        <f t="shared" si="152"/>
        <v>0</v>
      </c>
      <c r="AC389" s="40">
        <f t="shared" si="153"/>
        <v>0</v>
      </c>
      <c r="AD389" s="40">
        <f t="shared" si="154"/>
        <v>0</v>
      </c>
      <c r="AE389" s="40">
        <f t="shared" si="155"/>
        <v>0</v>
      </c>
      <c r="AF389" s="40">
        <f t="shared" si="156"/>
        <v>1</v>
      </c>
      <c r="AG389" s="40">
        <f t="shared" si="157"/>
        <v>0</v>
      </c>
      <c r="AH389" s="40">
        <f t="shared" si="158"/>
        <v>0</v>
      </c>
      <c r="AI389" s="40">
        <f t="shared" si="159"/>
        <v>0</v>
      </c>
      <c r="AJ389" s="40">
        <f t="shared" si="160"/>
        <v>0</v>
      </c>
      <c r="AK389" s="40">
        <f t="shared" si="161"/>
        <v>0</v>
      </c>
      <c r="AL389" s="40">
        <f t="shared" si="162"/>
        <v>0</v>
      </c>
      <c r="AM389" s="40">
        <f t="shared" si="163"/>
        <v>0</v>
      </c>
      <c r="AN389" s="40">
        <f t="shared" si="164"/>
        <v>0</v>
      </c>
      <c r="AO389" s="40">
        <f t="shared" si="165"/>
        <v>0</v>
      </c>
      <c r="AP389" s="40">
        <f t="shared" si="166"/>
        <v>1</v>
      </c>
      <c r="AQ389" s="40">
        <f t="shared" si="167"/>
        <v>0</v>
      </c>
      <c r="AR389" s="40">
        <f t="shared" si="168"/>
        <v>0</v>
      </c>
      <c r="AS389" s="40">
        <f t="shared" si="169"/>
        <v>0</v>
      </c>
    </row>
    <row r="390" spans="2:45" s="2" customFormat="1" ht="14.4" customHeight="1" x14ac:dyDescent="0.25">
      <c r="B390" s="56" t="s">
        <v>41</v>
      </c>
      <c r="C390" s="57" t="s">
        <v>26</v>
      </c>
      <c r="D390" s="58" t="s">
        <v>40</v>
      </c>
      <c r="E390" s="62">
        <v>5.4800000000000005E-3</v>
      </c>
      <c r="F390" s="65">
        <f t="shared" si="170"/>
        <v>-5.2066501780222127</v>
      </c>
      <c r="S390" s="40">
        <f t="shared" si="143"/>
        <v>0</v>
      </c>
      <c r="T390" s="40">
        <f t="shared" si="144"/>
        <v>1</v>
      </c>
      <c r="U390" s="40">
        <f t="shared" si="145"/>
        <v>0</v>
      </c>
      <c r="V390" s="40">
        <f t="shared" si="146"/>
        <v>0</v>
      </c>
      <c r="W390" s="40">
        <f t="shared" si="147"/>
        <v>0</v>
      </c>
      <c r="X390" s="40">
        <f t="shared" si="148"/>
        <v>0</v>
      </c>
      <c r="Y390" s="40">
        <f t="shared" si="149"/>
        <v>0</v>
      </c>
      <c r="Z390" s="40">
        <f t="shared" si="150"/>
        <v>0</v>
      </c>
      <c r="AA390" s="40">
        <f t="shared" si="151"/>
        <v>0</v>
      </c>
      <c r="AB390" s="40">
        <f t="shared" si="152"/>
        <v>0</v>
      </c>
      <c r="AC390" s="40">
        <f t="shared" si="153"/>
        <v>0</v>
      </c>
      <c r="AD390" s="40">
        <f t="shared" si="154"/>
        <v>0</v>
      </c>
      <c r="AE390" s="40">
        <f t="shared" si="155"/>
        <v>0</v>
      </c>
      <c r="AF390" s="40">
        <f t="shared" si="156"/>
        <v>1</v>
      </c>
      <c r="AG390" s="40">
        <f t="shared" si="157"/>
        <v>0</v>
      </c>
      <c r="AH390" s="40">
        <f t="shared" si="158"/>
        <v>0</v>
      </c>
      <c r="AI390" s="40">
        <f t="shared" si="159"/>
        <v>0</v>
      </c>
      <c r="AJ390" s="40">
        <f t="shared" si="160"/>
        <v>0</v>
      </c>
      <c r="AK390" s="40">
        <f t="shared" si="161"/>
        <v>0</v>
      </c>
      <c r="AL390" s="40">
        <f t="shared" si="162"/>
        <v>0</v>
      </c>
      <c r="AM390" s="40">
        <f t="shared" si="163"/>
        <v>0</v>
      </c>
      <c r="AN390" s="40">
        <f t="shared" si="164"/>
        <v>0</v>
      </c>
      <c r="AO390" s="40">
        <f t="shared" si="165"/>
        <v>0</v>
      </c>
      <c r="AP390" s="40">
        <f t="shared" si="166"/>
        <v>1</v>
      </c>
      <c r="AQ390" s="40">
        <f t="shared" si="167"/>
        <v>0</v>
      </c>
      <c r="AR390" s="40">
        <f t="shared" si="168"/>
        <v>0</v>
      </c>
      <c r="AS390" s="40">
        <f t="shared" si="169"/>
        <v>0</v>
      </c>
    </row>
    <row r="391" spans="2:45" s="2" customFormat="1" ht="14.4" customHeight="1" x14ac:dyDescent="0.25">
      <c r="B391" s="56" t="s">
        <v>41</v>
      </c>
      <c r="C391" s="57" t="s">
        <v>26</v>
      </c>
      <c r="D391" s="58" t="s">
        <v>40</v>
      </c>
      <c r="E391" s="62">
        <v>4.7900000000000017E-3</v>
      </c>
      <c r="F391" s="65">
        <f t="shared" si="170"/>
        <v>-5.3412248675593128</v>
      </c>
      <c r="S391" s="40">
        <f t="shared" si="143"/>
        <v>1</v>
      </c>
      <c r="T391" s="40">
        <f t="shared" si="144"/>
        <v>0</v>
      </c>
      <c r="U391" s="40">
        <f t="shared" si="145"/>
        <v>0</v>
      </c>
      <c r="V391" s="40">
        <f t="shared" si="146"/>
        <v>0</v>
      </c>
      <c r="W391" s="40">
        <f t="shared" si="147"/>
        <v>0</v>
      </c>
      <c r="X391" s="40">
        <f t="shared" si="148"/>
        <v>0</v>
      </c>
      <c r="Y391" s="40">
        <f t="shared" si="149"/>
        <v>0</v>
      </c>
      <c r="Z391" s="40">
        <f t="shared" si="150"/>
        <v>0</v>
      </c>
      <c r="AA391" s="40">
        <f t="shared" si="151"/>
        <v>0</v>
      </c>
      <c r="AB391" s="40">
        <f t="shared" si="152"/>
        <v>0</v>
      </c>
      <c r="AC391" s="40">
        <f t="shared" si="153"/>
        <v>0</v>
      </c>
      <c r="AD391" s="40">
        <f t="shared" si="154"/>
        <v>0</v>
      </c>
      <c r="AE391" s="40">
        <f t="shared" si="155"/>
        <v>0</v>
      </c>
      <c r="AF391" s="40">
        <f t="shared" si="156"/>
        <v>1</v>
      </c>
      <c r="AG391" s="40">
        <f t="shared" si="157"/>
        <v>0</v>
      </c>
      <c r="AH391" s="40">
        <f t="shared" si="158"/>
        <v>0</v>
      </c>
      <c r="AI391" s="40">
        <f t="shared" si="159"/>
        <v>0</v>
      </c>
      <c r="AJ391" s="40">
        <f t="shared" si="160"/>
        <v>0</v>
      </c>
      <c r="AK391" s="40">
        <f t="shared" si="161"/>
        <v>0</v>
      </c>
      <c r="AL391" s="40">
        <f t="shared" si="162"/>
        <v>0</v>
      </c>
      <c r="AM391" s="40">
        <f t="shared" si="163"/>
        <v>1</v>
      </c>
      <c r="AN391" s="40">
        <f t="shared" si="164"/>
        <v>0</v>
      </c>
      <c r="AO391" s="40">
        <f t="shared" si="165"/>
        <v>0</v>
      </c>
      <c r="AP391" s="40">
        <f t="shared" si="166"/>
        <v>0</v>
      </c>
      <c r="AQ391" s="40">
        <f t="shared" si="167"/>
        <v>0</v>
      </c>
      <c r="AR391" s="40">
        <f t="shared" si="168"/>
        <v>0</v>
      </c>
      <c r="AS391" s="40">
        <f t="shared" si="169"/>
        <v>0</v>
      </c>
    </row>
    <row r="392" spans="2:45" s="2" customFormat="1" ht="14.4" customHeight="1" x14ac:dyDescent="0.25">
      <c r="B392" s="56" t="s">
        <v>42</v>
      </c>
      <c r="C392" s="57" t="s">
        <v>26</v>
      </c>
      <c r="D392" s="58" t="s">
        <v>35</v>
      </c>
      <c r="E392" s="62">
        <v>2.8100000000000009E-3</v>
      </c>
      <c r="F392" s="65">
        <f t="shared" si="170"/>
        <v>-5.8745707956364823</v>
      </c>
      <c r="S392" s="40">
        <f t="shared" si="143"/>
        <v>1</v>
      </c>
      <c r="T392" s="40">
        <f t="shared" si="144"/>
        <v>0</v>
      </c>
      <c r="U392" s="40">
        <f t="shared" si="145"/>
        <v>0</v>
      </c>
      <c r="V392" s="40">
        <f t="shared" si="146"/>
        <v>0</v>
      </c>
      <c r="W392" s="40">
        <f t="shared" si="147"/>
        <v>0</v>
      </c>
      <c r="X392" s="40">
        <f t="shared" si="148"/>
        <v>0</v>
      </c>
      <c r="Y392" s="40">
        <f t="shared" si="149"/>
        <v>0</v>
      </c>
      <c r="Z392" s="40">
        <f t="shared" si="150"/>
        <v>0</v>
      </c>
      <c r="AA392" s="40">
        <f t="shared" si="151"/>
        <v>0</v>
      </c>
      <c r="AB392" s="40">
        <f t="shared" si="152"/>
        <v>1</v>
      </c>
      <c r="AC392" s="40">
        <f t="shared" si="153"/>
        <v>0</v>
      </c>
      <c r="AD392" s="40">
        <f t="shared" si="154"/>
        <v>0</v>
      </c>
      <c r="AE392" s="40">
        <f t="shared" si="155"/>
        <v>0</v>
      </c>
      <c r="AF392" s="40">
        <f t="shared" si="156"/>
        <v>0</v>
      </c>
      <c r="AG392" s="40">
        <f t="shared" si="157"/>
        <v>0</v>
      </c>
      <c r="AH392" s="40">
        <f t="shared" si="158"/>
        <v>0</v>
      </c>
      <c r="AI392" s="40">
        <f t="shared" si="159"/>
        <v>0</v>
      </c>
      <c r="AJ392" s="40">
        <f t="shared" si="160"/>
        <v>0</v>
      </c>
      <c r="AK392" s="40">
        <f t="shared" si="161"/>
        <v>0</v>
      </c>
      <c r="AL392" s="40">
        <f t="shared" si="162"/>
        <v>0</v>
      </c>
      <c r="AM392" s="40">
        <f t="shared" si="163"/>
        <v>1</v>
      </c>
      <c r="AN392" s="40">
        <f t="shared" si="164"/>
        <v>0</v>
      </c>
      <c r="AO392" s="40">
        <f t="shared" si="165"/>
        <v>0</v>
      </c>
      <c r="AP392" s="40">
        <f t="shared" si="166"/>
        <v>0</v>
      </c>
      <c r="AQ392" s="40">
        <f t="shared" si="167"/>
        <v>0</v>
      </c>
      <c r="AR392" s="40">
        <f t="shared" si="168"/>
        <v>0</v>
      </c>
      <c r="AS392" s="40">
        <f t="shared" si="169"/>
        <v>0</v>
      </c>
    </row>
    <row r="393" spans="2:45" s="2" customFormat="1" ht="14.4" customHeight="1" x14ac:dyDescent="0.25">
      <c r="B393" s="56" t="s">
        <v>42</v>
      </c>
      <c r="C393" s="57" t="s">
        <v>25</v>
      </c>
      <c r="D393" s="58" t="s">
        <v>35</v>
      </c>
      <c r="E393" s="62">
        <v>1.0700000000000004E-3</v>
      </c>
      <c r="F393" s="65">
        <f t="shared" si="170"/>
        <v>-6.840096630508322</v>
      </c>
      <c r="S393" s="40">
        <f t="shared" si="143"/>
        <v>1</v>
      </c>
      <c r="T393" s="40">
        <f t="shared" si="144"/>
        <v>0</v>
      </c>
      <c r="U393" s="40">
        <f t="shared" si="145"/>
        <v>0</v>
      </c>
      <c r="V393" s="40">
        <f t="shared" si="146"/>
        <v>0</v>
      </c>
      <c r="W393" s="40">
        <f t="shared" si="147"/>
        <v>0</v>
      </c>
      <c r="X393" s="40">
        <f t="shared" si="148"/>
        <v>0</v>
      </c>
      <c r="Y393" s="40">
        <f t="shared" si="149"/>
        <v>0</v>
      </c>
      <c r="Z393" s="40">
        <f t="shared" si="150"/>
        <v>0</v>
      </c>
      <c r="AA393" s="40">
        <f t="shared" si="151"/>
        <v>0</v>
      </c>
      <c r="AB393" s="40">
        <f t="shared" si="152"/>
        <v>0</v>
      </c>
      <c r="AC393" s="40">
        <f t="shared" si="153"/>
        <v>0</v>
      </c>
      <c r="AD393" s="40">
        <f t="shared" si="154"/>
        <v>0</v>
      </c>
      <c r="AE393" s="40">
        <f t="shared" si="155"/>
        <v>0</v>
      </c>
      <c r="AF393" s="40">
        <f t="shared" si="156"/>
        <v>1</v>
      </c>
      <c r="AG393" s="40">
        <f t="shared" si="157"/>
        <v>0</v>
      </c>
      <c r="AH393" s="40">
        <f t="shared" si="158"/>
        <v>0</v>
      </c>
      <c r="AI393" s="40">
        <f t="shared" si="159"/>
        <v>0</v>
      </c>
      <c r="AJ393" s="40">
        <f t="shared" si="160"/>
        <v>0</v>
      </c>
      <c r="AK393" s="40">
        <f t="shared" si="161"/>
        <v>0</v>
      </c>
      <c r="AL393" s="40">
        <f t="shared" si="162"/>
        <v>0</v>
      </c>
      <c r="AM393" s="40">
        <f t="shared" si="163"/>
        <v>0</v>
      </c>
      <c r="AN393" s="40">
        <f t="shared" si="164"/>
        <v>1</v>
      </c>
      <c r="AO393" s="40">
        <f t="shared" si="165"/>
        <v>0</v>
      </c>
      <c r="AP393" s="40">
        <f t="shared" si="166"/>
        <v>0</v>
      </c>
      <c r="AQ393" s="40">
        <f t="shared" si="167"/>
        <v>0</v>
      </c>
      <c r="AR393" s="40">
        <f t="shared" si="168"/>
        <v>0</v>
      </c>
      <c r="AS393" s="40">
        <f t="shared" si="169"/>
        <v>0</v>
      </c>
    </row>
    <row r="394" spans="2:45" s="2" customFormat="1" ht="14.4" customHeight="1" x14ac:dyDescent="0.25">
      <c r="B394" s="56" t="s">
        <v>42</v>
      </c>
      <c r="C394" s="57" t="s">
        <v>26</v>
      </c>
      <c r="D394" s="58" t="s">
        <v>29</v>
      </c>
      <c r="E394" s="62">
        <v>3.4200000000000012E-3</v>
      </c>
      <c r="F394" s="65">
        <f t="shared" si="170"/>
        <v>-5.6781147279076229</v>
      </c>
      <c r="S394" s="40">
        <f t="shared" ref="S394:S457" si="171">IF($B395=S$9,1,0)</f>
        <v>1</v>
      </c>
      <c r="T394" s="40">
        <f t="shared" ref="T394:T457" si="172">IF($B395=T$9,1,0)</f>
        <v>0</v>
      </c>
      <c r="U394" s="40">
        <f t="shared" ref="U394:U457" si="173">IF($B395=U$9,1,0)</f>
        <v>0</v>
      </c>
      <c r="V394" s="40">
        <f t="shared" ref="V394:V457" si="174">IF($B395=V$9,1,0)</f>
        <v>0</v>
      </c>
      <c r="W394" s="40">
        <f t="shared" ref="W394:W457" si="175">IF($B395=W$9,1,0)</f>
        <v>0</v>
      </c>
      <c r="X394" s="40">
        <f t="shared" ref="X394:X457" si="176">IF($B395=X$9,1,0)</f>
        <v>0</v>
      </c>
      <c r="Y394" s="40">
        <f t="shared" ref="Y394:Y457" si="177">IF($B395=Y$9,1,0)</f>
        <v>0</v>
      </c>
      <c r="Z394" s="40">
        <f t="shared" ref="Z394:Z457" si="178">IF($C395=Z$9,1,0)</f>
        <v>0</v>
      </c>
      <c r="AA394" s="40">
        <f t="shared" ref="AA394:AA457" si="179">IF($C395=AA$9,1,0)</f>
        <v>0</v>
      </c>
      <c r="AB394" s="40">
        <f t="shared" ref="AB394:AB457" si="180">IF($C395=AB$9,1,0)</f>
        <v>0</v>
      </c>
      <c r="AC394" s="40">
        <f t="shared" ref="AC394:AC457" si="181">IF($C395=AC$9,1,0)</f>
        <v>0</v>
      </c>
      <c r="AD394" s="40">
        <f t="shared" ref="AD394:AD457" si="182">IF($C395=AD$9,1,0)</f>
        <v>0</v>
      </c>
      <c r="AE394" s="40">
        <f t="shared" ref="AE394:AE457" si="183">IF($C395=AE$9,1,0)</f>
        <v>0</v>
      </c>
      <c r="AF394" s="40">
        <f t="shared" ref="AF394:AF457" si="184">IF($C395=AF$9,1,0)</f>
        <v>1</v>
      </c>
      <c r="AG394" s="40">
        <f t="shared" ref="AG394:AG457" si="185">IF($C395=AG$9,1,0)</f>
        <v>0</v>
      </c>
      <c r="AH394" s="40">
        <f t="shared" ref="AH394:AH457" si="186">IF($D395=AH$9,1,0)</f>
        <v>0</v>
      </c>
      <c r="AI394" s="40">
        <f t="shared" ref="AI394:AI457" si="187">IF($D395=AI$9,1,0)</f>
        <v>0</v>
      </c>
      <c r="AJ394" s="40">
        <f t="shared" ref="AJ394:AJ457" si="188">IF($D395=AJ$9,1,0)</f>
        <v>0</v>
      </c>
      <c r="AK394" s="40">
        <f t="shared" ref="AK394:AK457" si="189">IF($D395=AK$9,1,0)</f>
        <v>0</v>
      </c>
      <c r="AL394" s="40">
        <f t="shared" ref="AL394:AL457" si="190">IF($D395=AL$9,1,0)</f>
        <v>0</v>
      </c>
      <c r="AM394" s="40">
        <f t="shared" ref="AM394:AM457" si="191">IF($D395=AM$9,1,0)</f>
        <v>0</v>
      </c>
      <c r="AN394" s="40">
        <f t="shared" ref="AN394:AN457" si="192">IF($D395=AN$9,1,0)</f>
        <v>0</v>
      </c>
      <c r="AO394" s="40">
        <f t="shared" ref="AO394:AO457" si="193">IF($D395=AO$9,1,0)</f>
        <v>0</v>
      </c>
      <c r="AP394" s="40">
        <f t="shared" ref="AP394:AP457" si="194">IF($D395=AP$9,1,0)</f>
        <v>0</v>
      </c>
      <c r="AQ394" s="40">
        <f t="shared" ref="AQ394:AQ457" si="195">IF($D395=AQ$9,1,0)</f>
        <v>1</v>
      </c>
      <c r="AR394" s="40">
        <f t="shared" ref="AR394:AR457" si="196">IF($D395=AR$9,1,0)</f>
        <v>0</v>
      </c>
      <c r="AS394" s="40">
        <f t="shared" ref="AS394:AS457" si="197">IF($D395=AS$9,1,0)</f>
        <v>0</v>
      </c>
    </row>
    <row r="395" spans="2:45" s="2" customFormat="1" ht="14.4" customHeight="1" x14ac:dyDescent="0.25">
      <c r="B395" s="56" t="s">
        <v>42</v>
      </c>
      <c r="C395" s="57" t="s">
        <v>26</v>
      </c>
      <c r="D395" s="58" t="s">
        <v>30</v>
      </c>
      <c r="E395" s="62">
        <v>2.8400000000000001E-3</v>
      </c>
      <c r="F395" s="65">
        <f t="shared" si="170"/>
        <v>-5.8639512268090224</v>
      </c>
      <c r="S395" s="40">
        <f t="shared" si="171"/>
        <v>1</v>
      </c>
      <c r="T395" s="40">
        <f t="shared" si="172"/>
        <v>0</v>
      </c>
      <c r="U395" s="40">
        <f t="shared" si="173"/>
        <v>0</v>
      </c>
      <c r="V395" s="40">
        <f t="shared" si="174"/>
        <v>0</v>
      </c>
      <c r="W395" s="40">
        <f t="shared" si="175"/>
        <v>0</v>
      </c>
      <c r="X395" s="40">
        <f t="shared" si="176"/>
        <v>0</v>
      </c>
      <c r="Y395" s="40">
        <f t="shared" si="177"/>
        <v>0</v>
      </c>
      <c r="Z395" s="40">
        <f t="shared" si="178"/>
        <v>0</v>
      </c>
      <c r="AA395" s="40">
        <f t="shared" si="179"/>
        <v>0</v>
      </c>
      <c r="AB395" s="40">
        <f t="shared" si="180"/>
        <v>1</v>
      </c>
      <c r="AC395" s="40">
        <f t="shared" si="181"/>
        <v>0</v>
      </c>
      <c r="AD395" s="40">
        <f t="shared" si="182"/>
        <v>0</v>
      </c>
      <c r="AE395" s="40">
        <f t="shared" si="183"/>
        <v>0</v>
      </c>
      <c r="AF395" s="40">
        <f t="shared" si="184"/>
        <v>0</v>
      </c>
      <c r="AG395" s="40">
        <f t="shared" si="185"/>
        <v>0</v>
      </c>
      <c r="AH395" s="40">
        <f t="shared" si="186"/>
        <v>0</v>
      </c>
      <c r="AI395" s="40">
        <f t="shared" si="187"/>
        <v>0</v>
      </c>
      <c r="AJ395" s="40">
        <f t="shared" si="188"/>
        <v>0</v>
      </c>
      <c r="AK395" s="40">
        <f t="shared" si="189"/>
        <v>0</v>
      </c>
      <c r="AL395" s="40">
        <f t="shared" si="190"/>
        <v>0</v>
      </c>
      <c r="AM395" s="40">
        <f t="shared" si="191"/>
        <v>1</v>
      </c>
      <c r="AN395" s="40">
        <f t="shared" si="192"/>
        <v>0</v>
      </c>
      <c r="AO395" s="40">
        <f t="shared" si="193"/>
        <v>0</v>
      </c>
      <c r="AP395" s="40">
        <f t="shared" si="194"/>
        <v>0</v>
      </c>
      <c r="AQ395" s="40">
        <f t="shared" si="195"/>
        <v>0</v>
      </c>
      <c r="AR395" s="40">
        <f t="shared" si="196"/>
        <v>0</v>
      </c>
      <c r="AS395" s="40">
        <f t="shared" si="197"/>
        <v>0</v>
      </c>
    </row>
    <row r="396" spans="2:45" s="2" customFormat="1" ht="14.4" customHeight="1" x14ac:dyDescent="0.25">
      <c r="B396" s="56" t="s">
        <v>42</v>
      </c>
      <c r="C396" s="57" t="s">
        <v>25</v>
      </c>
      <c r="D396" s="58" t="s">
        <v>35</v>
      </c>
      <c r="E396" s="62">
        <v>1.0399999999999997E-3</v>
      </c>
      <c r="F396" s="65">
        <f t="shared" ref="F396:F459" si="198">LN(E396)</f>
        <v>-6.8685345658288561</v>
      </c>
      <c r="S396" s="40">
        <f t="shared" si="171"/>
        <v>1</v>
      </c>
      <c r="T396" s="40">
        <f t="shared" si="172"/>
        <v>0</v>
      </c>
      <c r="U396" s="40">
        <f t="shared" si="173"/>
        <v>0</v>
      </c>
      <c r="V396" s="40">
        <f t="shared" si="174"/>
        <v>0</v>
      </c>
      <c r="W396" s="40">
        <f t="shared" si="175"/>
        <v>0</v>
      </c>
      <c r="X396" s="40">
        <f t="shared" si="176"/>
        <v>0</v>
      </c>
      <c r="Y396" s="40">
        <f t="shared" si="177"/>
        <v>0</v>
      </c>
      <c r="Z396" s="40">
        <f t="shared" si="178"/>
        <v>0</v>
      </c>
      <c r="AA396" s="40">
        <f t="shared" si="179"/>
        <v>0</v>
      </c>
      <c r="AB396" s="40">
        <f t="shared" si="180"/>
        <v>1</v>
      </c>
      <c r="AC396" s="40">
        <f t="shared" si="181"/>
        <v>0</v>
      </c>
      <c r="AD396" s="40">
        <f t="shared" si="182"/>
        <v>0</v>
      </c>
      <c r="AE396" s="40">
        <f t="shared" si="183"/>
        <v>0</v>
      </c>
      <c r="AF396" s="40">
        <f t="shared" si="184"/>
        <v>0</v>
      </c>
      <c r="AG396" s="40">
        <f t="shared" si="185"/>
        <v>0</v>
      </c>
      <c r="AH396" s="40">
        <f t="shared" si="186"/>
        <v>0</v>
      </c>
      <c r="AI396" s="40">
        <f t="shared" si="187"/>
        <v>0</v>
      </c>
      <c r="AJ396" s="40">
        <f t="shared" si="188"/>
        <v>0</v>
      </c>
      <c r="AK396" s="40">
        <f t="shared" si="189"/>
        <v>0</v>
      </c>
      <c r="AL396" s="40">
        <f t="shared" si="190"/>
        <v>0</v>
      </c>
      <c r="AM396" s="40">
        <f t="shared" si="191"/>
        <v>1</v>
      </c>
      <c r="AN396" s="40">
        <f t="shared" si="192"/>
        <v>0</v>
      </c>
      <c r="AO396" s="40">
        <f t="shared" si="193"/>
        <v>0</v>
      </c>
      <c r="AP396" s="40">
        <f t="shared" si="194"/>
        <v>0</v>
      </c>
      <c r="AQ396" s="40">
        <f t="shared" si="195"/>
        <v>0</v>
      </c>
      <c r="AR396" s="40">
        <f t="shared" si="196"/>
        <v>0</v>
      </c>
      <c r="AS396" s="40">
        <f t="shared" si="197"/>
        <v>0</v>
      </c>
    </row>
    <row r="397" spans="2:45" s="2" customFormat="1" ht="14.4" customHeight="1" x14ac:dyDescent="0.25">
      <c r="B397" s="56" t="s">
        <v>42</v>
      </c>
      <c r="C397" s="57" t="s">
        <v>25</v>
      </c>
      <c r="D397" s="58" t="s">
        <v>35</v>
      </c>
      <c r="E397" s="62">
        <v>1.0499999999999995E-3</v>
      </c>
      <c r="F397" s="65">
        <f t="shared" si="198"/>
        <v>-6.8589651148127055</v>
      </c>
      <c r="S397" s="40">
        <f t="shared" si="171"/>
        <v>1</v>
      </c>
      <c r="T397" s="40">
        <f t="shared" si="172"/>
        <v>0</v>
      </c>
      <c r="U397" s="40">
        <f t="shared" si="173"/>
        <v>0</v>
      </c>
      <c r="V397" s="40">
        <f t="shared" si="174"/>
        <v>0</v>
      </c>
      <c r="W397" s="40">
        <f t="shared" si="175"/>
        <v>0</v>
      </c>
      <c r="X397" s="40">
        <f t="shared" si="176"/>
        <v>0</v>
      </c>
      <c r="Y397" s="40">
        <f t="shared" si="177"/>
        <v>0</v>
      </c>
      <c r="Z397" s="40">
        <f t="shared" si="178"/>
        <v>0</v>
      </c>
      <c r="AA397" s="40">
        <f t="shared" si="179"/>
        <v>0</v>
      </c>
      <c r="AB397" s="40">
        <f t="shared" si="180"/>
        <v>0</v>
      </c>
      <c r="AC397" s="40">
        <f t="shared" si="181"/>
        <v>0</v>
      </c>
      <c r="AD397" s="40">
        <f t="shared" si="182"/>
        <v>0</v>
      </c>
      <c r="AE397" s="40">
        <f t="shared" si="183"/>
        <v>0</v>
      </c>
      <c r="AF397" s="40">
        <f t="shared" si="184"/>
        <v>1</v>
      </c>
      <c r="AG397" s="40">
        <f t="shared" si="185"/>
        <v>0</v>
      </c>
      <c r="AH397" s="40">
        <f t="shared" si="186"/>
        <v>0</v>
      </c>
      <c r="AI397" s="40">
        <f t="shared" si="187"/>
        <v>0</v>
      </c>
      <c r="AJ397" s="40">
        <f t="shared" si="188"/>
        <v>0</v>
      </c>
      <c r="AK397" s="40">
        <f t="shared" si="189"/>
        <v>0</v>
      </c>
      <c r="AL397" s="40">
        <f t="shared" si="190"/>
        <v>0</v>
      </c>
      <c r="AM397" s="40">
        <f t="shared" si="191"/>
        <v>1</v>
      </c>
      <c r="AN397" s="40">
        <f t="shared" si="192"/>
        <v>0</v>
      </c>
      <c r="AO397" s="40">
        <f t="shared" si="193"/>
        <v>0</v>
      </c>
      <c r="AP397" s="40">
        <f t="shared" si="194"/>
        <v>0</v>
      </c>
      <c r="AQ397" s="40">
        <f t="shared" si="195"/>
        <v>0</v>
      </c>
      <c r="AR397" s="40">
        <f t="shared" si="196"/>
        <v>0</v>
      </c>
      <c r="AS397" s="40">
        <f t="shared" si="197"/>
        <v>0</v>
      </c>
    </row>
    <row r="398" spans="2:45" s="2" customFormat="1" ht="14.4" customHeight="1" x14ac:dyDescent="0.25">
      <c r="B398" s="56" t="s">
        <v>42</v>
      </c>
      <c r="C398" s="57" t="s">
        <v>26</v>
      </c>
      <c r="D398" s="58" t="s">
        <v>35</v>
      </c>
      <c r="E398" s="62">
        <v>1.1100000000000005E-3</v>
      </c>
      <c r="F398" s="65">
        <f t="shared" si="198"/>
        <v>-6.8033952636578938</v>
      </c>
      <c r="S398" s="40">
        <f t="shared" si="171"/>
        <v>1</v>
      </c>
      <c r="T398" s="40">
        <f t="shared" si="172"/>
        <v>0</v>
      </c>
      <c r="U398" s="40">
        <f t="shared" si="173"/>
        <v>0</v>
      </c>
      <c r="V398" s="40">
        <f t="shared" si="174"/>
        <v>0</v>
      </c>
      <c r="W398" s="40">
        <f t="shared" si="175"/>
        <v>0</v>
      </c>
      <c r="X398" s="40">
        <f t="shared" si="176"/>
        <v>0</v>
      </c>
      <c r="Y398" s="40">
        <f t="shared" si="177"/>
        <v>0</v>
      </c>
      <c r="Z398" s="40">
        <f t="shared" si="178"/>
        <v>0</v>
      </c>
      <c r="AA398" s="40">
        <f t="shared" si="179"/>
        <v>0</v>
      </c>
      <c r="AB398" s="40">
        <f t="shared" si="180"/>
        <v>0</v>
      </c>
      <c r="AC398" s="40">
        <f t="shared" si="181"/>
        <v>0</v>
      </c>
      <c r="AD398" s="40">
        <f t="shared" si="182"/>
        <v>0</v>
      </c>
      <c r="AE398" s="40">
        <f t="shared" si="183"/>
        <v>0</v>
      </c>
      <c r="AF398" s="40">
        <f t="shared" si="184"/>
        <v>1</v>
      </c>
      <c r="AG398" s="40">
        <f t="shared" si="185"/>
        <v>0</v>
      </c>
      <c r="AH398" s="40">
        <f t="shared" si="186"/>
        <v>0</v>
      </c>
      <c r="AI398" s="40">
        <f t="shared" si="187"/>
        <v>0</v>
      </c>
      <c r="AJ398" s="40">
        <f t="shared" si="188"/>
        <v>0</v>
      </c>
      <c r="AK398" s="40">
        <f t="shared" si="189"/>
        <v>1</v>
      </c>
      <c r="AL398" s="40">
        <f t="shared" si="190"/>
        <v>0</v>
      </c>
      <c r="AM398" s="40">
        <f t="shared" si="191"/>
        <v>0</v>
      </c>
      <c r="AN398" s="40">
        <f t="shared" si="192"/>
        <v>0</v>
      </c>
      <c r="AO398" s="40">
        <f t="shared" si="193"/>
        <v>0</v>
      </c>
      <c r="AP398" s="40">
        <f t="shared" si="194"/>
        <v>0</v>
      </c>
      <c r="AQ398" s="40">
        <f t="shared" si="195"/>
        <v>0</v>
      </c>
      <c r="AR398" s="40">
        <f t="shared" si="196"/>
        <v>0</v>
      </c>
      <c r="AS398" s="40">
        <f t="shared" si="197"/>
        <v>0</v>
      </c>
    </row>
    <row r="399" spans="2:45" s="2" customFormat="1" ht="14.4" customHeight="1" x14ac:dyDescent="0.25">
      <c r="B399" s="56" t="s">
        <v>42</v>
      </c>
      <c r="C399" s="57" t="s">
        <v>26</v>
      </c>
      <c r="D399" s="58" t="s">
        <v>32</v>
      </c>
      <c r="E399" s="62">
        <v>3.2099999999999993E-3</v>
      </c>
      <c r="F399" s="65">
        <f t="shared" si="198"/>
        <v>-5.7414843418402128</v>
      </c>
      <c r="S399" s="40">
        <f t="shared" si="171"/>
        <v>1</v>
      </c>
      <c r="T399" s="40">
        <f t="shared" si="172"/>
        <v>0</v>
      </c>
      <c r="U399" s="40">
        <f t="shared" si="173"/>
        <v>0</v>
      </c>
      <c r="V399" s="40">
        <f t="shared" si="174"/>
        <v>0</v>
      </c>
      <c r="W399" s="40">
        <f t="shared" si="175"/>
        <v>0</v>
      </c>
      <c r="X399" s="40">
        <f t="shared" si="176"/>
        <v>0</v>
      </c>
      <c r="Y399" s="40">
        <f t="shared" si="177"/>
        <v>0</v>
      </c>
      <c r="Z399" s="40">
        <f t="shared" si="178"/>
        <v>0</v>
      </c>
      <c r="AA399" s="40">
        <f t="shared" si="179"/>
        <v>0</v>
      </c>
      <c r="AB399" s="40">
        <f t="shared" si="180"/>
        <v>1</v>
      </c>
      <c r="AC399" s="40">
        <f t="shared" si="181"/>
        <v>0</v>
      </c>
      <c r="AD399" s="40">
        <f t="shared" si="182"/>
        <v>0</v>
      </c>
      <c r="AE399" s="40">
        <f t="shared" si="183"/>
        <v>0</v>
      </c>
      <c r="AF399" s="40">
        <f t="shared" si="184"/>
        <v>0</v>
      </c>
      <c r="AG399" s="40">
        <f t="shared" si="185"/>
        <v>0</v>
      </c>
      <c r="AH399" s="40">
        <f t="shared" si="186"/>
        <v>0</v>
      </c>
      <c r="AI399" s="40">
        <f t="shared" si="187"/>
        <v>0</v>
      </c>
      <c r="AJ399" s="40">
        <f t="shared" si="188"/>
        <v>0</v>
      </c>
      <c r="AK399" s="40">
        <f t="shared" si="189"/>
        <v>0</v>
      </c>
      <c r="AL399" s="40">
        <f t="shared" si="190"/>
        <v>0</v>
      </c>
      <c r="AM399" s="40">
        <f t="shared" si="191"/>
        <v>1</v>
      </c>
      <c r="AN399" s="40">
        <f t="shared" si="192"/>
        <v>0</v>
      </c>
      <c r="AO399" s="40">
        <f t="shared" si="193"/>
        <v>0</v>
      </c>
      <c r="AP399" s="40">
        <f t="shared" si="194"/>
        <v>0</v>
      </c>
      <c r="AQ399" s="40">
        <f t="shared" si="195"/>
        <v>0</v>
      </c>
      <c r="AR399" s="40">
        <f t="shared" si="196"/>
        <v>0</v>
      </c>
      <c r="AS399" s="40">
        <f t="shared" si="197"/>
        <v>0</v>
      </c>
    </row>
    <row r="400" spans="2:45" s="2" customFormat="1" ht="14.4" customHeight="1" x14ac:dyDescent="0.25">
      <c r="B400" s="56" t="s">
        <v>42</v>
      </c>
      <c r="C400" s="57" t="s">
        <v>25</v>
      </c>
      <c r="D400" s="58" t="s">
        <v>35</v>
      </c>
      <c r="E400" s="62">
        <v>1.2100000000000001E-3</v>
      </c>
      <c r="F400" s="65">
        <f t="shared" si="198"/>
        <v>-6.7171349193734873</v>
      </c>
      <c r="S400" s="40">
        <f t="shared" si="171"/>
        <v>1</v>
      </c>
      <c r="T400" s="40">
        <f t="shared" si="172"/>
        <v>0</v>
      </c>
      <c r="U400" s="40">
        <f t="shared" si="173"/>
        <v>0</v>
      </c>
      <c r="V400" s="40">
        <f t="shared" si="174"/>
        <v>0</v>
      </c>
      <c r="W400" s="40">
        <f t="shared" si="175"/>
        <v>0</v>
      </c>
      <c r="X400" s="40">
        <f t="shared" si="176"/>
        <v>0</v>
      </c>
      <c r="Y400" s="40">
        <f t="shared" si="177"/>
        <v>0</v>
      </c>
      <c r="Z400" s="40">
        <f t="shared" si="178"/>
        <v>0</v>
      </c>
      <c r="AA400" s="40">
        <f t="shared" si="179"/>
        <v>0</v>
      </c>
      <c r="AB400" s="40">
        <f t="shared" si="180"/>
        <v>1</v>
      </c>
      <c r="AC400" s="40">
        <f t="shared" si="181"/>
        <v>0</v>
      </c>
      <c r="AD400" s="40">
        <f t="shared" si="182"/>
        <v>0</v>
      </c>
      <c r="AE400" s="40">
        <f t="shared" si="183"/>
        <v>0</v>
      </c>
      <c r="AF400" s="40">
        <f t="shared" si="184"/>
        <v>0</v>
      </c>
      <c r="AG400" s="40">
        <f t="shared" si="185"/>
        <v>0</v>
      </c>
      <c r="AH400" s="40">
        <f t="shared" si="186"/>
        <v>0</v>
      </c>
      <c r="AI400" s="40">
        <f t="shared" si="187"/>
        <v>0</v>
      </c>
      <c r="AJ400" s="40">
        <f t="shared" si="188"/>
        <v>0</v>
      </c>
      <c r="AK400" s="40">
        <f t="shared" si="189"/>
        <v>0</v>
      </c>
      <c r="AL400" s="40">
        <f t="shared" si="190"/>
        <v>0</v>
      </c>
      <c r="AM400" s="40">
        <f t="shared" si="191"/>
        <v>1</v>
      </c>
      <c r="AN400" s="40">
        <f t="shared" si="192"/>
        <v>0</v>
      </c>
      <c r="AO400" s="40">
        <f t="shared" si="193"/>
        <v>0</v>
      </c>
      <c r="AP400" s="40">
        <f t="shared" si="194"/>
        <v>0</v>
      </c>
      <c r="AQ400" s="40">
        <f t="shared" si="195"/>
        <v>0</v>
      </c>
      <c r="AR400" s="40">
        <f t="shared" si="196"/>
        <v>0</v>
      </c>
      <c r="AS400" s="40">
        <f t="shared" si="197"/>
        <v>0</v>
      </c>
    </row>
    <row r="401" spans="2:45" s="2" customFormat="1" ht="14.4" customHeight="1" x14ac:dyDescent="0.25">
      <c r="B401" s="56" t="s">
        <v>42</v>
      </c>
      <c r="C401" s="57" t="s">
        <v>25</v>
      </c>
      <c r="D401" s="58" t="s">
        <v>35</v>
      </c>
      <c r="E401" s="62">
        <v>9.8999999999999956E-4</v>
      </c>
      <c r="F401" s="65">
        <f t="shared" si="198"/>
        <v>-6.9178056148356388</v>
      </c>
      <c r="S401" s="40">
        <f t="shared" si="171"/>
        <v>1</v>
      </c>
      <c r="T401" s="40">
        <f t="shared" si="172"/>
        <v>0</v>
      </c>
      <c r="U401" s="40">
        <f t="shared" si="173"/>
        <v>0</v>
      </c>
      <c r="V401" s="40">
        <f t="shared" si="174"/>
        <v>0</v>
      </c>
      <c r="W401" s="40">
        <f t="shared" si="175"/>
        <v>0</v>
      </c>
      <c r="X401" s="40">
        <f t="shared" si="176"/>
        <v>0</v>
      </c>
      <c r="Y401" s="40">
        <f t="shared" si="177"/>
        <v>0</v>
      </c>
      <c r="Z401" s="40">
        <f t="shared" si="178"/>
        <v>0</v>
      </c>
      <c r="AA401" s="40">
        <f t="shared" si="179"/>
        <v>0</v>
      </c>
      <c r="AB401" s="40">
        <f t="shared" si="180"/>
        <v>1</v>
      </c>
      <c r="AC401" s="40">
        <f t="shared" si="181"/>
        <v>0</v>
      </c>
      <c r="AD401" s="40">
        <f t="shared" si="182"/>
        <v>0</v>
      </c>
      <c r="AE401" s="40">
        <f t="shared" si="183"/>
        <v>0</v>
      </c>
      <c r="AF401" s="40">
        <f t="shared" si="184"/>
        <v>0</v>
      </c>
      <c r="AG401" s="40">
        <f t="shared" si="185"/>
        <v>0</v>
      </c>
      <c r="AH401" s="40">
        <f t="shared" si="186"/>
        <v>0</v>
      </c>
      <c r="AI401" s="40">
        <f t="shared" si="187"/>
        <v>0</v>
      </c>
      <c r="AJ401" s="40">
        <f t="shared" si="188"/>
        <v>0</v>
      </c>
      <c r="AK401" s="40">
        <f t="shared" si="189"/>
        <v>0</v>
      </c>
      <c r="AL401" s="40">
        <f t="shared" si="190"/>
        <v>0</v>
      </c>
      <c r="AM401" s="40">
        <f t="shared" si="191"/>
        <v>1</v>
      </c>
      <c r="AN401" s="40">
        <f t="shared" si="192"/>
        <v>0</v>
      </c>
      <c r="AO401" s="40">
        <f t="shared" si="193"/>
        <v>0</v>
      </c>
      <c r="AP401" s="40">
        <f t="shared" si="194"/>
        <v>0</v>
      </c>
      <c r="AQ401" s="40">
        <f t="shared" si="195"/>
        <v>0</v>
      </c>
      <c r="AR401" s="40">
        <f t="shared" si="196"/>
        <v>0</v>
      </c>
      <c r="AS401" s="40">
        <f t="shared" si="197"/>
        <v>0</v>
      </c>
    </row>
    <row r="402" spans="2:45" s="2" customFormat="1" ht="14.4" customHeight="1" x14ac:dyDescent="0.25">
      <c r="B402" s="56" t="s">
        <v>42</v>
      </c>
      <c r="C402" s="57" t="s">
        <v>25</v>
      </c>
      <c r="D402" s="58" t="s">
        <v>35</v>
      </c>
      <c r="E402" s="62">
        <v>1.2199999999999999E-3</v>
      </c>
      <c r="F402" s="65">
        <f t="shared" si="198"/>
        <v>-6.7089044202369719</v>
      </c>
      <c r="S402" s="40">
        <f t="shared" si="171"/>
        <v>1</v>
      </c>
      <c r="T402" s="40">
        <f t="shared" si="172"/>
        <v>0</v>
      </c>
      <c r="U402" s="40">
        <f t="shared" si="173"/>
        <v>0</v>
      </c>
      <c r="V402" s="40">
        <f t="shared" si="174"/>
        <v>0</v>
      </c>
      <c r="W402" s="40">
        <f t="shared" si="175"/>
        <v>0</v>
      </c>
      <c r="X402" s="40">
        <f t="shared" si="176"/>
        <v>0</v>
      </c>
      <c r="Y402" s="40">
        <f t="shared" si="177"/>
        <v>0</v>
      </c>
      <c r="Z402" s="40">
        <f t="shared" si="178"/>
        <v>0</v>
      </c>
      <c r="AA402" s="40">
        <f t="shared" si="179"/>
        <v>0</v>
      </c>
      <c r="AB402" s="40">
        <f t="shared" si="180"/>
        <v>0</v>
      </c>
      <c r="AC402" s="40">
        <f t="shared" si="181"/>
        <v>0</v>
      </c>
      <c r="AD402" s="40">
        <f t="shared" si="182"/>
        <v>0</v>
      </c>
      <c r="AE402" s="40">
        <f t="shared" si="183"/>
        <v>0</v>
      </c>
      <c r="AF402" s="40">
        <f t="shared" si="184"/>
        <v>0</v>
      </c>
      <c r="AG402" s="40">
        <f t="shared" si="185"/>
        <v>1</v>
      </c>
      <c r="AH402" s="40">
        <f t="shared" si="186"/>
        <v>0</v>
      </c>
      <c r="AI402" s="40">
        <f t="shared" si="187"/>
        <v>0</v>
      </c>
      <c r="AJ402" s="40">
        <f t="shared" si="188"/>
        <v>0</v>
      </c>
      <c r="AK402" s="40">
        <f t="shared" si="189"/>
        <v>0</v>
      </c>
      <c r="AL402" s="40">
        <f t="shared" si="190"/>
        <v>0</v>
      </c>
      <c r="AM402" s="40">
        <f t="shared" si="191"/>
        <v>1</v>
      </c>
      <c r="AN402" s="40">
        <f t="shared" si="192"/>
        <v>0</v>
      </c>
      <c r="AO402" s="40">
        <f t="shared" si="193"/>
        <v>0</v>
      </c>
      <c r="AP402" s="40">
        <f t="shared" si="194"/>
        <v>0</v>
      </c>
      <c r="AQ402" s="40">
        <f t="shared" si="195"/>
        <v>0</v>
      </c>
      <c r="AR402" s="40">
        <f t="shared" si="196"/>
        <v>0</v>
      </c>
      <c r="AS402" s="40">
        <f t="shared" si="197"/>
        <v>0</v>
      </c>
    </row>
    <row r="403" spans="2:45" s="2" customFormat="1" ht="14.4" customHeight="1" x14ac:dyDescent="0.25">
      <c r="B403" s="56" t="s">
        <v>42</v>
      </c>
      <c r="C403" s="57" t="s">
        <v>38</v>
      </c>
      <c r="D403" s="58" t="s">
        <v>35</v>
      </c>
      <c r="E403" s="62">
        <v>2.2499999999999994E-3</v>
      </c>
      <c r="F403" s="65">
        <f t="shared" si="198"/>
        <v>-6.0968250627658085</v>
      </c>
      <c r="S403" s="40">
        <f t="shared" si="171"/>
        <v>1</v>
      </c>
      <c r="T403" s="40">
        <f t="shared" si="172"/>
        <v>0</v>
      </c>
      <c r="U403" s="40">
        <f t="shared" si="173"/>
        <v>0</v>
      </c>
      <c r="V403" s="40">
        <f t="shared" si="174"/>
        <v>0</v>
      </c>
      <c r="W403" s="40">
        <f t="shared" si="175"/>
        <v>0</v>
      </c>
      <c r="X403" s="40">
        <f t="shared" si="176"/>
        <v>0</v>
      </c>
      <c r="Y403" s="40">
        <f t="shared" si="177"/>
        <v>0</v>
      </c>
      <c r="Z403" s="40">
        <f t="shared" si="178"/>
        <v>1</v>
      </c>
      <c r="AA403" s="40">
        <f t="shared" si="179"/>
        <v>0</v>
      </c>
      <c r="AB403" s="40">
        <f t="shared" si="180"/>
        <v>0</v>
      </c>
      <c r="AC403" s="40">
        <f t="shared" si="181"/>
        <v>0</v>
      </c>
      <c r="AD403" s="40">
        <f t="shared" si="182"/>
        <v>0</v>
      </c>
      <c r="AE403" s="40">
        <f t="shared" si="183"/>
        <v>0</v>
      </c>
      <c r="AF403" s="40">
        <f t="shared" si="184"/>
        <v>0</v>
      </c>
      <c r="AG403" s="40">
        <f t="shared" si="185"/>
        <v>0</v>
      </c>
      <c r="AH403" s="40">
        <f t="shared" si="186"/>
        <v>0</v>
      </c>
      <c r="AI403" s="40">
        <f t="shared" si="187"/>
        <v>0</v>
      </c>
      <c r="AJ403" s="40">
        <f t="shared" si="188"/>
        <v>0</v>
      </c>
      <c r="AK403" s="40">
        <f t="shared" si="189"/>
        <v>0</v>
      </c>
      <c r="AL403" s="40">
        <f t="shared" si="190"/>
        <v>1</v>
      </c>
      <c r="AM403" s="40">
        <f t="shared" si="191"/>
        <v>0</v>
      </c>
      <c r="AN403" s="40">
        <f t="shared" si="192"/>
        <v>0</v>
      </c>
      <c r="AO403" s="40">
        <f t="shared" si="193"/>
        <v>0</v>
      </c>
      <c r="AP403" s="40">
        <f t="shared" si="194"/>
        <v>0</v>
      </c>
      <c r="AQ403" s="40">
        <f t="shared" si="195"/>
        <v>0</v>
      </c>
      <c r="AR403" s="40">
        <f t="shared" si="196"/>
        <v>0</v>
      </c>
      <c r="AS403" s="40">
        <f t="shared" si="197"/>
        <v>0</v>
      </c>
    </row>
    <row r="404" spans="2:45" s="2" customFormat="1" ht="14.4" customHeight="1" x14ac:dyDescent="0.25">
      <c r="B404" s="56" t="s">
        <v>42</v>
      </c>
      <c r="C404" s="57" t="s">
        <v>36</v>
      </c>
      <c r="D404" s="58" t="s">
        <v>24</v>
      </c>
      <c r="E404" s="62">
        <v>3.2099999999999993E-3</v>
      </c>
      <c r="F404" s="65">
        <f t="shared" si="198"/>
        <v>-5.7414843418402128</v>
      </c>
      <c r="S404" s="40">
        <f t="shared" si="171"/>
        <v>0</v>
      </c>
      <c r="T404" s="40">
        <f t="shared" si="172"/>
        <v>0</v>
      </c>
      <c r="U404" s="40">
        <f t="shared" si="173"/>
        <v>0</v>
      </c>
      <c r="V404" s="40">
        <f t="shared" si="174"/>
        <v>0</v>
      </c>
      <c r="W404" s="40">
        <f t="shared" si="175"/>
        <v>0</v>
      </c>
      <c r="X404" s="40">
        <f t="shared" si="176"/>
        <v>1</v>
      </c>
      <c r="Y404" s="40">
        <f t="shared" si="177"/>
        <v>0</v>
      </c>
      <c r="Z404" s="40">
        <f t="shared" si="178"/>
        <v>0</v>
      </c>
      <c r="AA404" s="40">
        <f t="shared" si="179"/>
        <v>0</v>
      </c>
      <c r="AB404" s="40">
        <f t="shared" si="180"/>
        <v>0</v>
      </c>
      <c r="AC404" s="40">
        <f t="shared" si="181"/>
        <v>0</v>
      </c>
      <c r="AD404" s="40">
        <f t="shared" si="182"/>
        <v>0</v>
      </c>
      <c r="AE404" s="40">
        <f t="shared" si="183"/>
        <v>0</v>
      </c>
      <c r="AF404" s="40">
        <f t="shared" si="184"/>
        <v>1</v>
      </c>
      <c r="AG404" s="40">
        <f t="shared" si="185"/>
        <v>0</v>
      </c>
      <c r="AH404" s="40">
        <f t="shared" si="186"/>
        <v>0</v>
      </c>
      <c r="AI404" s="40">
        <f t="shared" si="187"/>
        <v>0</v>
      </c>
      <c r="AJ404" s="40">
        <f t="shared" si="188"/>
        <v>1</v>
      </c>
      <c r="AK404" s="40">
        <f t="shared" si="189"/>
        <v>0</v>
      </c>
      <c r="AL404" s="40">
        <f t="shared" si="190"/>
        <v>0</v>
      </c>
      <c r="AM404" s="40">
        <f t="shared" si="191"/>
        <v>0</v>
      </c>
      <c r="AN404" s="40">
        <f t="shared" si="192"/>
        <v>0</v>
      </c>
      <c r="AO404" s="40">
        <f t="shared" si="193"/>
        <v>0</v>
      </c>
      <c r="AP404" s="40">
        <f t="shared" si="194"/>
        <v>0</v>
      </c>
      <c r="AQ404" s="40">
        <f t="shared" si="195"/>
        <v>0</v>
      </c>
      <c r="AR404" s="40">
        <f t="shared" si="196"/>
        <v>0</v>
      </c>
      <c r="AS404" s="40">
        <f t="shared" si="197"/>
        <v>0</v>
      </c>
    </row>
    <row r="405" spans="2:45" s="2" customFormat="1" ht="14.4" customHeight="1" x14ac:dyDescent="0.25">
      <c r="B405" s="56" t="s">
        <v>43</v>
      </c>
      <c r="C405" s="57" t="s">
        <v>26</v>
      </c>
      <c r="D405" s="58" t="s">
        <v>37</v>
      </c>
      <c r="E405" s="62">
        <v>2.2209999999999997E-2</v>
      </c>
      <c r="F405" s="65">
        <f t="shared" si="198"/>
        <v>-3.8072126410758012</v>
      </c>
      <c r="S405" s="40">
        <f t="shared" si="171"/>
        <v>0</v>
      </c>
      <c r="T405" s="40">
        <f t="shared" si="172"/>
        <v>0</v>
      </c>
      <c r="U405" s="40">
        <f t="shared" si="173"/>
        <v>0</v>
      </c>
      <c r="V405" s="40">
        <f t="shared" si="174"/>
        <v>0</v>
      </c>
      <c r="W405" s="40">
        <f t="shared" si="175"/>
        <v>0</v>
      </c>
      <c r="X405" s="40">
        <f t="shared" si="176"/>
        <v>1</v>
      </c>
      <c r="Y405" s="40">
        <f t="shared" si="177"/>
        <v>0</v>
      </c>
      <c r="Z405" s="40">
        <f t="shared" si="178"/>
        <v>0</v>
      </c>
      <c r="AA405" s="40">
        <f t="shared" si="179"/>
        <v>0</v>
      </c>
      <c r="AB405" s="40">
        <f t="shared" si="180"/>
        <v>0</v>
      </c>
      <c r="AC405" s="40">
        <f t="shared" si="181"/>
        <v>0</v>
      </c>
      <c r="AD405" s="40">
        <f t="shared" si="182"/>
        <v>0</v>
      </c>
      <c r="AE405" s="40">
        <f t="shared" si="183"/>
        <v>0</v>
      </c>
      <c r="AF405" s="40">
        <f t="shared" si="184"/>
        <v>1</v>
      </c>
      <c r="AG405" s="40">
        <f t="shared" si="185"/>
        <v>0</v>
      </c>
      <c r="AH405" s="40">
        <f t="shared" si="186"/>
        <v>1</v>
      </c>
      <c r="AI405" s="40">
        <f t="shared" si="187"/>
        <v>0</v>
      </c>
      <c r="AJ405" s="40">
        <f t="shared" si="188"/>
        <v>0</v>
      </c>
      <c r="AK405" s="40">
        <f t="shared" si="189"/>
        <v>0</v>
      </c>
      <c r="AL405" s="40">
        <f t="shared" si="190"/>
        <v>0</v>
      </c>
      <c r="AM405" s="40">
        <f t="shared" si="191"/>
        <v>0</v>
      </c>
      <c r="AN405" s="40">
        <f t="shared" si="192"/>
        <v>0</v>
      </c>
      <c r="AO405" s="40">
        <f t="shared" si="193"/>
        <v>0</v>
      </c>
      <c r="AP405" s="40">
        <f t="shared" si="194"/>
        <v>0</v>
      </c>
      <c r="AQ405" s="40">
        <f t="shared" si="195"/>
        <v>0</v>
      </c>
      <c r="AR405" s="40">
        <f t="shared" si="196"/>
        <v>0</v>
      </c>
      <c r="AS405" s="40">
        <f t="shared" si="197"/>
        <v>0</v>
      </c>
    </row>
    <row r="406" spans="2:45" s="2" customFormat="1" ht="14.4" customHeight="1" x14ac:dyDescent="0.25">
      <c r="B406" s="56" t="s">
        <v>43</v>
      </c>
      <c r="C406" s="57" t="s">
        <v>26</v>
      </c>
      <c r="D406" s="58" t="s">
        <v>27</v>
      </c>
      <c r="E406" s="62">
        <v>1.106E-2</v>
      </c>
      <c r="F406" s="65">
        <f t="shared" si="198"/>
        <v>-4.5044202828879483</v>
      </c>
      <c r="S406" s="40">
        <f t="shared" si="171"/>
        <v>0</v>
      </c>
      <c r="T406" s="40">
        <f t="shared" si="172"/>
        <v>0</v>
      </c>
      <c r="U406" s="40">
        <f t="shared" si="173"/>
        <v>0</v>
      </c>
      <c r="V406" s="40">
        <f t="shared" si="174"/>
        <v>0</v>
      </c>
      <c r="W406" s="40">
        <f t="shared" si="175"/>
        <v>0</v>
      </c>
      <c r="X406" s="40">
        <f t="shared" si="176"/>
        <v>1</v>
      </c>
      <c r="Y406" s="40">
        <f t="shared" si="177"/>
        <v>0</v>
      </c>
      <c r="Z406" s="40">
        <f t="shared" si="178"/>
        <v>0</v>
      </c>
      <c r="AA406" s="40">
        <f t="shared" si="179"/>
        <v>0</v>
      </c>
      <c r="AB406" s="40">
        <f t="shared" si="180"/>
        <v>0</v>
      </c>
      <c r="AC406" s="40">
        <f t="shared" si="181"/>
        <v>0</v>
      </c>
      <c r="AD406" s="40">
        <f t="shared" si="182"/>
        <v>0</v>
      </c>
      <c r="AE406" s="40">
        <f t="shared" si="183"/>
        <v>0</v>
      </c>
      <c r="AF406" s="40">
        <f t="shared" si="184"/>
        <v>1</v>
      </c>
      <c r="AG406" s="40">
        <f t="shared" si="185"/>
        <v>0</v>
      </c>
      <c r="AH406" s="40">
        <f t="shared" si="186"/>
        <v>0</v>
      </c>
      <c r="AI406" s="40">
        <f t="shared" si="187"/>
        <v>1</v>
      </c>
      <c r="AJ406" s="40">
        <f t="shared" si="188"/>
        <v>0</v>
      </c>
      <c r="AK406" s="40">
        <f t="shared" si="189"/>
        <v>0</v>
      </c>
      <c r="AL406" s="40">
        <f t="shared" si="190"/>
        <v>0</v>
      </c>
      <c r="AM406" s="40">
        <f t="shared" si="191"/>
        <v>0</v>
      </c>
      <c r="AN406" s="40">
        <f t="shared" si="192"/>
        <v>0</v>
      </c>
      <c r="AO406" s="40">
        <f t="shared" si="193"/>
        <v>0</v>
      </c>
      <c r="AP406" s="40">
        <f t="shared" si="194"/>
        <v>0</v>
      </c>
      <c r="AQ406" s="40">
        <f t="shared" si="195"/>
        <v>0</v>
      </c>
      <c r="AR406" s="40">
        <f t="shared" si="196"/>
        <v>0</v>
      </c>
      <c r="AS406" s="40">
        <f t="shared" si="197"/>
        <v>0</v>
      </c>
    </row>
    <row r="407" spans="2:45" s="2" customFormat="1" ht="14.4" customHeight="1" x14ac:dyDescent="0.25">
      <c r="B407" s="56" t="s">
        <v>43</v>
      </c>
      <c r="C407" s="57" t="s">
        <v>26</v>
      </c>
      <c r="D407" s="58" t="s">
        <v>28</v>
      </c>
      <c r="E407" s="62">
        <v>3.4039999999999994E-2</v>
      </c>
      <c r="F407" s="65">
        <f t="shared" si="198"/>
        <v>-3.3802189752769638</v>
      </c>
      <c r="S407" s="40">
        <f t="shared" si="171"/>
        <v>0</v>
      </c>
      <c r="T407" s="40">
        <f t="shared" si="172"/>
        <v>0</v>
      </c>
      <c r="U407" s="40">
        <f t="shared" si="173"/>
        <v>0</v>
      </c>
      <c r="V407" s="40">
        <f t="shared" si="174"/>
        <v>0</v>
      </c>
      <c r="W407" s="40">
        <f t="shared" si="175"/>
        <v>0</v>
      </c>
      <c r="X407" s="40">
        <f t="shared" si="176"/>
        <v>1</v>
      </c>
      <c r="Y407" s="40">
        <f t="shared" si="177"/>
        <v>0</v>
      </c>
      <c r="Z407" s="40">
        <f t="shared" si="178"/>
        <v>0</v>
      </c>
      <c r="AA407" s="40">
        <f t="shared" si="179"/>
        <v>0</v>
      </c>
      <c r="AB407" s="40">
        <f t="shared" si="180"/>
        <v>0</v>
      </c>
      <c r="AC407" s="40">
        <f t="shared" si="181"/>
        <v>0</v>
      </c>
      <c r="AD407" s="40">
        <f t="shared" si="182"/>
        <v>0</v>
      </c>
      <c r="AE407" s="40">
        <f t="shared" si="183"/>
        <v>0</v>
      </c>
      <c r="AF407" s="40">
        <f t="shared" si="184"/>
        <v>1</v>
      </c>
      <c r="AG407" s="40">
        <f t="shared" si="185"/>
        <v>0</v>
      </c>
      <c r="AH407" s="40">
        <f t="shared" si="186"/>
        <v>0</v>
      </c>
      <c r="AI407" s="40">
        <f t="shared" si="187"/>
        <v>0</v>
      </c>
      <c r="AJ407" s="40">
        <f t="shared" si="188"/>
        <v>0</v>
      </c>
      <c r="AK407" s="40">
        <f t="shared" si="189"/>
        <v>0</v>
      </c>
      <c r="AL407" s="40">
        <f t="shared" si="190"/>
        <v>0</v>
      </c>
      <c r="AM407" s="40">
        <f t="shared" si="191"/>
        <v>0</v>
      </c>
      <c r="AN407" s="40">
        <f t="shared" si="192"/>
        <v>0</v>
      </c>
      <c r="AO407" s="40">
        <f t="shared" si="193"/>
        <v>1</v>
      </c>
      <c r="AP407" s="40">
        <f t="shared" si="194"/>
        <v>0</v>
      </c>
      <c r="AQ407" s="40">
        <f t="shared" si="195"/>
        <v>0</v>
      </c>
      <c r="AR407" s="40">
        <f t="shared" si="196"/>
        <v>0</v>
      </c>
      <c r="AS407" s="40">
        <f t="shared" si="197"/>
        <v>0</v>
      </c>
    </row>
    <row r="408" spans="2:45" s="2" customFormat="1" ht="14.4" customHeight="1" x14ac:dyDescent="0.25">
      <c r="B408" s="56" t="s">
        <v>43</v>
      </c>
      <c r="C408" s="57" t="s">
        <v>26</v>
      </c>
      <c r="D408" s="58" t="s">
        <v>31</v>
      </c>
      <c r="E408" s="62">
        <v>5.2540000000000017E-2</v>
      </c>
      <c r="F408" s="65">
        <f t="shared" si="198"/>
        <v>-2.946180494724743</v>
      </c>
      <c r="S408" s="40">
        <f t="shared" si="171"/>
        <v>0</v>
      </c>
      <c r="T408" s="40">
        <f t="shared" si="172"/>
        <v>0</v>
      </c>
      <c r="U408" s="40">
        <f t="shared" si="173"/>
        <v>0</v>
      </c>
      <c r="V408" s="40">
        <f t="shared" si="174"/>
        <v>0</v>
      </c>
      <c r="W408" s="40">
        <f t="shared" si="175"/>
        <v>0</v>
      </c>
      <c r="X408" s="40">
        <f t="shared" si="176"/>
        <v>1</v>
      </c>
      <c r="Y408" s="40">
        <f t="shared" si="177"/>
        <v>0</v>
      </c>
      <c r="Z408" s="40">
        <f t="shared" si="178"/>
        <v>0</v>
      </c>
      <c r="AA408" s="40">
        <f t="shared" si="179"/>
        <v>0</v>
      </c>
      <c r="AB408" s="40">
        <f t="shared" si="180"/>
        <v>0</v>
      </c>
      <c r="AC408" s="40">
        <f t="shared" si="181"/>
        <v>0</v>
      </c>
      <c r="AD408" s="40">
        <f t="shared" si="182"/>
        <v>0</v>
      </c>
      <c r="AE408" s="40">
        <f t="shared" si="183"/>
        <v>0</v>
      </c>
      <c r="AF408" s="40">
        <f t="shared" si="184"/>
        <v>1</v>
      </c>
      <c r="AG408" s="40">
        <f t="shared" si="185"/>
        <v>0</v>
      </c>
      <c r="AH408" s="40">
        <f t="shared" si="186"/>
        <v>0</v>
      </c>
      <c r="AI408" s="40">
        <f t="shared" si="187"/>
        <v>1</v>
      </c>
      <c r="AJ408" s="40">
        <f t="shared" si="188"/>
        <v>0</v>
      </c>
      <c r="AK408" s="40">
        <f t="shared" si="189"/>
        <v>0</v>
      </c>
      <c r="AL408" s="40">
        <f t="shared" si="190"/>
        <v>0</v>
      </c>
      <c r="AM408" s="40">
        <f t="shared" si="191"/>
        <v>0</v>
      </c>
      <c r="AN408" s="40">
        <f t="shared" si="192"/>
        <v>0</v>
      </c>
      <c r="AO408" s="40">
        <f t="shared" si="193"/>
        <v>0</v>
      </c>
      <c r="AP408" s="40">
        <f t="shared" si="194"/>
        <v>0</v>
      </c>
      <c r="AQ408" s="40">
        <f t="shared" si="195"/>
        <v>0</v>
      </c>
      <c r="AR408" s="40">
        <f t="shared" si="196"/>
        <v>0</v>
      </c>
      <c r="AS408" s="40">
        <f t="shared" si="197"/>
        <v>0</v>
      </c>
    </row>
    <row r="409" spans="2:45" s="2" customFormat="1" ht="14.4" customHeight="1" x14ac:dyDescent="0.25">
      <c r="B409" s="56" t="s">
        <v>43</v>
      </c>
      <c r="C409" s="57" t="s">
        <v>26</v>
      </c>
      <c r="D409" s="58" t="s">
        <v>28</v>
      </c>
      <c r="E409" s="62">
        <v>3.8569999999999993E-2</v>
      </c>
      <c r="F409" s="65">
        <f t="shared" si="198"/>
        <v>-3.2552805067620008</v>
      </c>
      <c r="S409" s="40">
        <f t="shared" si="171"/>
        <v>0</v>
      </c>
      <c r="T409" s="40">
        <f t="shared" si="172"/>
        <v>0</v>
      </c>
      <c r="U409" s="40">
        <f t="shared" si="173"/>
        <v>0</v>
      </c>
      <c r="V409" s="40">
        <f t="shared" si="174"/>
        <v>0</v>
      </c>
      <c r="W409" s="40">
        <f t="shared" si="175"/>
        <v>0</v>
      </c>
      <c r="X409" s="40">
        <f t="shared" si="176"/>
        <v>1</v>
      </c>
      <c r="Y409" s="40">
        <f t="shared" si="177"/>
        <v>0</v>
      </c>
      <c r="Z409" s="40">
        <f t="shared" si="178"/>
        <v>0</v>
      </c>
      <c r="AA409" s="40">
        <f t="shared" si="179"/>
        <v>0</v>
      </c>
      <c r="AB409" s="40">
        <f t="shared" si="180"/>
        <v>0</v>
      </c>
      <c r="AC409" s="40">
        <f t="shared" si="181"/>
        <v>0</v>
      </c>
      <c r="AD409" s="40">
        <f t="shared" si="182"/>
        <v>0</v>
      </c>
      <c r="AE409" s="40">
        <f t="shared" si="183"/>
        <v>0</v>
      </c>
      <c r="AF409" s="40">
        <f t="shared" si="184"/>
        <v>1</v>
      </c>
      <c r="AG409" s="40">
        <f t="shared" si="185"/>
        <v>0</v>
      </c>
      <c r="AH409" s="40">
        <f t="shared" si="186"/>
        <v>0</v>
      </c>
      <c r="AI409" s="40">
        <f t="shared" si="187"/>
        <v>0</v>
      </c>
      <c r="AJ409" s="40">
        <f t="shared" si="188"/>
        <v>0</v>
      </c>
      <c r="AK409" s="40">
        <f t="shared" si="189"/>
        <v>0</v>
      </c>
      <c r="AL409" s="40">
        <f t="shared" si="190"/>
        <v>0</v>
      </c>
      <c r="AM409" s="40">
        <f t="shared" si="191"/>
        <v>0</v>
      </c>
      <c r="AN409" s="40">
        <f t="shared" si="192"/>
        <v>1</v>
      </c>
      <c r="AO409" s="40">
        <f t="shared" si="193"/>
        <v>0</v>
      </c>
      <c r="AP409" s="40">
        <f t="shared" si="194"/>
        <v>0</v>
      </c>
      <c r="AQ409" s="40">
        <f t="shared" si="195"/>
        <v>0</v>
      </c>
      <c r="AR409" s="40">
        <f t="shared" si="196"/>
        <v>0</v>
      </c>
      <c r="AS409" s="40">
        <f t="shared" si="197"/>
        <v>0</v>
      </c>
    </row>
    <row r="410" spans="2:45" s="2" customFormat="1" ht="14.4" customHeight="1" x14ac:dyDescent="0.25">
      <c r="B410" s="56" t="s">
        <v>43</v>
      </c>
      <c r="C410" s="57" t="s">
        <v>26</v>
      </c>
      <c r="D410" s="58" t="s">
        <v>29</v>
      </c>
      <c r="E410" s="62">
        <v>7.9499999999999987E-3</v>
      </c>
      <c r="F410" s="65">
        <f t="shared" si="198"/>
        <v>-4.8345833503158966</v>
      </c>
      <c r="S410" s="40">
        <f t="shared" si="171"/>
        <v>0</v>
      </c>
      <c r="T410" s="40">
        <f t="shared" si="172"/>
        <v>0</v>
      </c>
      <c r="U410" s="40">
        <f t="shared" si="173"/>
        <v>0</v>
      </c>
      <c r="V410" s="40">
        <f t="shared" si="174"/>
        <v>0</v>
      </c>
      <c r="W410" s="40">
        <f t="shared" si="175"/>
        <v>0</v>
      </c>
      <c r="X410" s="40">
        <f t="shared" si="176"/>
        <v>1</v>
      </c>
      <c r="Y410" s="40">
        <f t="shared" si="177"/>
        <v>0</v>
      </c>
      <c r="Z410" s="40">
        <f t="shared" si="178"/>
        <v>0</v>
      </c>
      <c r="AA410" s="40">
        <f t="shared" si="179"/>
        <v>0</v>
      </c>
      <c r="AB410" s="40">
        <f t="shared" si="180"/>
        <v>0</v>
      </c>
      <c r="AC410" s="40">
        <f t="shared" si="181"/>
        <v>0</v>
      </c>
      <c r="AD410" s="40">
        <f t="shared" si="182"/>
        <v>0</v>
      </c>
      <c r="AE410" s="40">
        <f t="shared" si="183"/>
        <v>0</v>
      </c>
      <c r="AF410" s="40">
        <f t="shared" si="184"/>
        <v>1</v>
      </c>
      <c r="AG410" s="40">
        <f t="shared" si="185"/>
        <v>0</v>
      </c>
      <c r="AH410" s="40">
        <f t="shared" si="186"/>
        <v>0</v>
      </c>
      <c r="AI410" s="40">
        <f t="shared" si="187"/>
        <v>0</v>
      </c>
      <c r="AJ410" s="40">
        <f t="shared" si="188"/>
        <v>0</v>
      </c>
      <c r="AK410" s="40">
        <f t="shared" si="189"/>
        <v>0</v>
      </c>
      <c r="AL410" s="40">
        <f t="shared" si="190"/>
        <v>0</v>
      </c>
      <c r="AM410" s="40">
        <f t="shared" si="191"/>
        <v>0</v>
      </c>
      <c r="AN410" s="40">
        <f t="shared" si="192"/>
        <v>1</v>
      </c>
      <c r="AO410" s="40">
        <f t="shared" si="193"/>
        <v>0</v>
      </c>
      <c r="AP410" s="40">
        <f t="shared" si="194"/>
        <v>0</v>
      </c>
      <c r="AQ410" s="40">
        <f t="shared" si="195"/>
        <v>0</v>
      </c>
      <c r="AR410" s="40">
        <f t="shared" si="196"/>
        <v>0</v>
      </c>
      <c r="AS410" s="40">
        <f t="shared" si="197"/>
        <v>0</v>
      </c>
    </row>
    <row r="411" spans="2:45" s="2" customFormat="1" ht="14.4" customHeight="1" x14ac:dyDescent="0.25">
      <c r="B411" s="56" t="s">
        <v>43</v>
      </c>
      <c r="C411" s="57" t="s">
        <v>26</v>
      </c>
      <c r="D411" s="58" t="s">
        <v>29</v>
      </c>
      <c r="E411" s="62">
        <v>1.9789999999999999E-2</v>
      </c>
      <c r="F411" s="65">
        <f t="shared" si="198"/>
        <v>-3.9225785193676628</v>
      </c>
      <c r="S411" s="40">
        <f t="shared" si="171"/>
        <v>0</v>
      </c>
      <c r="T411" s="40">
        <f t="shared" si="172"/>
        <v>0</v>
      </c>
      <c r="U411" s="40">
        <f t="shared" si="173"/>
        <v>0</v>
      </c>
      <c r="V411" s="40">
        <f t="shared" si="174"/>
        <v>0</v>
      </c>
      <c r="W411" s="40">
        <f t="shared" si="175"/>
        <v>0</v>
      </c>
      <c r="X411" s="40">
        <f t="shared" si="176"/>
        <v>1</v>
      </c>
      <c r="Y411" s="40">
        <f t="shared" si="177"/>
        <v>0</v>
      </c>
      <c r="Z411" s="40">
        <f t="shared" si="178"/>
        <v>0</v>
      </c>
      <c r="AA411" s="40">
        <f t="shared" si="179"/>
        <v>0</v>
      </c>
      <c r="AB411" s="40">
        <f t="shared" si="180"/>
        <v>0</v>
      </c>
      <c r="AC411" s="40">
        <f t="shared" si="181"/>
        <v>0</v>
      </c>
      <c r="AD411" s="40">
        <f t="shared" si="182"/>
        <v>0</v>
      </c>
      <c r="AE411" s="40">
        <f t="shared" si="183"/>
        <v>0</v>
      </c>
      <c r="AF411" s="40">
        <f t="shared" si="184"/>
        <v>1</v>
      </c>
      <c r="AG411" s="40">
        <f t="shared" si="185"/>
        <v>0</v>
      </c>
      <c r="AH411" s="40">
        <f t="shared" si="186"/>
        <v>0</v>
      </c>
      <c r="AI411" s="40">
        <f t="shared" si="187"/>
        <v>0</v>
      </c>
      <c r="AJ411" s="40">
        <f t="shared" si="188"/>
        <v>1</v>
      </c>
      <c r="AK411" s="40">
        <f t="shared" si="189"/>
        <v>0</v>
      </c>
      <c r="AL411" s="40">
        <f t="shared" si="190"/>
        <v>0</v>
      </c>
      <c r="AM411" s="40">
        <f t="shared" si="191"/>
        <v>0</v>
      </c>
      <c r="AN411" s="40">
        <f t="shared" si="192"/>
        <v>0</v>
      </c>
      <c r="AO411" s="40">
        <f t="shared" si="193"/>
        <v>0</v>
      </c>
      <c r="AP411" s="40">
        <f t="shared" si="194"/>
        <v>0</v>
      </c>
      <c r="AQ411" s="40">
        <f t="shared" si="195"/>
        <v>0</v>
      </c>
      <c r="AR411" s="40">
        <f t="shared" si="196"/>
        <v>0</v>
      </c>
      <c r="AS411" s="40">
        <f t="shared" si="197"/>
        <v>0</v>
      </c>
    </row>
    <row r="412" spans="2:45" s="2" customFormat="1" ht="14.4" customHeight="1" x14ac:dyDescent="0.25">
      <c r="B412" s="56" t="s">
        <v>43</v>
      </c>
      <c r="C412" s="57" t="s">
        <v>26</v>
      </c>
      <c r="D412" s="58" t="s">
        <v>37</v>
      </c>
      <c r="E412" s="62">
        <v>3.5009999999999999E-2</v>
      </c>
      <c r="F412" s="65">
        <f t="shared" si="198"/>
        <v>-3.3521215440155627</v>
      </c>
      <c r="S412" s="40">
        <f t="shared" si="171"/>
        <v>0</v>
      </c>
      <c r="T412" s="40">
        <f t="shared" si="172"/>
        <v>0</v>
      </c>
      <c r="U412" s="40">
        <f t="shared" si="173"/>
        <v>0</v>
      </c>
      <c r="V412" s="40">
        <f t="shared" si="174"/>
        <v>0</v>
      </c>
      <c r="W412" s="40">
        <f t="shared" si="175"/>
        <v>0</v>
      </c>
      <c r="X412" s="40">
        <f t="shared" si="176"/>
        <v>1</v>
      </c>
      <c r="Y412" s="40">
        <f t="shared" si="177"/>
        <v>0</v>
      </c>
      <c r="Z412" s="40">
        <f t="shared" si="178"/>
        <v>0</v>
      </c>
      <c r="AA412" s="40">
        <f t="shared" si="179"/>
        <v>0</v>
      </c>
      <c r="AB412" s="40">
        <f t="shared" si="180"/>
        <v>0</v>
      </c>
      <c r="AC412" s="40">
        <f t="shared" si="181"/>
        <v>0</v>
      </c>
      <c r="AD412" s="40">
        <f t="shared" si="182"/>
        <v>0</v>
      </c>
      <c r="AE412" s="40">
        <f t="shared" si="183"/>
        <v>0</v>
      </c>
      <c r="AF412" s="40">
        <f t="shared" si="184"/>
        <v>1</v>
      </c>
      <c r="AG412" s="40">
        <f t="shared" si="185"/>
        <v>0</v>
      </c>
      <c r="AH412" s="40">
        <f t="shared" si="186"/>
        <v>0</v>
      </c>
      <c r="AI412" s="40">
        <f t="shared" si="187"/>
        <v>0</v>
      </c>
      <c r="AJ412" s="40">
        <f t="shared" si="188"/>
        <v>1</v>
      </c>
      <c r="AK412" s="40">
        <f t="shared" si="189"/>
        <v>0</v>
      </c>
      <c r="AL412" s="40">
        <f t="shared" si="190"/>
        <v>0</v>
      </c>
      <c r="AM412" s="40">
        <f t="shared" si="191"/>
        <v>0</v>
      </c>
      <c r="AN412" s="40">
        <f t="shared" si="192"/>
        <v>0</v>
      </c>
      <c r="AO412" s="40">
        <f t="shared" si="193"/>
        <v>0</v>
      </c>
      <c r="AP412" s="40">
        <f t="shared" si="194"/>
        <v>0</v>
      </c>
      <c r="AQ412" s="40">
        <f t="shared" si="195"/>
        <v>0</v>
      </c>
      <c r="AR412" s="40">
        <f t="shared" si="196"/>
        <v>0</v>
      </c>
      <c r="AS412" s="40">
        <f t="shared" si="197"/>
        <v>0</v>
      </c>
    </row>
    <row r="413" spans="2:45" s="2" customFormat="1" ht="14.4" customHeight="1" x14ac:dyDescent="0.25">
      <c r="B413" s="56" t="s">
        <v>43</v>
      </c>
      <c r="C413" s="57" t="s">
        <v>26</v>
      </c>
      <c r="D413" s="58" t="s">
        <v>37</v>
      </c>
      <c r="E413" s="62">
        <v>9.8399999999999963E-3</v>
      </c>
      <c r="F413" s="65">
        <f t="shared" si="198"/>
        <v>-4.6212995679179754</v>
      </c>
      <c r="S413" s="40">
        <f t="shared" si="171"/>
        <v>0</v>
      </c>
      <c r="T413" s="40">
        <f t="shared" si="172"/>
        <v>0</v>
      </c>
      <c r="U413" s="40">
        <f t="shared" si="173"/>
        <v>0</v>
      </c>
      <c r="V413" s="40">
        <f t="shared" si="174"/>
        <v>0</v>
      </c>
      <c r="W413" s="40">
        <f t="shared" si="175"/>
        <v>0</v>
      </c>
      <c r="X413" s="40">
        <f t="shared" si="176"/>
        <v>1</v>
      </c>
      <c r="Y413" s="40">
        <f t="shared" si="177"/>
        <v>0</v>
      </c>
      <c r="Z413" s="40">
        <f t="shared" si="178"/>
        <v>0</v>
      </c>
      <c r="AA413" s="40">
        <f t="shared" si="179"/>
        <v>0</v>
      </c>
      <c r="AB413" s="40">
        <f t="shared" si="180"/>
        <v>0</v>
      </c>
      <c r="AC413" s="40">
        <f t="shared" si="181"/>
        <v>0</v>
      </c>
      <c r="AD413" s="40">
        <f t="shared" si="182"/>
        <v>0</v>
      </c>
      <c r="AE413" s="40">
        <f t="shared" si="183"/>
        <v>0</v>
      </c>
      <c r="AF413" s="40">
        <f t="shared" si="184"/>
        <v>1</v>
      </c>
      <c r="AG413" s="40">
        <f t="shared" si="185"/>
        <v>0</v>
      </c>
      <c r="AH413" s="40">
        <f t="shared" si="186"/>
        <v>0</v>
      </c>
      <c r="AI413" s="40">
        <f t="shared" si="187"/>
        <v>0</v>
      </c>
      <c r="AJ413" s="40">
        <f t="shared" si="188"/>
        <v>0</v>
      </c>
      <c r="AK413" s="40">
        <f t="shared" si="189"/>
        <v>0</v>
      </c>
      <c r="AL413" s="40">
        <f t="shared" si="190"/>
        <v>0</v>
      </c>
      <c r="AM413" s="40">
        <f t="shared" si="191"/>
        <v>0</v>
      </c>
      <c r="AN413" s="40">
        <f t="shared" si="192"/>
        <v>0</v>
      </c>
      <c r="AO413" s="40">
        <f t="shared" si="193"/>
        <v>0</v>
      </c>
      <c r="AP413" s="40">
        <f t="shared" si="194"/>
        <v>0</v>
      </c>
      <c r="AQ413" s="40">
        <f t="shared" si="195"/>
        <v>0</v>
      </c>
      <c r="AR413" s="40">
        <f t="shared" si="196"/>
        <v>0</v>
      </c>
      <c r="AS413" s="40">
        <f t="shared" si="197"/>
        <v>1</v>
      </c>
    </row>
    <row r="414" spans="2:45" s="2" customFormat="1" ht="14.4" customHeight="1" x14ac:dyDescent="0.25">
      <c r="B414" s="56" t="s">
        <v>43</v>
      </c>
      <c r="C414" s="57" t="s">
        <v>26</v>
      </c>
      <c r="D414" s="58" t="s">
        <v>22</v>
      </c>
      <c r="E414" s="62">
        <v>2.7270000000000003E-2</v>
      </c>
      <c r="F414" s="65">
        <f t="shared" si="198"/>
        <v>-3.6019680821246398</v>
      </c>
      <c r="S414" s="40">
        <f t="shared" si="171"/>
        <v>0</v>
      </c>
      <c r="T414" s="40">
        <f t="shared" si="172"/>
        <v>0</v>
      </c>
      <c r="U414" s="40">
        <f t="shared" si="173"/>
        <v>0</v>
      </c>
      <c r="V414" s="40">
        <f t="shared" si="174"/>
        <v>0</v>
      </c>
      <c r="W414" s="40">
        <f t="shared" si="175"/>
        <v>0</v>
      </c>
      <c r="X414" s="40">
        <f t="shared" si="176"/>
        <v>1</v>
      </c>
      <c r="Y414" s="40">
        <f t="shared" si="177"/>
        <v>0</v>
      </c>
      <c r="Z414" s="40">
        <f t="shared" si="178"/>
        <v>0</v>
      </c>
      <c r="AA414" s="40">
        <f t="shared" si="179"/>
        <v>0</v>
      </c>
      <c r="AB414" s="40">
        <f t="shared" si="180"/>
        <v>0</v>
      </c>
      <c r="AC414" s="40">
        <f t="shared" si="181"/>
        <v>0</v>
      </c>
      <c r="AD414" s="40">
        <f t="shared" si="182"/>
        <v>0</v>
      </c>
      <c r="AE414" s="40">
        <f t="shared" si="183"/>
        <v>0</v>
      </c>
      <c r="AF414" s="40">
        <f t="shared" si="184"/>
        <v>1</v>
      </c>
      <c r="AG414" s="40">
        <f t="shared" si="185"/>
        <v>0</v>
      </c>
      <c r="AH414" s="40">
        <f t="shared" si="186"/>
        <v>0</v>
      </c>
      <c r="AI414" s="40">
        <f t="shared" si="187"/>
        <v>0</v>
      </c>
      <c r="AJ414" s="40">
        <f t="shared" si="188"/>
        <v>1</v>
      </c>
      <c r="AK414" s="40">
        <f t="shared" si="189"/>
        <v>0</v>
      </c>
      <c r="AL414" s="40">
        <f t="shared" si="190"/>
        <v>0</v>
      </c>
      <c r="AM414" s="40">
        <f t="shared" si="191"/>
        <v>0</v>
      </c>
      <c r="AN414" s="40">
        <f t="shared" si="192"/>
        <v>0</v>
      </c>
      <c r="AO414" s="40">
        <f t="shared" si="193"/>
        <v>0</v>
      </c>
      <c r="AP414" s="40">
        <f t="shared" si="194"/>
        <v>0</v>
      </c>
      <c r="AQ414" s="40">
        <f t="shared" si="195"/>
        <v>0</v>
      </c>
      <c r="AR414" s="40">
        <f t="shared" si="196"/>
        <v>0</v>
      </c>
      <c r="AS414" s="40">
        <f t="shared" si="197"/>
        <v>0</v>
      </c>
    </row>
    <row r="415" spans="2:45" s="2" customFormat="1" ht="14.4" customHeight="1" x14ac:dyDescent="0.25">
      <c r="B415" s="56" t="s">
        <v>43</v>
      </c>
      <c r="C415" s="57" t="s">
        <v>26</v>
      </c>
      <c r="D415" s="58" t="s">
        <v>37</v>
      </c>
      <c r="E415" s="62">
        <v>5.3800000000000001E-2</v>
      </c>
      <c r="F415" s="65">
        <f t="shared" si="198"/>
        <v>-2.9224818118143983</v>
      </c>
      <c r="S415" s="40">
        <f t="shared" si="171"/>
        <v>0</v>
      </c>
      <c r="T415" s="40">
        <f t="shared" si="172"/>
        <v>0</v>
      </c>
      <c r="U415" s="40">
        <f t="shared" si="173"/>
        <v>0</v>
      </c>
      <c r="V415" s="40">
        <f t="shared" si="174"/>
        <v>0</v>
      </c>
      <c r="W415" s="40">
        <f t="shared" si="175"/>
        <v>0</v>
      </c>
      <c r="X415" s="40">
        <f t="shared" si="176"/>
        <v>1</v>
      </c>
      <c r="Y415" s="40">
        <f t="shared" si="177"/>
        <v>0</v>
      </c>
      <c r="Z415" s="40">
        <f t="shared" si="178"/>
        <v>0</v>
      </c>
      <c r="AA415" s="40">
        <f t="shared" si="179"/>
        <v>0</v>
      </c>
      <c r="AB415" s="40">
        <f t="shared" si="180"/>
        <v>0</v>
      </c>
      <c r="AC415" s="40">
        <f t="shared" si="181"/>
        <v>0</v>
      </c>
      <c r="AD415" s="40">
        <f t="shared" si="182"/>
        <v>0</v>
      </c>
      <c r="AE415" s="40">
        <f t="shared" si="183"/>
        <v>0</v>
      </c>
      <c r="AF415" s="40">
        <f t="shared" si="184"/>
        <v>1</v>
      </c>
      <c r="AG415" s="40">
        <f t="shared" si="185"/>
        <v>0</v>
      </c>
      <c r="AH415" s="40">
        <f t="shared" si="186"/>
        <v>0</v>
      </c>
      <c r="AI415" s="40">
        <f t="shared" si="187"/>
        <v>0</v>
      </c>
      <c r="AJ415" s="40">
        <f t="shared" si="188"/>
        <v>1</v>
      </c>
      <c r="AK415" s="40">
        <f t="shared" si="189"/>
        <v>0</v>
      </c>
      <c r="AL415" s="40">
        <f t="shared" si="190"/>
        <v>0</v>
      </c>
      <c r="AM415" s="40">
        <f t="shared" si="191"/>
        <v>0</v>
      </c>
      <c r="AN415" s="40">
        <f t="shared" si="192"/>
        <v>0</v>
      </c>
      <c r="AO415" s="40">
        <f t="shared" si="193"/>
        <v>0</v>
      </c>
      <c r="AP415" s="40">
        <f t="shared" si="194"/>
        <v>0</v>
      </c>
      <c r="AQ415" s="40">
        <f t="shared" si="195"/>
        <v>0</v>
      </c>
      <c r="AR415" s="40">
        <f t="shared" si="196"/>
        <v>0</v>
      </c>
      <c r="AS415" s="40">
        <f t="shared" si="197"/>
        <v>0</v>
      </c>
    </row>
    <row r="416" spans="2:45" s="2" customFormat="1" ht="14.4" customHeight="1" x14ac:dyDescent="0.25">
      <c r="B416" s="56" t="s">
        <v>43</v>
      </c>
      <c r="C416" s="57" t="s">
        <v>26</v>
      </c>
      <c r="D416" s="58" t="s">
        <v>37</v>
      </c>
      <c r="E416" s="62">
        <v>5.4129999999999991E-2</v>
      </c>
      <c r="F416" s="65">
        <f t="shared" si="198"/>
        <v>-2.9163667181732507</v>
      </c>
      <c r="S416" s="40">
        <f t="shared" si="171"/>
        <v>0</v>
      </c>
      <c r="T416" s="40">
        <f t="shared" si="172"/>
        <v>0</v>
      </c>
      <c r="U416" s="40">
        <f t="shared" si="173"/>
        <v>0</v>
      </c>
      <c r="V416" s="40">
        <f t="shared" si="174"/>
        <v>0</v>
      </c>
      <c r="W416" s="40">
        <f t="shared" si="175"/>
        <v>0</v>
      </c>
      <c r="X416" s="40">
        <f t="shared" si="176"/>
        <v>1</v>
      </c>
      <c r="Y416" s="40">
        <f t="shared" si="177"/>
        <v>0</v>
      </c>
      <c r="Z416" s="40">
        <f t="shared" si="178"/>
        <v>0</v>
      </c>
      <c r="AA416" s="40">
        <f t="shared" si="179"/>
        <v>0</v>
      </c>
      <c r="AB416" s="40">
        <f t="shared" si="180"/>
        <v>0</v>
      </c>
      <c r="AC416" s="40">
        <f t="shared" si="181"/>
        <v>0</v>
      </c>
      <c r="AD416" s="40">
        <f t="shared" si="182"/>
        <v>0</v>
      </c>
      <c r="AE416" s="40">
        <f t="shared" si="183"/>
        <v>0</v>
      </c>
      <c r="AF416" s="40">
        <f t="shared" si="184"/>
        <v>1</v>
      </c>
      <c r="AG416" s="40">
        <f t="shared" si="185"/>
        <v>0</v>
      </c>
      <c r="AH416" s="40">
        <f t="shared" si="186"/>
        <v>0</v>
      </c>
      <c r="AI416" s="40">
        <f t="shared" si="187"/>
        <v>1</v>
      </c>
      <c r="AJ416" s="40">
        <f t="shared" si="188"/>
        <v>0</v>
      </c>
      <c r="AK416" s="40">
        <f t="shared" si="189"/>
        <v>0</v>
      </c>
      <c r="AL416" s="40">
        <f t="shared" si="190"/>
        <v>0</v>
      </c>
      <c r="AM416" s="40">
        <f t="shared" si="191"/>
        <v>0</v>
      </c>
      <c r="AN416" s="40">
        <f t="shared" si="192"/>
        <v>0</v>
      </c>
      <c r="AO416" s="40">
        <f t="shared" si="193"/>
        <v>0</v>
      </c>
      <c r="AP416" s="40">
        <f t="shared" si="194"/>
        <v>0</v>
      </c>
      <c r="AQ416" s="40">
        <f t="shared" si="195"/>
        <v>0</v>
      </c>
      <c r="AR416" s="40">
        <f t="shared" si="196"/>
        <v>0</v>
      </c>
      <c r="AS416" s="40">
        <f t="shared" si="197"/>
        <v>0</v>
      </c>
    </row>
    <row r="417" spans="2:45" s="2" customFormat="1" ht="14.4" customHeight="1" x14ac:dyDescent="0.25">
      <c r="B417" s="56" t="s">
        <v>43</v>
      </c>
      <c r="C417" s="57" t="s">
        <v>26</v>
      </c>
      <c r="D417" s="58" t="s">
        <v>28</v>
      </c>
      <c r="E417" s="62">
        <v>1.917E-2</v>
      </c>
      <c r="F417" s="65">
        <f t="shared" si="198"/>
        <v>-3.954408721924584</v>
      </c>
      <c r="S417" s="40">
        <f t="shared" si="171"/>
        <v>0</v>
      </c>
      <c r="T417" s="40">
        <f t="shared" si="172"/>
        <v>0</v>
      </c>
      <c r="U417" s="40">
        <f t="shared" si="173"/>
        <v>0</v>
      </c>
      <c r="V417" s="40">
        <f t="shared" si="174"/>
        <v>0</v>
      </c>
      <c r="W417" s="40">
        <f t="shared" si="175"/>
        <v>0</v>
      </c>
      <c r="X417" s="40">
        <f t="shared" si="176"/>
        <v>1</v>
      </c>
      <c r="Y417" s="40">
        <f t="shared" si="177"/>
        <v>0</v>
      </c>
      <c r="Z417" s="40">
        <f t="shared" si="178"/>
        <v>0</v>
      </c>
      <c r="AA417" s="40">
        <f t="shared" si="179"/>
        <v>0</v>
      </c>
      <c r="AB417" s="40">
        <f t="shared" si="180"/>
        <v>0</v>
      </c>
      <c r="AC417" s="40">
        <f t="shared" si="181"/>
        <v>0</v>
      </c>
      <c r="AD417" s="40">
        <f t="shared" si="182"/>
        <v>0</v>
      </c>
      <c r="AE417" s="40">
        <f t="shared" si="183"/>
        <v>1</v>
      </c>
      <c r="AF417" s="40">
        <f t="shared" si="184"/>
        <v>0</v>
      </c>
      <c r="AG417" s="40">
        <f t="shared" si="185"/>
        <v>0</v>
      </c>
      <c r="AH417" s="40">
        <f t="shared" si="186"/>
        <v>0</v>
      </c>
      <c r="AI417" s="40">
        <f t="shared" si="187"/>
        <v>0</v>
      </c>
      <c r="AJ417" s="40">
        <f t="shared" si="188"/>
        <v>0</v>
      </c>
      <c r="AK417" s="40">
        <f t="shared" si="189"/>
        <v>0</v>
      </c>
      <c r="AL417" s="40">
        <f t="shared" si="190"/>
        <v>0</v>
      </c>
      <c r="AM417" s="40">
        <f t="shared" si="191"/>
        <v>1</v>
      </c>
      <c r="AN417" s="40">
        <f t="shared" si="192"/>
        <v>0</v>
      </c>
      <c r="AO417" s="40">
        <f t="shared" si="193"/>
        <v>0</v>
      </c>
      <c r="AP417" s="40">
        <f t="shared" si="194"/>
        <v>0</v>
      </c>
      <c r="AQ417" s="40">
        <f t="shared" si="195"/>
        <v>0</v>
      </c>
      <c r="AR417" s="40">
        <f t="shared" si="196"/>
        <v>0</v>
      </c>
      <c r="AS417" s="40">
        <f t="shared" si="197"/>
        <v>0</v>
      </c>
    </row>
    <row r="418" spans="2:45" s="2" customFormat="1" ht="14.4" customHeight="1" x14ac:dyDescent="0.25">
      <c r="B418" s="56" t="s">
        <v>43</v>
      </c>
      <c r="C418" s="57" t="s">
        <v>34</v>
      </c>
      <c r="D418" s="58" t="s">
        <v>35</v>
      </c>
      <c r="E418" s="62">
        <v>3.0790000000000008E-2</v>
      </c>
      <c r="F418" s="65">
        <f t="shared" si="198"/>
        <v>-3.4805653170457278</v>
      </c>
      <c r="S418" s="40">
        <f t="shared" si="171"/>
        <v>0</v>
      </c>
      <c r="T418" s="40">
        <f t="shared" si="172"/>
        <v>0</v>
      </c>
      <c r="U418" s="40">
        <f t="shared" si="173"/>
        <v>0</v>
      </c>
      <c r="V418" s="40">
        <f t="shared" si="174"/>
        <v>0</v>
      </c>
      <c r="W418" s="40">
        <f t="shared" si="175"/>
        <v>0</v>
      </c>
      <c r="X418" s="40">
        <f t="shared" si="176"/>
        <v>1</v>
      </c>
      <c r="Y418" s="40">
        <f t="shared" si="177"/>
        <v>0</v>
      </c>
      <c r="Z418" s="40">
        <f t="shared" si="178"/>
        <v>0</v>
      </c>
      <c r="AA418" s="40">
        <f t="shared" si="179"/>
        <v>0</v>
      </c>
      <c r="AB418" s="40">
        <f t="shared" si="180"/>
        <v>0</v>
      </c>
      <c r="AC418" s="40">
        <f t="shared" si="181"/>
        <v>0</v>
      </c>
      <c r="AD418" s="40">
        <f t="shared" si="182"/>
        <v>0</v>
      </c>
      <c r="AE418" s="40">
        <f t="shared" si="183"/>
        <v>1</v>
      </c>
      <c r="AF418" s="40">
        <f t="shared" si="184"/>
        <v>0</v>
      </c>
      <c r="AG418" s="40">
        <f t="shared" si="185"/>
        <v>0</v>
      </c>
      <c r="AH418" s="40">
        <f t="shared" si="186"/>
        <v>1</v>
      </c>
      <c r="AI418" s="40">
        <f t="shared" si="187"/>
        <v>0</v>
      </c>
      <c r="AJ418" s="40">
        <f t="shared" si="188"/>
        <v>0</v>
      </c>
      <c r="AK418" s="40">
        <f t="shared" si="189"/>
        <v>0</v>
      </c>
      <c r="AL418" s="40">
        <f t="shared" si="190"/>
        <v>0</v>
      </c>
      <c r="AM418" s="40">
        <f t="shared" si="191"/>
        <v>0</v>
      </c>
      <c r="AN418" s="40">
        <f t="shared" si="192"/>
        <v>0</v>
      </c>
      <c r="AO418" s="40">
        <f t="shared" si="193"/>
        <v>0</v>
      </c>
      <c r="AP418" s="40">
        <f t="shared" si="194"/>
        <v>0</v>
      </c>
      <c r="AQ418" s="40">
        <f t="shared" si="195"/>
        <v>0</v>
      </c>
      <c r="AR418" s="40">
        <f t="shared" si="196"/>
        <v>0</v>
      </c>
      <c r="AS418" s="40">
        <f t="shared" si="197"/>
        <v>0</v>
      </c>
    </row>
    <row r="419" spans="2:45" s="2" customFormat="1" ht="14.4" customHeight="1" x14ac:dyDescent="0.25">
      <c r="B419" s="56" t="s">
        <v>43</v>
      </c>
      <c r="C419" s="57" t="s">
        <v>34</v>
      </c>
      <c r="D419" s="58" t="s">
        <v>27</v>
      </c>
      <c r="E419" s="62">
        <v>4.0589999999999994E-2</v>
      </c>
      <c r="F419" s="65">
        <f t="shared" si="198"/>
        <v>-3.2042335481313309</v>
      </c>
      <c r="S419" s="40">
        <f t="shared" si="171"/>
        <v>0</v>
      </c>
      <c r="T419" s="40">
        <f t="shared" si="172"/>
        <v>0</v>
      </c>
      <c r="U419" s="40">
        <f t="shared" si="173"/>
        <v>0</v>
      </c>
      <c r="V419" s="40">
        <f t="shared" si="174"/>
        <v>0</v>
      </c>
      <c r="W419" s="40">
        <f t="shared" si="175"/>
        <v>0</v>
      </c>
      <c r="X419" s="40">
        <f t="shared" si="176"/>
        <v>1</v>
      </c>
      <c r="Y419" s="40">
        <f t="shared" si="177"/>
        <v>0</v>
      </c>
      <c r="Z419" s="40">
        <f t="shared" si="178"/>
        <v>0</v>
      </c>
      <c r="AA419" s="40">
        <f t="shared" si="179"/>
        <v>0</v>
      </c>
      <c r="AB419" s="40">
        <f t="shared" si="180"/>
        <v>0</v>
      </c>
      <c r="AC419" s="40">
        <f t="shared" si="181"/>
        <v>0</v>
      </c>
      <c r="AD419" s="40">
        <f t="shared" si="182"/>
        <v>0</v>
      </c>
      <c r="AE419" s="40">
        <f t="shared" si="183"/>
        <v>1</v>
      </c>
      <c r="AF419" s="40">
        <f t="shared" si="184"/>
        <v>0</v>
      </c>
      <c r="AG419" s="40">
        <f t="shared" si="185"/>
        <v>0</v>
      </c>
      <c r="AH419" s="40">
        <f t="shared" si="186"/>
        <v>0</v>
      </c>
      <c r="AI419" s="40">
        <f t="shared" si="187"/>
        <v>0</v>
      </c>
      <c r="AJ419" s="40">
        <f t="shared" si="188"/>
        <v>0</v>
      </c>
      <c r="AK419" s="40">
        <f t="shared" si="189"/>
        <v>0</v>
      </c>
      <c r="AL419" s="40">
        <f t="shared" si="190"/>
        <v>0</v>
      </c>
      <c r="AM419" s="40">
        <f t="shared" si="191"/>
        <v>1</v>
      </c>
      <c r="AN419" s="40">
        <f t="shared" si="192"/>
        <v>0</v>
      </c>
      <c r="AO419" s="40">
        <f t="shared" si="193"/>
        <v>0</v>
      </c>
      <c r="AP419" s="40">
        <f t="shared" si="194"/>
        <v>0</v>
      </c>
      <c r="AQ419" s="40">
        <f t="shared" si="195"/>
        <v>0</v>
      </c>
      <c r="AR419" s="40">
        <f t="shared" si="196"/>
        <v>0</v>
      </c>
      <c r="AS419" s="40">
        <f t="shared" si="197"/>
        <v>0</v>
      </c>
    </row>
    <row r="420" spans="2:45" s="2" customFormat="1" ht="14.4" customHeight="1" x14ac:dyDescent="0.25">
      <c r="B420" s="56" t="s">
        <v>43</v>
      </c>
      <c r="C420" s="57" t="s">
        <v>34</v>
      </c>
      <c r="D420" s="58" t="s">
        <v>35</v>
      </c>
      <c r="E420" s="62">
        <v>3.0869999999999998E-2</v>
      </c>
      <c r="F420" s="65">
        <f t="shared" si="198"/>
        <v>-3.4779704404680691</v>
      </c>
      <c r="S420" s="40">
        <f t="shared" si="171"/>
        <v>0</v>
      </c>
      <c r="T420" s="40">
        <f t="shared" si="172"/>
        <v>0</v>
      </c>
      <c r="U420" s="40">
        <f t="shared" si="173"/>
        <v>0</v>
      </c>
      <c r="V420" s="40">
        <f t="shared" si="174"/>
        <v>0</v>
      </c>
      <c r="W420" s="40">
        <f t="shared" si="175"/>
        <v>0</v>
      </c>
      <c r="X420" s="40">
        <f t="shared" si="176"/>
        <v>1</v>
      </c>
      <c r="Y420" s="40">
        <f t="shared" si="177"/>
        <v>0</v>
      </c>
      <c r="Z420" s="40">
        <f t="shared" si="178"/>
        <v>0</v>
      </c>
      <c r="AA420" s="40">
        <f t="shared" si="179"/>
        <v>0</v>
      </c>
      <c r="AB420" s="40">
        <f t="shared" si="180"/>
        <v>0</v>
      </c>
      <c r="AC420" s="40">
        <f t="shared" si="181"/>
        <v>0</v>
      </c>
      <c r="AD420" s="40">
        <f t="shared" si="182"/>
        <v>0</v>
      </c>
      <c r="AE420" s="40">
        <f t="shared" si="183"/>
        <v>0</v>
      </c>
      <c r="AF420" s="40">
        <f t="shared" si="184"/>
        <v>1</v>
      </c>
      <c r="AG420" s="40">
        <f t="shared" si="185"/>
        <v>0</v>
      </c>
      <c r="AH420" s="40">
        <f t="shared" si="186"/>
        <v>0</v>
      </c>
      <c r="AI420" s="40">
        <f t="shared" si="187"/>
        <v>0</v>
      </c>
      <c r="AJ420" s="40">
        <f t="shared" si="188"/>
        <v>0</v>
      </c>
      <c r="AK420" s="40">
        <f t="shared" si="189"/>
        <v>1</v>
      </c>
      <c r="AL420" s="40">
        <f t="shared" si="190"/>
        <v>0</v>
      </c>
      <c r="AM420" s="40">
        <f t="shared" si="191"/>
        <v>0</v>
      </c>
      <c r="AN420" s="40">
        <f t="shared" si="192"/>
        <v>0</v>
      </c>
      <c r="AO420" s="40">
        <f t="shared" si="193"/>
        <v>0</v>
      </c>
      <c r="AP420" s="40">
        <f t="shared" si="194"/>
        <v>0</v>
      </c>
      <c r="AQ420" s="40">
        <f t="shared" si="195"/>
        <v>0</v>
      </c>
      <c r="AR420" s="40">
        <f t="shared" si="196"/>
        <v>0</v>
      </c>
      <c r="AS420" s="40">
        <f t="shared" si="197"/>
        <v>0</v>
      </c>
    </row>
    <row r="421" spans="2:45" s="2" customFormat="1" ht="14.4" customHeight="1" x14ac:dyDescent="0.25">
      <c r="B421" s="56" t="s">
        <v>43</v>
      </c>
      <c r="C421" s="57" t="s">
        <v>26</v>
      </c>
      <c r="D421" s="58" t="s">
        <v>32</v>
      </c>
      <c r="E421" s="62">
        <v>6.5930000000000016E-2</v>
      </c>
      <c r="F421" s="65">
        <f t="shared" si="198"/>
        <v>-2.7191617058569286</v>
      </c>
      <c r="S421" s="40">
        <f t="shared" si="171"/>
        <v>0</v>
      </c>
      <c r="T421" s="40">
        <f t="shared" si="172"/>
        <v>0</v>
      </c>
      <c r="U421" s="40">
        <f t="shared" si="173"/>
        <v>0</v>
      </c>
      <c r="V421" s="40">
        <f t="shared" si="174"/>
        <v>0</v>
      </c>
      <c r="W421" s="40">
        <f t="shared" si="175"/>
        <v>0</v>
      </c>
      <c r="X421" s="40">
        <f t="shared" si="176"/>
        <v>1</v>
      </c>
      <c r="Y421" s="40">
        <f t="shared" si="177"/>
        <v>0</v>
      </c>
      <c r="Z421" s="40">
        <f t="shared" si="178"/>
        <v>0</v>
      </c>
      <c r="AA421" s="40">
        <f t="shared" si="179"/>
        <v>0</v>
      </c>
      <c r="AB421" s="40">
        <f t="shared" si="180"/>
        <v>0</v>
      </c>
      <c r="AC421" s="40">
        <f t="shared" si="181"/>
        <v>0</v>
      </c>
      <c r="AD421" s="40">
        <f t="shared" si="182"/>
        <v>0</v>
      </c>
      <c r="AE421" s="40">
        <f t="shared" si="183"/>
        <v>0</v>
      </c>
      <c r="AF421" s="40">
        <f t="shared" si="184"/>
        <v>1</v>
      </c>
      <c r="AG421" s="40">
        <f t="shared" si="185"/>
        <v>0</v>
      </c>
      <c r="AH421" s="40">
        <f t="shared" si="186"/>
        <v>0</v>
      </c>
      <c r="AI421" s="40">
        <f t="shared" si="187"/>
        <v>0</v>
      </c>
      <c r="AJ421" s="40">
        <f t="shared" si="188"/>
        <v>0</v>
      </c>
      <c r="AK421" s="40">
        <f t="shared" si="189"/>
        <v>0</v>
      </c>
      <c r="AL421" s="40">
        <f t="shared" si="190"/>
        <v>1</v>
      </c>
      <c r="AM421" s="40">
        <f t="shared" si="191"/>
        <v>0</v>
      </c>
      <c r="AN421" s="40">
        <f t="shared" si="192"/>
        <v>0</v>
      </c>
      <c r="AO421" s="40">
        <f t="shared" si="193"/>
        <v>0</v>
      </c>
      <c r="AP421" s="40">
        <f t="shared" si="194"/>
        <v>0</v>
      </c>
      <c r="AQ421" s="40">
        <f t="shared" si="195"/>
        <v>0</v>
      </c>
      <c r="AR421" s="40">
        <f t="shared" si="196"/>
        <v>0</v>
      </c>
      <c r="AS421" s="40">
        <f t="shared" si="197"/>
        <v>0</v>
      </c>
    </row>
    <row r="422" spans="2:45" s="2" customFormat="1" ht="14.4" customHeight="1" x14ac:dyDescent="0.25">
      <c r="B422" s="56" t="s">
        <v>43</v>
      </c>
      <c r="C422" s="57" t="s">
        <v>26</v>
      </c>
      <c r="D422" s="58" t="s">
        <v>24</v>
      </c>
      <c r="E422" s="62">
        <v>4.4830000000000002E-2</v>
      </c>
      <c r="F422" s="65">
        <f t="shared" si="198"/>
        <v>-3.1048777208147889</v>
      </c>
      <c r="S422" s="40">
        <f t="shared" si="171"/>
        <v>0</v>
      </c>
      <c r="T422" s="40">
        <f t="shared" si="172"/>
        <v>0</v>
      </c>
      <c r="U422" s="40">
        <f t="shared" si="173"/>
        <v>0</v>
      </c>
      <c r="V422" s="40">
        <f t="shared" si="174"/>
        <v>0</v>
      </c>
      <c r="W422" s="40">
        <f t="shared" si="175"/>
        <v>0</v>
      </c>
      <c r="X422" s="40">
        <f t="shared" si="176"/>
        <v>1</v>
      </c>
      <c r="Y422" s="40">
        <f t="shared" si="177"/>
        <v>0</v>
      </c>
      <c r="Z422" s="40">
        <f t="shared" si="178"/>
        <v>0</v>
      </c>
      <c r="AA422" s="40">
        <f t="shared" si="179"/>
        <v>0</v>
      </c>
      <c r="AB422" s="40">
        <f t="shared" si="180"/>
        <v>0</v>
      </c>
      <c r="AC422" s="40">
        <f t="shared" si="181"/>
        <v>0</v>
      </c>
      <c r="AD422" s="40">
        <f t="shared" si="182"/>
        <v>0</v>
      </c>
      <c r="AE422" s="40">
        <f t="shared" si="183"/>
        <v>0</v>
      </c>
      <c r="AF422" s="40">
        <f t="shared" si="184"/>
        <v>1</v>
      </c>
      <c r="AG422" s="40">
        <f t="shared" si="185"/>
        <v>0</v>
      </c>
      <c r="AH422" s="40">
        <f t="shared" si="186"/>
        <v>0</v>
      </c>
      <c r="AI422" s="40">
        <f t="shared" si="187"/>
        <v>0</v>
      </c>
      <c r="AJ422" s="40">
        <f t="shared" si="188"/>
        <v>1</v>
      </c>
      <c r="AK422" s="40">
        <f t="shared" si="189"/>
        <v>0</v>
      </c>
      <c r="AL422" s="40">
        <f t="shared" si="190"/>
        <v>0</v>
      </c>
      <c r="AM422" s="40">
        <f t="shared" si="191"/>
        <v>0</v>
      </c>
      <c r="AN422" s="40">
        <f t="shared" si="192"/>
        <v>0</v>
      </c>
      <c r="AO422" s="40">
        <f t="shared" si="193"/>
        <v>0</v>
      </c>
      <c r="AP422" s="40">
        <f t="shared" si="194"/>
        <v>0</v>
      </c>
      <c r="AQ422" s="40">
        <f t="shared" si="195"/>
        <v>0</v>
      </c>
      <c r="AR422" s="40">
        <f t="shared" si="196"/>
        <v>0</v>
      </c>
      <c r="AS422" s="40">
        <f t="shared" si="197"/>
        <v>0</v>
      </c>
    </row>
    <row r="423" spans="2:45" s="2" customFormat="1" ht="14.4" customHeight="1" x14ac:dyDescent="0.25">
      <c r="B423" s="56" t="s">
        <v>43</v>
      </c>
      <c r="C423" s="57" t="s">
        <v>26</v>
      </c>
      <c r="D423" s="58" t="s">
        <v>37</v>
      </c>
      <c r="E423" s="62">
        <v>3.7769999999999991E-2</v>
      </c>
      <c r="F423" s="65">
        <f t="shared" si="198"/>
        <v>-3.2762401422577718</v>
      </c>
      <c r="S423" s="40">
        <f t="shared" si="171"/>
        <v>0</v>
      </c>
      <c r="T423" s="40">
        <f t="shared" si="172"/>
        <v>0</v>
      </c>
      <c r="U423" s="40">
        <f t="shared" si="173"/>
        <v>0</v>
      </c>
      <c r="V423" s="40">
        <f t="shared" si="174"/>
        <v>0</v>
      </c>
      <c r="W423" s="40">
        <f t="shared" si="175"/>
        <v>0</v>
      </c>
      <c r="X423" s="40">
        <f t="shared" si="176"/>
        <v>1</v>
      </c>
      <c r="Y423" s="40">
        <f t="shared" si="177"/>
        <v>0</v>
      </c>
      <c r="Z423" s="40">
        <f t="shared" si="178"/>
        <v>0</v>
      </c>
      <c r="AA423" s="40">
        <f t="shared" si="179"/>
        <v>0</v>
      </c>
      <c r="AB423" s="40">
        <f t="shared" si="180"/>
        <v>0</v>
      </c>
      <c r="AC423" s="40">
        <f t="shared" si="181"/>
        <v>0</v>
      </c>
      <c r="AD423" s="40">
        <f t="shared" si="182"/>
        <v>0</v>
      </c>
      <c r="AE423" s="40">
        <f t="shared" si="183"/>
        <v>0</v>
      </c>
      <c r="AF423" s="40">
        <f t="shared" si="184"/>
        <v>1</v>
      </c>
      <c r="AG423" s="40">
        <f t="shared" si="185"/>
        <v>0</v>
      </c>
      <c r="AH423" s="40">
        <f t="shared" si="186"/>
        <v>0</v>
      </c>
      <c r="AI423" s="40">
        <f t="shared" si="187"/>
        <v>0</v>
      </c>
      <c r="AJ423" s="40">
        <f t="shared" si="188"/>
        <v>1</v>
      </c>
      <c r="AK423" s="40">
        <f t="shared" si="189"/>
        <v>0</v>
      </c>
      <c r="AL423" s="40">
        <f t="shared" si="190"/>
        <v>0</v>
      </c>
      <c r="AM423" s="40">
        <f t="shared" si="191"/>
        <v>0</v>
      </c>
      <c r="AN423" s="40">
        <f t="shared" si="192"/>
        <v>0</v>
      </c>
      <c r="AO423" s="40">
        <f t="shared" si="193"/>
        <v>0</v>
      </c>
      <c r="AP423" s="40">
        <f t="shared" si="194"/>
        <v>0</v>
      </c>
      <c r="AQ423" s="40">
        <f t="shared" si="195"/>
        <v>0</v>
      </c>
      <c r="AR423" s="40">
        <f t="shared" si="196"/>
        <v>0</v>
      </c>
      <c r="AS423" s="40">
        <f t="shared" si="197"/>
        <v>0</v>
      </c>
    </row>
    <row r="424" spans="2:45" s="2" customFormat="1" ht="14.4" customHeight="1" x14ac:dyDescent="0.25">
      <c r="B424" s="56" t="s">
        <v>43</v>
      </c>
      <c r="C424" s="57" t="s">
        <v>26</v>
      </c>
      <c r="D424" s="58" t="s">
        <v>37</v>
      </c>
      <c r="E424" s="62">
        <v>4.8690000000000004E-2</v>
      </c>
      <c r="F424" s="65">
        <f t="shared" si="198"/>
        <v>-3.0222816087875275</v>
      </c>
      <c r="S424" s="40">
        <f t="shared" si="171"/>
        <v>0</v>
      </c>
      <c r="T424" s="40">
        <f t="shared" si="172"/>
        <v>0</v>
      </c>
      <c r="U424" s="40">
        <f t="shared" si="173"/>
        <v>0</v>
      </c>
      <c r="V424" s="40">
        <f t="shared" si="174"/>
        <v>0</v>
      </c>
      <c r="W424" s="40">
        <f t="shared" si="175"/>
        <v>0</v>
      </c>
      <c r="X424" s="40">
        <f t="shared" si="176"/>
        <v>1</v>
      </c>
      <c r="Y424" s="40">
        <f t="shared" si="177"/>
        <v>0</v>
      </c>
      <c r="Z424" s="40">
        <f t="shared" si="178"/>
        <v>0</v>
      </c>
      <c r="AA424" s="40">
        <f t="shared" si="179"/>
        <v>0</v>
      </c>
      <c r="AB424" s="40">
        <f t="shared" si="180"/>
        <v>1</v>
      </c>
      <c r="AC424" s="40">
        <f t="shared" si="181"/>
        <v>0</v>
      </c>
      <c r="AD424" s="40">
        <f t="shared" si="182"/>
        <v>0</v>
      </c>
      <c r="AE424" s="40">
        <f t="shared" si="183"/>
        <v>0</v>
      </c>
      <c r="AF424" s="40">
        <f t="shared" si="184"/>
        <v>0</v>
      </c>
      <c r="AG424" s="40">
        <f t="shared" si="185"/>
        <v>0</v>
      </c>
      <c r="AH424" s="40">
        <f t="shared" si="186"/>
        <v>0</v>
      </c>
      <c r="AI424" s="40">
        <f t="shared" si="187"/>
        <v>0</v>
      </c>
      <c r="AJ424" s="40">
        <f t="shared" si="188"/>
        <v>0</v>
      </c>
      <c r="AK424" s="40">
        <f t="shared" si="189"/>
        <v>0</v>
      </c>
      <c r="AL424" s="40">
        <f t="shared" si="190"/>
        <v>0</v>
      </c>
      <c r="AM424" s="40">
        <f t="shared" si="191"/>
        <v>1</v>
      </c>
      <c r="AN424" s="40">
        <f t="shared" si="192"/>
        <v>0</v>
      </c>
      <c r="AO424" s="40">
        <f t="shared" si="193"/>
        <v>0</v>
      </c>
      <c r="AP424" s="40">
        <f t="shared" si="194"/>
        <v>0</v>
      </c>
      <c r="AQ424" s="40">
        <f t="shared" si="195"/>
        <v>0</v>
      </c>
      <c r="AR424" s="40">
        <f t="shared" si="196"/>
        <v>0</v>
      </c>
      <c r="AS424" s="40">
        <f t="shared" si="197"/>
        <v>0</v>
      </c>
    </row>
    <row r="425" spans="2:45" s="2" customFormat="1" ht="14.4" customHeight="1" x14ac:dyDescent="0.25">
      <c r="B425" s="56" t="s">
        <v>43</v>
      </c>
      <c r="C425" s="57" t="s">
        <v>25</v>
      </c>
      <c r="D425" s="58" t="s">
        <v>35</v>
      </c>
      <c r="E425" s="62">
        <v>2.3980000000000005E-2</v>
      </c>
      <c r="F425" s="65">
        <f t="shared" si="198"/>
        <v>-3.7305351293827687</v>
      </c>
      <c r="S425" s="40">
        <f t="shared" si="171"/>
        <v>0</v>
      </c>
      <c r="T425" s="40">
        <f t="shared" si="172"/>
        <v>0</v>
      </c>
      <c r="U425" s="40">
        <f t="shared" si="173"/>
        <v>0</v>
      </c>
      <c r="V425" s="40">
        <f t="shared" si="174"/>
        <v>0</v>
      </c>
      <c r="W425" s="40">
        <f t="shared" si="175"/>
        <v>0</v>
      </c>
      <c r="X425" s="40">
        <f t="shared" si="176"/>
        <v>1</v>
      </c>
      <c r="Y425" s="40">
        <f t="shared" si="177"/>
        <v>0</v>
      </c>
      <c r="Z425" s="40">
        <f t="shared" si="178"/>
        <v>0</v>
      </c>
      <c r="AA425" s="40">
        <f t="shared" si="179"/>
        <v>0</v>
      </c>
      <c r="AB425" s="40">
        <f t="shared" si="180"/>
        <v>0</v>
      </c>
      <c r="AC425" s="40">
        <f t="shared" si="181"/>
        <v>0</v>
      </c>
      <c r="AD425" s="40">
        <f t="shared" si="182"/>
        <v>0</v>
      </c>
      <c r="AE425" s="40">
        <f t="shared" si="183"/>
        <v>0</v>
      </c>
      <c r="AF425" s="40">
        <f t="shared" si="184"/>
        <v>1</v>
      </c>
      <c r="AG425" s="40">
        <f t="shared" si="185"/>
        <v>0</v>
      </c>
      <c r="AH425" s="40">
        <f t="shared" si="186"/>
        <v>0</v>
      </c>
      <c r="AI425" s="40">
        <f t="shared" si="187"/>
        <v>0</v>
      </c>
      <c r="AJ425" s="40">
        <f t="shared" si="188"/>
        <v>0</v>
      </c>
      <c r="AK425" s="40">
        <f t="shared" si="189"/>
        <v>0</v>
      </c>
      <c r="AL425" s="40">
        <f t="shared" si="190"/>
        <v>0</v>
      </c>
      <c r="AM425" s="40">
        <f t="shared" si="191"/>
        <v>0</v>
      </c>
      <c r="AN425" s="40">
        <f t="shared" si="192"/>
        <v>0</v>
      </c>
      <c r="AO425" s="40">
        <f t="shared" si="193"/>
        <v>0</v>
      </c>
      <c r="AP425" s="40">
        <f t="shared" si="194"/>
        <v>0</v>
      </c>
      <c r="AQ425" s="40">
        <f t="shared" si="195"/>
        <v>1</v>
      </c>
      <c r="AR425" s="40">
        <f t="shared" si="196"/>
        <v>0</v>
      </c>
      <c r="AS425" s="40">
        <f t="shared" si="197"/>
        <v>0</v>
      </c>
    </row>
    <row r="426" spans="2:45" s="2" customFormat="1" ht="14.4" customHeight="1" x14ac:dyDescent="0.25">
      <c r="B426" s="56" t="s">
        <v>43</v>
      </c>
      <c r="C426" s="57" t="s">
        <v>26</v>
      </c>
      <c r="D426" s="58" t="s">
        <v>30</v>
      </c>
      <c r="E426" s="62">
        <v>6.5930000000000016E-2</v>
      </c>
      <c r="F426" s="65">
        <f t="shared" si="198"/>
        <v>-2.7191617058569286</v>
      </c>
      <c r="S426" s="40">
        <f t="shared" si="171"/>
        <v>0</v>
      </c>
      <c r="T426" s="40">
        <f t="shared" si="172"/>
        <v>0</v>
      </c>
      <c r="U426" s="40">
        <f t="shared" si="173"/>
        <v>0</v>
      </c>
      <c r="V426" s="40">
        <f t="shared" si="174"/>
        <v>0</v>
      </c>
      <c r="W426" s="40">
        <f t="shared" si="175"/>
        <v>0</v>
      </c>
      <c r="X426" s="40">
        <f t="shared" si="176"/>
        <v>1</v>
      </c>
      <c r="Y426" s="40">
        <f t="shared" si="177"/>
        <v>0</v>
      </c>
      <c r="Z426" s="40">
        <f t="shared" si="178"/>
        <v>0</v>
      </c>
      <c r="AA426" s="40">
        <f t="shared" si="179"/>
        <v>0</v>
      </c>
      <c r="AB426" s="40">
        <f t="shared" si="180"/>
        <v>0</v>
      </c>
      <c r="AC426" s="40">
        <f t="shared" si="181"/>
        <v>0</v>
      </c>
      <c r="AD426" s="40">
        <f t="shared" si="182"/>
        <v>0</v>
      </c>
      <c r="AE426" s="40">
        <f t="shared" si="183"/>
        <v>0</v>
      </c>
      <c r="AF426" s="40">
        <f t="shared" si="184"/>
        <v>1</v>
      </c>
      <c r="AG426" s="40">
        <f t="shared" si="185"/>
        <v>0</v>
      </c>
      <c r="AH426" s="40">
        <f t="shared" si="186"/>
        <v>0</v>
      </c>
      <c r="AI426" s="40">
        <f t="shared" si="187"/>
        <v>0</v>
      </c>
      <c r="AJ426" s="40">
        <f t="shared" si="188"/>
        <v>1</v>
      </c>
      <c r="AK426" s="40">
        <f t="shared" si="189"/>
        <v>0</v>
      </c>
      <c r="AL426" s="40">
        <f t="shared" si="190"/>
        <v>0</v>
      </c>
      <c r="AM426" s="40">
        <f t="shared" si="191"/>
        <v>0</v>
      </c>
      <c r="AN426" s="40">
        <f t="shared" si="192"/>
        <v>0</v>
      </c>
      <c r="AO426" s="40">
        <f t="shared" si="193"/>
        <v>0</v>
      </c>
      <c r="AP426" s="40">
        <f t="shared" si="194"/>
        <v>0</v>
      </c>
      <c r="AQ426" s="40">
        <f t="shared" si="195"/>
        <v>0</v>
      </c>
      <c r="AR426" s="40">
        <f t="shared" si="196"/>
        <v>0</v>
      </c>
      <c r="AS426" s="40">
        <f t="shared" si="197"/>
        <v>0</v>
      </c>
    </row>
    <row r="427" spans="2:45" s="2" customFormat="1" ht="14.4" customHeight="1" x14ac:dyDescent="0.25">
      <c r="B427" s="56" t="s">
        <v>43</v>
      </c>
      <c r="C427" s="57" t="s">
        <v>26</v>
      </c>
      <c r="D427" s="58" t="s">
        <v>37</v>
      </c>
      <c r="E427" s="62">
        <v>1.3830000000000002E-2</v>
      </c>
      <c r="F427" s="65">
        <f t="shared" si="198"/>
        <v>-4.28091513330547</v>
      </c>
      <c r="S427" s="40">
        <f t="shared" si="171"/>
        <v>0</v>
      </c>
      <c r="T427" s="40">
        <f t="shared" si="172"/>
        <v>0</v>
      </c>
      <c r="U427" s="40">
        <f t="shared" si="173"/>
        <v>0</v>
      </c>
      <c r="V427" s="40">
        <f t="shared" si="174"/>
        <v>0</v>
      </c>
      <c r="W427" s="40">
        <f t="shared" si="175"/>
        <v>0</v>
      </c>
      <c r="X427" s="40">
        <f t="shared" si="176"/>
        <v>1</v>
      </c>
      <c r="Y427" s="40">
        <f t="shared" si="177"/>
        <v>0</v>
      </c>
      <c r="Z427" s="40">
        <f t="shared" si="178"/>
        <v>0</v>
      </c>
      <c r="AA427" s="40">
        <f t="shared" si="179"/>
        <v>0</v>
      </c>
      <c r="AB427" s="40">
        <f t="shared" si="180"/>
        <v>0</v>
      </c>
      <c r="AC427" s="40">
        <f t="shared" si="181"/>
        <v>0</v>
      </c>
      <c r="AD427" s="40">
        <f t="shared" si="182"/>
        <v>0</v>
      </c>
      <c r="AE427" s="40">
        <f t="shared" si="183"/>
        <v>0</v>
      </c>
      <c r="AF427" s="40">
        <f t="shared" si="184"/>
        <v>1</v>
      </c>
      <c r="AG427" s="40">
        <f t="shared" si="185"/>
        <v>0</v>
      </c>
      <c r="AH427" s="40">
        <f t="shared" si="186"/>
        <v>0</v>
      </c>
      <c r="AI427" s="40">
        <f t="shared" si="187"/>
        <v>1</v>
      </c>
      <c r="AJ427" s="40">
        <f t="shared" si="188"/>
        <v>0</v>
      </c>
      <c r="AK427" s="40">
        <f t="shared" si="189"/>
        <v>0</v>
      </c>
      <c r="AL427" s="40">
        <f t="shared" si="190"/>
        <v>0</v>
      </c>
      <c r="AM427" s="40">
        <f t="shared" si="191"/>
        <v>0</v>
      </c>
      <c r="AN427" s="40">
        <f t="shared" si="192"/>
        <v>0</v>
      </c>
      <c r="AO427" s="40">
        <f t="shared" si="193"/>
        <v>0</v>
      </c>
      <c r="AP427" s="40">
        <f t="shared" si="194"/>
        <v>0</v>
      </c>
      <c r="AQ427" s="40">
        <f t="shared" si="195"/>
        <v>0</v>
      </c>
      <c r="AR427" s="40">
        <f t="shared" si="196"/>
        <v>0</v>
      </c>
      <c r="AS427" s="40">
        <f t="shared" si="197"/>
        <v>0</v>
      </c>
    </row>
    <row r="428" spans="2:45" s="2" customFormat="1" ht="14.4" customHeight="1" x14ac:dyDescent="0.25">
      <c r="B428" s="56" t="s">
        <v>43</v>
      </c>
      <c r="C428" s="57" t="s">
        <v>26</v>
      </c>
      <c r="D428" s="58" t="s">
        <v>28</v>
      </c>
      <c r="E428" s="62">
        <v>2.7560000000000005E-2</v>
      </c>
      <c r="F428" s="65">
        <f t="shared" si="198"/>
        <v>-3.5913898328366791</v>
      </c>
      <c r="S428" s="40">
        <f t="shared" si="171"/>
        <v>0</v>
      </c>
      <c r="T428" s="40">
        <f t="shared" si="172"/>
        <v>0</v>
      </c>
      <c r="U428" s="40">
        <f t="shared" si="173"/>
        <v>0</v>
      </c>
      <c r="V428" s="40">
        <f t="shared" si="174"/>
        <v>0</v>
      </c>
      <c r="W428" s="40">
        <f t="shared" si="175"/>
        <v>0</v>
      </c>
      <c r="X428" s="40">
        <f t="shared" si="176"/>
        <v>1</v>
      </c>
      <c r="Y428" s="40">
        <f t="shared" si="177"/>
        <v>0</v>
      </c>
      <c r="Z428" s="40">
        <f t="shared" si="178"/>
        <v>0</v>
      </c>
      <c r="AA428" s="40">
        <f t="shared" si="179"/>
        <v>0</v>
      </c>
      <c r="AB428" s="40">
        <f t="shared" si="180"/>
        <v>0</v>
      </c>
      <c r="AC428" s="40">
        <f t="shared" si="181"/>
        <v>0</v>
      </c>
      <c r="AD428" s="40">
        <f t="shared" si="182"/>
        <v>0</v>
      </c>
      <c r="AE428" s="40">
        <f t="shared" si="183"/>
        <v>0</v>
      </c>
      <c r="AF428" s="40">
        <f t="shared" si="184"/>
        <v>1</v>
      </c>
      <c r="AG428" s="40">
        <f t="shared" si="185"/>
        <v>0</v>
      </c>
      <c r="AH428" s="40">
        <f t="shared" si="186"/>
        <v>0</v>
      </c>
      <c r="AI428" s="40">
        <f t="shared" si="187"/>
        <v>0</v>
      </c>
      <c r="AJ428" s="40">
        <f t="shared" si="188"/>
        <v>0</v>
      </c>
      <c r="AK428" s="40">
        <f t="shared" si="189"/>
        <v>0</v>
      </c>
      <c r="AL428" s="40">
        <f t="shared" si="190"/>
        <v>0</v>
      </c>
      <c r="AM428" s="40">
        <f t="shared" si="191"/>
        <v>0</v>
      </c>
      <c r="AN428" s="40">
        <f t="shared" si="192"/>
        <v>0</v>
      </c>
      <c r="AO428" s="40">
        <f t="shared" si="193"/>
        <v>1</v>
      </c>
      <c r="AP428" s="40">
        <f t="shared" si="194"/>
        <v>0</v>
      </c>
      <c r="AQ428" s="40">
        <f t="shared" si="195"/>
        <v>0</v>
      </c>
      <c r="AR428" s="40">
        <f t="shared" si="196"/>
        <v>0</v>
      </c>
      <c r="AS428" s="40">
        <f t="shared" si="197"/>
        <v>0</v>
      </c>
    </row>
    <row r="429" spans="2:45" s="2" customFormat="1" ht="14.4" customHeight="1" x14ac:dyDescent="0.25">
      <c r="B429" s="56" t="s">
        <v>43</v>
      </c>
      <c r="C429" s="57" t="s">
        <v>26</v>
      </c>
      <c r="D429" s="58" t="s">
        <v>31</v>
      </c>
      <c r="E429" s="62">
        <v>5.525999999999999E-2</v>
      </c>
      <c r="F429" s="65">
        <f t="shared" si="198"/>
        <v>-2.8957059594868668</v>
      </c>
      <c r="S429" s="40">
        <f t="shared" si="171"/>
        <v>0</v>
      </c>
      <c r="T429" s="40">
        <f t="shared" si="172"/>
        <v>0</v>
      </c>
      <c r="U429" s="40">
        <f t="shared" si="173"/>
        <v>0</v>
      </c>
      <c r="V429" s="40">
        <f t="shared" si="174"/>
        <v>0</v>
      </c>
      <c r="W429" s="40">
        <f t="shared" si="175"/>
        <v>0</v>
      </c>
      <c r="X429" s="40">
        <f t="shared" si="176"/>
        <v>1</v>
      </c>
      <c r="Y429" s="40">
        <f t="shared" si="177"/>
        <v>0</v>
      </c>
      <c r="Z429" s="40">
        <f t="shared" si="178"/>
        <v>0</v>
      </c>
      <c r="AA429" s="40">
        <f t="shared" si="179"/>
        <v>0</v>
      </c>
      <c r="AB429" s="40">
        <f t="shared" si="180"/>
        <v>0</v>
      </c>
      <c r="AC429" s="40">
        <f t="shared" si="181"/>
        <v>0</v>
      </c>
      <c r="AD429" s="40">
        <f t="shared" si="182"/>
        <v>0</v>
      </c>
      <c r="AE429" s="40">
        <f t="shared" si="183"/>
        <v>0</v>
      </c>
      <c r="AF429" s="40">
        <f t="shared" si="184"/>
        <v>1</v>
      </c>
      <c r="AG429" s="40">
        <f t="shared" si="185"/>
        <v>0</v>
      </c>
      <c r="AH429" s="40">
        <f t="shared" si="186"/>
        <v>0</v>
      </c>
      <c r="AI429" s="40">
        <f t="shared" si="187"/>
        <v>0</v>
      </c>
      <c r="AJ429" s="40">
        <f t="shared" si="188"/>
        <v>1</v>
      </c>
      <c r="AK429" s="40">
        <f t="shared" si="189"/>
        <v>0</v>
      </c>
      <c r="AL429" s="40">
        <f t="shared" si="190"/>
        <v>0</v>
      </c>
      <c r="AM429" s="40">
        <f t="shared" si="191"/>
        <v>0</v>
      </c>
      <c r="AN429" s="40">
        <f t="shared" si="192"/>
        <v>0</v>
      </c>
      <c r="AO429" s="40">
        <f t="shared" si="193"/>
        <v>0</v>
      </c>
      <c r="AP429" s="40">
        <f t="shared" si="194"/>
        <v>0</v>
      </c>
      <c r="AQ429" s="40">
        <f t="shared" si="195"/>
        <v>0</v>
      </c>
      <c r="AR429" s="40">
        <f t="shared" si="196"/>
        <v>0</v>
      </c>
      <c r="AS429" s="40">
        <f t="shared" si="197"/>
        <v>0</v>
      </c>
    </row>
    <row r="430" spans="2:45" s="2" customFormat="1" ht="14.4" customHeight="1" x14ac:dyDescent="0.25">
      <c r="B430" s="56" t="s">
        <v>43</v>
      </c>
      <c r="C430" s="57" t="s">
        <v>26</v>
      </c>
      <c r="D430" s="58" t="s">
        <v>37</v>
      </c>
      <c r="E430" s="62">
        <v>3.0800000000000001E-2</v>
      </c>
      <c r="F430" s="65">
        <f t="shared" si="198"/>
        <v>-3.4802405890026082</v>
      </c>
      <c r="S430" s="40">
        <f t="shared" si="171"/>
        <v>0</v>
      </c>
      <c r="T430" s="40">
        <f t="shared" si="172"/>
        <v>0</v>
      </c>
      <c r="U430" s="40">
        <f t="shared" si="173"/>
        <v>0</v>
      </c>
      <c r="V430" s="40">
        <f t="shared" si="174"/>
        <v>0</v>
      </c>
      <c r="W430" s="40">
        <f t="shared" si="175"/>
        <v>0</v>
      </c>
      <c r="X430" s="40">
        <f t="shared" si="176"/>
        <v>1</v>
      </c>
      <c r="Y430" s="40">
        <f t="shared" si="177"/>
        <v>0</v>
      </c>
      <c r="Z430" s="40">
        <f t="shared" si="178"/>
        <v>0</v>
      </c>
      <c r="AA430" s="40">
        <f t="shared" si="179"/>
        <v>0</v>
      </c>
      <c r="AB430" s="40">
        <f t="shared" si="180"/>
        <v>0</v>
      </c>
      <c r="AC430" s="40">
        <f t="shared" si="181"/>
        <v>0</v>
      </c>
      <c r="AD430" s="40">
        <f t="shared" si="182"/>
        <v>0</v>
      </c>
      <c r="AE430" s="40">
        <f t="shared" si="183"/>
        <v>0</v>
      </c>
      <c r="AF430" s="40">
        <f t="shared" si="184"/>
        <v>1</v>
      </c>
      <c r="AG430" s="40">
        <f t="shared" si="185"/>
        <v>0</v>
      </c>
      <c r="AH430" s="40">
        <f t="shared" si="186"/>
        <v>0</v>
      </c>
      <c r="AI430" s="40">
        <f t="shared" si="187"/>
        <v>0</v>
      </c>
      <c r="AJ430" s="40">
        <f t="shared" si="188"/>
        <v>1</v>
      </c>
      <c r="AK430" s="40">
        <f t="shared" si="189"/>
        <v>0</v>
      </c>
      <c r="AL430" s="40">
        <f t="shared" si="190"/>
        <v>0</v>
      </c>
      <c r="AM430" s="40">
        <f t="shared" si="191"/>
        <v>0</v>
      </c>
      <c r="AN430" s="40">
        <f t="shared" si="192"/>
        <v>0</v>
      </c>
      <c r="AO430" s="40">
        <f t="shared" si="193"/>
        <v>0</v>
      </c>
      <c r="AP430" s="40">
        <f t="shared" si="194"/>
        <v>0</v>
      </c>
      <c r="AQ430" s="40">
        <f t="shared" si="195"/>
        <v>0</v>
      </c>
      <c r="AR430" s="40">
        <f t="shared" si="196"/>
        <v>0</v>
      </c>
      <c r="AS430" s="40">
        <f t="shared" si="197"/>
        <v>0</v>
      </c>
    </row>
    <row r="431" spans="2:45" s="2" customFormat="1" ht="14.4" customHeight="1" x14ac:dyDescent="0.25">
      <c r="B431" s="56" t="s">
        <v>43</v>
      </c>
      <c r="C431" s="57" t="s">
        <v>26</v>
      </c>
      <c r="D431" s="58" t="s">
        <v>37</v>
      </c>
      <c r="E431" s="62">
        <v>4.9329999999999999E-2</v>
      </c>
      <c r="F431" s="65">
        <f t="shared" si="198"/>
        <v>-3.0092228637364902</v>
      </c>
      <c r="S431" s="40">
        <f t="shared" si="171"/>
        <v>0</v>
      </c>
      <c r="T431" s="40">
        <f t="shared" si="172"/>
        <v>0</v>
      </c>
      <c r="U431" s="40">
        <f t="shared" si="173"/>
        <v>0</v>
      </c>
      <c r="V431" s="40">
        <f t="shared" si="174"/>
        <v>0</v>
      </c>
      <c r="W431" s="40">
        <f t="shared" si="175"/>
        <v>0</v>
      </c>
      <c r="X431" s="40">
        <f t="shared" si="176"/>
        <v>1</v>
      </c>
      <c r="Y431" s="40">
        <f t="shared" si="177"/>
        <v>0</v>
      </c>
      <c r="Z431" s="40">
        <f t="shared" si="178"/>
        <v>0</v>
      </c>
      <c r="AA431" s="40">
        <f t="shared" si="179"/>
        <v>0</v>
      </c>
      <c r="AB431" s="40">
        <f t="shared" si="180"/>
        <v>0</v>
      </c>
      <c r="AC431" s="40">
        <f t="shared" si="181"/>
        <v>0</v>
      </c>
      <c r="AD431" s="40">
        <f t="shared" si="182"/>
        <v>0</v>
      </c>
      <c r="AE431" s="40">
        <f t="shared" si="183"/>
        <v>0</v>
      </c>
      <c r="AF431" s="40">
        <f t="shared" si="184"/>
        <v>1</v>
      </c>
      <c r="AG431" s="40">
        <f t="shared" si="185"/>
        <v>0</v>
      </c>
      <c r="AH431" s="40">
        <f t="shared" si="186"/>
        <v>0</v>
      </c>
      <c r="AI431" s="40">
        <f t="shared" si="187"/>
        <v>0</v>
      </c>
      <c r="AJ431" s="40">
        <f t="shared" si="188"/>
        <v>0</v>
      </c>
      <c r="AK431" s="40">
        <f t="shared" si="189"/>
        <v>0</v>
      </c>
      <c r="AL431" s="40">
        <f t="shared" si="190"/>
        <v>0</v>
      </c>
      <c r="AM431" s="40">
        <f t="shared" si="191"/>
        <v>0</v>
      </c>
      <c r="AN431" s="40">
        <f t="shared" si="192"/>
        <v>0</v>
      </c>
      <c r="AO431" s="40">
        <f t="shared" si="193"/>
        <v>1</v>
      </c>
      <c r="AP431" s="40">
        <f t="shared" si="194"/>
        <v>0</v>
      </c>
      <c r="AQ431" s="40">
        <f t="shared" si="195"/>
        <v>0</v>
      </c>
      <c r="AR431" s="40">
        <f t="shared" si="196"/>
        <v>0</v>
      </c>
      <c r="AS431" s="40">
        <f t="shared" si="197"/>
        <v>0</v>
      </c>
    </row>
    <row r="432" spans="2:45" s="2" customFormat="1" ht="14.4" customHeight="1" x14ac:dyDescent="0.25">
      <c r="B432" s="56" t="s">
        <v>43</v>
      </c>
      <c r="C432" s="57" t="s">
        <v>26</v>
      </c>
      <c r="D432" s="58" t="s">
        <v>31</v>
      </c>
      <c r="E432" s="62">
        <v>1.7600000000000008E-2</v>
      </c>
      <c r="F432" s="65">
        <f t="shared" si="198"/>
        <v>-4.0398563769380305</v>
      </c>
      <c r="S432" s="40">
        <f t="shared" si="171"/>
        <v>0</v>
      </c>
      <c r="T432" s="40">
        <f t="shared" si="172"/>
        <v>0</v>
      </c>
      <c r="U432" s="40">
        <f t="shared" si="173"/>
        <v>0</v>
      </c>
      <c r="V432" s="40">
        <f t="shared" si="174"/>
        <v>0</v>
      </c>
      <c r="W432" s="40">
        <f t="shared" si="175"/>
        <v>0</v>
      </c>
      <c r="X432" s="40">
        <f t="shared" si="176"/>
        <v>1</v>
      </c>
      <c r="Y432" s="40">
        <f t="shared" si="177"/>
        <v>0</v>
      </c>
      <c r="Z432" s="40">
        <f t="shared" si="178"/>
        <v>0</v>
      </c>
      <c r="AA432" s="40">
        <f t="shared" si="179"/>
        <v>0</v>
      </c>
      <c r="AB432" s="40">
        <f t="shared" si="180"/>
        <v>0</v>
      </c>
      <c r="AC432" s="40">
        <f t="shared" si="181"/>
        <v>0</v>
      </c>
      <c r="AD432" s="40">
        <f t="shared" si="182"/>
        <v>0</v>
      </c>
      <c r="AE432" s="40">
        <f t="shared" si="183"/>
        <v>0</v>
      </c>
      <c r="AF432" s="40">
        <f t="shared" si="184"/>
        <v>1</v>
      </c>
      <c r="AG432" s="40">
        <f t="shared" si="185"/>
        <v>0</v>
      </c>
      <c r="AH432" s="40">
        <f t="shared" si="186"/>
        <v>0</v>
      </c>
      <c r="AI432" s="40">
        <f t="shared" si="187"/>
        <v>0</v>
      </c>
      <c r="AJ432" s="40">
        <f t="shared" si="188"/>
        <v>0</v>
      </c>
      <c r="AK432" s="40">
        <f t="shared" si="189"/>
        <v>0</v>
      </c>
      <c r="AL432" s="40">
        <f t="shared" si="190"/>
        <v>0</v>
      </c>
      <c r="AM432" s="40">
        <f t="shared" si="191"/>
        <v>0</v>
      </c>
      <c r="AN432" s="40">
        <f t="shared" si="192"/>
        <v>0</v>
      </c>
      <c r="AO432" s="40">
        <f t="shared" si="193"/>
        <v>0</v>
      </c>
      <c r="AP432" s="40">
        <f t="shared" si="194"/>
        <v>0</v>
      </c>
      <c r="AQ432" s="40">
        <f t="shared" si="195"/>
        <v>0</v>
      </c>
      <c r="AR432" s="40">
        <f t="shared" si="196"/>
        <v>1</v>
      </c>
      <c r="AS432" s="40">
        <f t="shared" si="197"/>
        <v>0</v>
      </c>
    </row>
    <row r="433" spans="2:45" s="2" customFormat="1" ht="14.4" customHeight="1" x14ac:dyDescent="0.25">
      <c r="B433" s="56" t="s">
        <v>43</v>
      </c>
      <c r="C433" s="57" t="s">
        <v>26</v>
      </c>
      <c r="D433" s="58" t="s">
        <v>33</v>
      </c>
      <c r="E433" s="62">
        <v>2.2329999999999996E-2</v>
      </c>
      <c r="F433" s="65">
        <f t="shared" si="198"/>
        <v>-3.8018242131300708</v>
      </c>
      <c r="S433" s="40">
        <f t="shared" si="171"/>
        <v>0</v>
      </c>
      <c r="T433" s="40">
        <f t="shared" si="172"/>
        <v>0</v>
      </c>
      <c r="U433" s="40">
        <f t="shared" si="173"/>
        <v>0</v>
      </c>
      <c r="V433" s="40">
        <f t="shared" si="174"/>
        <v>0</v>
      </c>
      <c r="W433" s="40">
        <f t="shared" si="175"/>
        <v>0</v>
      </c>
      <c r="X433" s="40">
        <f t="shared" si="176"/>
        <v>1</v>
      </c>
      <c r="Y433" s="40">
        <f t="shared" si="177"/>
        <v>0</v>
      </c>
      <c r="Z433" s="40">
        <f t="shared" si="178"/>
        <v>0</v>
      </c>
      <c r="AA433" s="40">
        <f t="shared" si="179"/>
        <v>0</v>
      </c>
      <c r="AB433" s="40">
        <f t="shared" si="180"/>
        <v>0</v>
      </c>
      <c r="AC433" s="40">
        <f t="shared" si="181"/>
        <v>0</v>
      </c>
      <c r="AD433" s="40">
        <f t="shared" si="182"/>
        <v>0</v>
      </c>
      <c r="AE433" s="40">
        <f t="shared" si="183"/>
        <v>0</v>
      </c>
      <c r="AF433" s="40">
        <f t="shared" si="184"/>
        <v>1</v>
      </c>
      <c r="AG433" s="40">
        <f t="shared" si="185"/>
        <v>0</v>
      </c>
      <c r="AH433" s="40">
        <f t="shared" si="186"/>
        <v>0</v>
      </c>
      <c r="AI433" s="40">
        <f t="shared" si="187"/>
        <v>0</v>
      </c>
      <c r="AJ433" s="40">
        <f t="shared" si="188"/>
        <v>0</v>
      </c>
      <c r="AK433" s="40">
        <f t="shared" si="189"/>
        <v>0</v>
      </c>
      <c r="AL433" s="40">
        <f t="shared" si="190"/>
        <v>0</v>
      </c>
      <c r="AM433" s="40">
        <f t="shared" si="191"/>
        <v>0</v>
      </c>
      <c r="AN433" s="40">
        <f t="shared" si="192"/>
        <v>0</v>
      </c>
      <c r="AO433" s="40">
        <f t="shared" si="193"/>
        <v>0</v>
      </c>
      <c r="AP433" s="40">
        <f t="shared" si="194"/>
        <v>0</v>
      </c>
      <c r="AQ433" s="40">
        <f t="shared" si="195"/>
        <v>0</v>
      </c>
      <c r="AR433" s="40">
        <f t="shared" si="196"/>
        <v>1</v>
      </c>
      <c r="AS433" s="40">
        <f t="shared" si="197"/>
        <v>0</v>
      </c>
    </row>
    <row r="434" spans="2:45" s="2" customFormat="1" ht="14.4" customHeight="1" x14ac:dyDescent="0.25">
      <c r="B434" s="56" t="s">
        <v>43</v>
      </c>
      <c r="C434" s="57" t="s">
        <v>26</v>
      </c>
      <c r="D434" s="58" t="s">
        <v>33</v>
      </c>
      <c r="E434" s="62">
        <v>2.2390000000000004E-2</v>
      </c>
      <c r="F434" s="65">
        <f t="shared" si="198"/>
        <v>-3.7991408483714735</v>
      </c>
      <c r="S434" s="40">
        <f t="shared" si="171"/>
        <v>0</v>
      </c>
      <c r="T434" s="40">
        <f t="shared" si="172"/>
        <v>0</v>
      </c>
      <c r="U434" s="40">
        <f t="shared" si="173"/>
        <v>0</v>
      </c>
      <c r="V434" s="40">
        <f t="shared" si="174"/>
        <v>0</v>
      </c>
      <c r="W434" s="40">
        <f t="shared" si="175"/>
        <v>0</v>
      </c>
      <c r="X434" s="40">
        <f t="shared" si="176"/>
        <v>1</v>
      </c>
      <c r="Y434" s="40">
        <f t="shared" si="177"/>
        <v>0</v>
      </c>
      <c r="Z434" s="40">
        <f t="shared" si="178"/>
        <v>0</v>
      </c>
      <c r="AA434" s="40">
        <f t="shared" si="179"/>
        <v>0</v>
      </c>
      <c r="AB434" s="40">
        <f t="shared" si="180"/>
        <v>0</v>
      </c>
      <c r="AC434" s="40">
        <f t="shared" si="181"/>
        <v>0</v>
      </c>
      <c r="AD434" s="40">
        <f t="shared" si="182"/>
        <v>0</v>
      </c>
      <c r="AE434" s="40">
        <f t="shared" si="183"/>
        <v>0</v>
      </c>
      <c r="AF434" s="40">
        <f t="shared" si="184"/>
        <v>1</v>
      </c>
      <c r="AG434" s="40">
        <f t="shared" si="185"/>
        <v>0</v>
      </c>
      <c r="AH434" s="40">
        <f t="shared" si="186"/>
        <v>0</v>
      </c>
      <c r="AI434" s="40">
        <f t="shared" si="187"/>
        <v>0</v>
      </c>
      <c r="AJ434" s="40">
        <f t="shared" si="188"/>
        <v>1</v>
      </c>
      <c r="AK434" s="40">
        <f t="shared" si="189"/>
        <v>0</v>
      </c>
      <c r="AL434" s="40">
        <f t="shared" si="190"/>
        <v>0</v>
      </c>
      <c r="AM434" s="40">
        <f t="shared" si="191"/>
        <v>0</v>
      </c>
      <c r="AN434" s="40">
        <f t="shared" si="192"/>
        <v>0</v>
      </c>
      <c r="AO434" s="40">
        <f t="shared" si="193"/>
        <v>0</v>
      </c>
      <c r="AP434" s="40">
        <f t="shared" si="194"/>
        <v>0</v>
      </c>
      <c r="AQ434" s="40">
        <f t="shared" si="195"/>
        <v>0</v>
      </c>
      <c r="AR434" s="40">
        <f t="shared" si="196"/>
        <v>0</v>
      </c>
      <c r="AS434" s="40">
        <f t="shared" si="197"/>
        <v>0</v>
      </c>
    </row>
    <row r="435" spans="2:45" s="2" customFormat="1" ht="14.4" customHeight="1" x14ac:dyDescent="0.25">
      <c r="B435" s="56" t="s">
        <v>43</v>
      </c>
      <c r="C435" s="57" t="s">
        <v>26</v>
      </c>
      <c r="D435" s="58" t="s">
        <v>37</v>
      </c>
      <c r="E435" s="62">
        <v>5.3519999999999998E-2</v>
      </c>
      <c r="F435" s="65">
        <f t="shared" si="198"/>
        <v>-2.927699863162164</v>
      </c>
      <c r="S435" s="40">
        <f t="shared" si="171"/>
        <v>0</v>
      </c>
      <c r="T435" s="40">
        <f t="shared" si="172"/>
        <v>0</v>
      </c>
      <c r="U435" s="40">
        <f t="shared" si="173"/>
        <v>0</v>
      </c>
      <c r="V435" s="40">
        <f t="shared" si="174"/>
        <v>0</v>
      </c>
      <c r="W435" s="40">
        <f t="shared" si="175"/>
        <v>0</v>
      </c>
      <c r="X435" s="40">
        <f t="shared" si="176"/>
        <v>1</v>
      </c>
      <c r="Y435" s="40">
        <f t="shared" si="177"/>
        <v>0</v>
      </c>
      <c r="Z435" s="40">
        <f t="shared" si="178"/>
        <v>0</v>
      </c>
      <c r="AA435" s="40">
        <f t="shared" si="179"/>
        <v>0</v>
      </c>
      <c r="AB435" s="40">
        <f t="shared" si="180"/>
        <v>0</v>
      </c>
      <c r="AC435" s="40">
        <f t="shared" si="181"/>
        <v>0</v>
      </c>
      <c r="AD435" s="40">
        <f t="shared" si="182"/>
        <v>0</v>
      </c>
      <c r="AE435" s="40">
        <f t="shared" si="183"/>
        <v>0</v>
      </c>
      <c r="AF435" s="40">
        <f t="shared" si="184"/>
        <v>1</v>
      </c>
      <c r="AG435" s="40">
        <f t="shared" si="185"/>
        <v>0</v>
      </c>
      <c r="AH435" s="40">
        <f t="shared" si="186"/>
        <v>0</v>
      </c>
      <c r="AI435" s="40">
        <f t="shared" si="187"/>
        <v>0</v>
      </c>
      <c r="AJ435" s="40">
        <f t="shared" si="188"/>
        <v>1</v>
      </c>
      <c r="AK435" s="40">
        <f t="shared" si="189"/>
        <v>0</v>
      </c>
      <c r="AL435" s="40">
        <f t="shared" si="190"/>
        <v>0</v>
      </c>
      <c r="AM435" s="40">
        <f t="shared" si="191"/>
        <v>0</v>
      </c>
      <c r="AN435" s="40">
        <f t="shared" si="192"/>
        <v>0</v>
      </c>
      <c r="AO435" s="40">
        <f t="shared" si="193"/>
        <v>0</v>
      </c>
      <c r="AP435" s="40">
        <f t="shared" si="194"/>
        <v>0</v>
      </c>
      <c r="AQ435" s="40">
        <f t="shared" si="195"/>
        <v>0</v>
      </c>
      <c r="AR435" s="40">
        <f t="shared" si="196"/>
        <v>0</v>
      </c>
      <c r="AS435" s="40">
        <f t="shared" si="197"/>
        <v>0</v>
      </c>
    </row>
    <row r="436" spans="2:45" s="2" customFormat="1" ht="14.4" customHeight="1" x14ac:dyDescent="0.25">
      <c r="B436" s="56" t="s">
        <v>43</v>
      </c>
      <c r="C436" s="57" t="s">
        <v>26</v>
      </c>
      <c r="D436" s="58" t="s">
        <v>37</v>
      </c>
      <c r="E436" s="62">
        <v>5.7129999999999993E-2</v>
      </c>
      <c r="F436" s="65">
        <f t="shared" si="198"/>
        <v>-2.862425906245766</v>
      </c>
      <c r="S436" s="40">
        <f t="shared" si="171"/>
        <v>0</v>
      </c>
      <c r="T436" s="40">
        <f t="shared" si="172"/>
        <v>0</v>
      </c>
      <c r="U436" s="40">
        <f t="shared" si="173"/>
        <v>0</v>
      </c>
      <c r="V436" s="40">
        <f t="shared" si="174"/>
        <v>0</v>
      </c>
      <c r="W436" s="40">
        <f t="shared" si="175"/>
        <v>0</v>
      </c>
      <c r="X436" s="40">
        <f t="shared" si="176"/>
        <v>1</v>
      </c>
      <c r="Y436" s="40">
        <f t="shared" si="177"/>
        <v>0</v>
      </c>
      <c r="Z436" s="40">
        <f t="shared" si="178"/>
        <v>0</v>
      </c>
      <c r="AA436" s="40">
        <f t="shared" si="179"/>
        <v>0</v>
      </c>
      <c r="AB436" s="40">
        <f t="shared" si="180"/>
        <v>0</v>
      </c>
      <c r="AC436" s="40">
        <f t="shared" si="181"/>
        <v>0</v>
      </c>
      <c r="AD436" s="40">
        <f t="shared" si="182"/>
        <v>0</v>
      </c>
      <c r="AE436" s="40">
        <f t="shared" si="183"/>
        <v>0</v>
      </c>
      <c r="AF436" s="40">
        <f t="shared" si="184"/>
        <v>1</v>
      </c>
      <c r="AG436" s="40">
        <f t="shared" si="185"/>
        <v>0</v>
      </c>
      <c r="AH436" s="40">
        <f t="shared" si="186"/>
        <v>0</v>
      </c>
      <c r="AI436" s="40">
        <f t="shared" si="187"/>
        <v>0</v>
      </c>
      <c r="AJ436" s="40">
        <f t="shared" si="188"/>
        <v>0</v>
      </c>
      <c r="AK436" s="40">
        <f t="shared" si="189"/>
        <v>0</v>
      </c>
      <c r="AL436" s="40">
        <f t="shared" si="190"/>
        <v>0</v>
      </c>
      <c r="AM436" s="40">
        <f t="shared" si="191"/>
        <v>0</v>
      </c>
      <c r="AN436" s="40">
        <f t="shared" si="192"/>
        <v>1</v>
      </c>
      <c r="AO436" s="40">
        <f t="shared" si="193"/>
        <v>0</v>
      </c>
      <c r="AP436" s="40">
        <f t="shared" si="194"/>
        <v>0</v>
      </c>
      <c r="AQ436" s="40">
        <f t="shared" si="195"/>
        <v>0</v>
      </c>
      <c r="AR436" s="40">
        <f t="shared" si="196"/>
        <v>0</v>
      </c>
      <c r="AS436" s="40">
        <f t="shared" si="197"/>
        <v>0</v>
      </c>
    </row>
    <row r="437" spans="2:45" s="2" customFormat="1" ht="14.4" customHeight="1" x14ac:dyDescent="0.25">
      <c r="B437" s="56" t="s">
        <v>43</v>
      </c>
      <c r="C437" s="57" t="s">
        <v>26</v>
      </c>
      <c r="D437" s="58" t="s">
        <v>29</v>
      </c>
      <c r="E437" s="62">
        <v>4.7670000000000004E-2</v>
      </c>
      <c r="F437" s="65">
        <f t="shared" si="198"/>
        <v>-3.0434530097654027</v>
      </c>
      <c r="S437" s="40">
        <f t="shared" si="171"/>
        <v>0</v>
      </c>
      <c r="T437" s="40">
        <f t="shared" si="172"/>
        <v>0</v>
      </c>
      <c r="U437" s="40">
        <f t="shared" si="173"/>
        <v>0</v>
      </c>
      <c r="V437" s="40">
        <f t="shared" si="174"/>
        <v>0</v>
      </c>
      <c r="W437" s="40">
        <f t="shared" si="175"/>
        <v>0</v>
      </c>
      <c r="X437" s="40">
        <f t="shared" si="176"/>
        <v>1</v>
      </c>
      <c r="Y437" s="40">
        <f t="shared" si="177"/>
        <v>0</v>
      </c>
      <c r="Z437" s="40">
        <f t="shared" si="178"/>
        <v>0</v>
      </c>
      <c r="AA437" s="40">
        <f t="shared" si="179"/>
        <v>0</v>
      </c>
      <c r="AB437" s="40">
        <f t="shared" si="180"/>
        <v>0</v>
      </c>
      <c r="AC437" s="40">
        <f t="shared" si="181"/>
        <v>0</v>
      </c>
      <c r="AD437" s="40">
        <f t="shared" si="182"/>
        <v>0</v>
      </c>
      <c r="AE437" s="40">
        <f t="shared" si="183"/>
        <v>0</v>
      </c>
      <c r="AF437" s="40">
        <f t="shared" si="184"/>
        <v>1</v>
      </c>
      <c r="AG437" s="40">
        <f t="shared" si="185"/>
        <v>0</v>
      </c>
      <c r="AH437" s="40">
        <f t="shared" si="186"/>
        <v>0</v>
      </c>
      <c r="AI437" s="40">
        <f t="shared" si="187"/>
        <v>0</v>
      </c>
      <c r="AJ437" s="40">
        <f t="shared" si="188"/>
        <v>0</v>
      </c>
      <c r="AK437" s="40">
        <f t="shared" si="189"/>
        <v>0</v>
      </c>
      <c r="AL437" s="40">
        <f t="shared" si="190"/>
        <v>0</v>
      </c>
      <c r="AM437" s="40">
        <f t="shared" si="191"/>
        <v>0</v>
      </c>
      <c r="AN437" s="40">
        <f t="shared" si="192"/>
        <v>0</v>
      </c>
      <c r="AO437" s="40">
        <f t="shared" si="193"/>
        <v>1</v>
      </c>
      <c r="AP437" s="40">
        <f t="shared" si="194"/>
        <v>0</v>
      </c>
      <c r="AQ437" s="40">
        <f t="shared" si="195"/>
        <v>0</v>
      </c>
      <c r="AR437" s="40">
        <f t="shared" si="196"/>
        <v>0</v>
      </c>
      <c r="AS437" s="40">
        <f t="shared" si="197"/>
        <v>0</v>
      </c>
    </row>
    <row r="438" spans="2:45" s="2" customFormat="1" ht="14.4" customHeight="1" x14ac:dyDescent="0.25">
      <c r="B438" s="56" t="s">
        <v>43</v>
      </c>
      <c r="C438" s="57" t="s">
        <v>26</v>
      </c>
      <c r="D438" s="58" t="s">
        <v>31</v>
      </c>
      <c r="E438" s="62">
        <v>1.7630000000000007E-2</v>
      </c>
      <c r="F438" s="65">
        <f t="shared" si="198"/>
        <v>-4.0381532825723578</v>
      </c>
      <c r="S438" s="40">
        <f t="shared" si="171"/>
        <v>0</v>
      </c>
      <c r="T438" s="40">
        <f t="shared" si="172"/>
        <v>0</v>
      </c>
      <c r="U438" s="40">
        <f t="shared" si="173"/>
        <v>0</v>
      </c>
      <c r="V438" s="40">
        <f t="shared" si="174"/>
        <v>0</v>
      </c>
      <c r="W438" s="40">
        <f t="shared" si="175"/>
        <v>0</v>
      </c>
      <c r="X438" s="40">
        <f t="shared" si="176"/>
        <v>1</v>
      </c>
      <c r="Y438" s="40">
        <f t="shared" si="177"/>
        <v>0</v>
      </c>
      <c r="Z438" s="40">
        <f t="shared" si="178"/>
        <v>0</v>
      </c>
      <c r="AA438" s="40">
        <f t="shared" si="179"/>
        <v>0</v>
      </c>
      <c r="AB438" s="40">
        <f t="shared" si="180"/>
        <v>0</v>
      </c>
      <c r="AC438" s="40">
        <f t="shared" si="181"/>
        <v>0</v>
      </c>
      <c r="AD438" s="40">
        <f t="shared" si="182"/>
        <v>0</v>
      </c>
      <c r="AE438" s="40">
        <f t="shared" si="183"/>
        <v>0</v>
      </c>
      <c r="AF438" s="40">
        <f t="shared" si="184"/>
        <v>1</v>
      </c>
      <c r="AG438" s="40">
        <f t="shared" si="185"/>
        <v>0</v>
      </c>
      <c r="AH438" s="40">
        <f t="shared" si="186"/>
        <v>0</v>
      </c>
      <c r="AI438" s="40">
        <f t="shared" si="187"/>
        <v>0</v>
      </c>
      <c r="AJ438" s="40">
        <f t="shared" si="188"/>
        <v>0</v>
      </c>
      <c r="AK438" s="40">
        <f t="shared" si="189"/>
        <v>0</v>
      </c>
      <c r="AL438" s="40">
        <f t="shared" si="190"/>
        <v>0</v>
      </c>
      <c r="AM438" s="40">
        <f t="shared" si="191"/>
        <v>0</v>
      </c>
      <c r="AN438" s="40">
        <f t="shared" si="192"/>
        <v>0</v>
      </c>
      <c r="AO438" s="40">
        <f t="shared" si="193"/>
        <v>0</v>
      </c>
      <c r="AP438" s="40">
        <f t="shared" si="194"/>
        <v>0</v>
      </c>
      <c r="AQ438" s="40">
        <f t="shared" si="195"/>
        <v>1</v>
      </c>
      <c r="AR438" s="40">
        <f t="shared" si="196"/>
        <v>0</v>
      </c>
      <c r="AS438" s="40">
        <f t="shared" si="197"/>
        <v>0</v>
      </c>
    </row>
    <row r="439" spans="2:45" s="2" customFormat="1" ht="14.4" customHeight="1" x14ac:dyDescent="0.25">
      <c r="B439" s="56" t="s">
        <v>43</v>
      </c>
      <c r="C439" s="57" t="s">
        <v>26</v>
      </c>
      <c r="D439" s="58" t="s">
        <v>30</v>
      </c>
      <c r="E439" s="62">
        <v>3.1029999999999999E-2</v>
      </c>
      <c r="F439" s="65">
        <f t="shared" si="198"/>
        <v>-3.4728008005218483</v>
      </c>
      <c r="S439" s="40">
        <f t="shared" si="171"/>
        <v>0</v>
      </c>
      <c r="T439" s="40">
        <f t="shared" si="172"/>
        <v>0</v>
      </c>
      <c r="U439" s="40">
        <f t="shared" si="173"/>
        <v>0</v>
      </c>
      <c r="V439" s="40">
        <f t="shared" si="174"/>
        <v>0</v>
      </c>
      <c r="W439" s="40">
        <f t="shared" si="175"/>
        <v>0</v>
      </c>
      <c r="X439" s="40">
        <f t="shared" si="176"/>
        <v>1</v>
      </c>
      <c r="Y439" s="40">
        <f t="shared" si="177"/>
        <v>0</v>
      </c>
      <c r="Z439" s="40">
        <f t="shared" si="178"/>
        <v>0</v>
      </c>
      <c r="AA439" s="40">
        <f t="shared" si="179"/>
        <v>0</v>
      </c>
      <c r="AB439" s="40">
        <f t="shared" si="180"/>
        <v>0</v>
      </c>
      <c r="AC439" s="40">
        <f t="shared" si="181"/>
        <v>0</v>
      </c>
      <c r="AD439" s="40">
        <f t="shared" si="182"/>
        <v>0</v>
      </c>
      <c r="AE439" s="40">
        <f t="shared" si="183"/>
        <v>0</v>
      </c>
      <c r="AF439" s="40">
        <f t="shared" si="184"/>
        <v>1</v>
      </c>
      <c r="AG439" s="40">
        <f t="shared" si="185"/>
        <v>0</v>
      </c>
      <c r="AH439" s="40">
        <f t="shared" si="186"/>
        <v>1</v>
      </c>
      <c r="AI439" s="40">
        <f t="shared" si="187"/>
        <v>0</v>
      </c>
      <c r="AJ439" s="40">
        <f t="shared" si="188"/>
        <v>0</v>
      </c>
      <c r="AK439" s="40">
        <f t="shared" si="189"/>
        <v>0</v>
      </c>
      <c r="AL439" s="40">
        <f t="shared" si="190"/>
        <v>0</v>
      </c>
      <c r="AM439" s="40">
        <f t="shared" si="191"/>
        <v>0</v>
      </c>
      <c r="AN439" s="40">
        <f t="shared" si="192"/>
        <v>0</v>
      </c>
      <c r="AO439" s="40">
        <f t="shared" si="193"/>
        <v>0</v>
      </c>
      <c r="AP439" s="40">
        <f t="shared" si="194"/>
        <v>0</v>
      </c>
      <c r="AQ439" s="40">
        <f t="shared" si="195"/>
        <v>0</v>
      </c>
      <c r="AR439" s="40">
        <f t="shared" si="196"/>
        <v>0</v>
      </c>
      <c r="AS439" s="40">
        <f t="shared" si="197"/>
        <v>0</v>
      </c>
    </row>
    <row r="440" spans="2:45" s="2" customFormat="1" ht="14.4" customHeight="1" x14ac:dyDescent="0.25">
      <c r="B440" s="56" t="s">
        <v>43</v>
      </c>
      <c r="C440" s="57" t="s">
        <v>26</v>
      </c>
      <c r="D440" s="58" t="s">
        <v>27</v>
      </c>
      <c r="E440" s="62">
        <v>6.183000000000001E-2</v>
      </c>
      <c r="F440" s="65">
        <f t="shared" si="198"/>
        <v>-2.7833665954116595</v>
      </c>
      <c r="S440" s="40">
        <f t="shared" si="171"/>
        <v>0</v>
      </c>
      <c r="T440" s="40">
        <f t="shared" si="172"/>
        <v>0</v>
      </c>
      <c r="U440" s="40">
        <f t="shared" si="173"/>
        <v>0</v>
      </c>
      <c r="V440" s="40">
        <f t="shared" si="174"/>
        <v>0</v>
      </c>
      <c r="W440" s="40">
        <f t="shared" si="175"/>
        <v>0</v>
      </c>
      <c r="X440" s="40">
        <f t="shared" si="176"/>
        <v>1</v>
      </c>
      <c r="Y440" s="40">
        <f t="shared" si="177"/>
        <v>0</v>
      </c>
      <c r="Z440" s="40">
        <f t="shared" si="178"/>
        <v>0</v>
      </c>
      <c r="AA440" s="40">
        <f t="shared" si="179"/>
        <v>0</v>
      </c>
      <c r="AB440" s="40">
        <f t="shared" si="180"/>
        <v>0</v>
      </c>
      <c r="AC440" s="40">
        <f t="shared" si="181"/>
        <v>0</v>
      </c>
      <c r="AD440" s="40">
        <f t="shared" si="182"/>
        <v>0</v>
      </c>
      <c r="AE440" s="40">
        <f t="shared" si="183"/>
        <v>0</v>
      </c>
      <c r="AF440" s="40">
        <f t="shared" si="184"/>
        <v>1</v>
      </c>
      <c r="AG440" s="40">
        <f t="shared" si="185"/>
        <v>0</v>
      </c>
      <c r="AH440" s="40">
        <f t="shared" si="186"/>
        <v>0</v>
      </c>
      <c r="AI440" s="40">
        <f t="shared" si="187"/>
        <v>0</v>
      </c>
      <c r="AJ440" s="40">
        <f t="shared" si="188"/>
        <v>1</v>
      </c>
      <c r="AK440" s="40">
        <f t="shared" si="189"/>
        <v>0</v>
      </c>
      <c r="AL440" s="40">
        <f t="shared" si="190"/>
        <v>0</v>
      </c>
      <c r="AM440" s="40">
        <f t="shared" si="191"/>
        <v>0</v>
      </c>
      <c r="AN440" s="40">
        <f t="shared" si="192"/>
        <v>0</v>
      </c>
      <c r="AO440" s="40">
        <f t="shared" si="193"/>
        <v>0</v>
      </c>
      <c r="AP440" s="40">
        <f t="shared" si="194"/>
        <v>0</v>
      </c>
      <c r="AQ440" s="40">
        <f t="shared" si="195"/>
        <v>0</v>
      </c>
      <c r="AR440" s="40">
        <f t="shared" si="196"/>
        <v>0</v>
      </c>
      <c r="AS440" s="40">
        <f t="shared" si="197"/>
        <v>0</v>
      </c>
    </row>
    <row r="441" spans="2:45" s="2" customFormat="1" ht="14.4" customHeight="1" x14ac:dyDescent="0.25">
      <c r="B441" s="56" t="s">
        <v>43</v>
      </c>
      <c r="C441" s="57" t="s">
        <v>26</v>
      </c>
      <c r="D441" s="58" t="s">
        <v>37</v>
      </c>
      <c r="E441" s="62">
        <v>3.2059999999999998E-2</v>
      </c>
      <c r="F441" s="65">
        <f t="shared" si="198"/>
        <v>-3.4401461318007303</v>
      </c>
      <c r="S441" s="40">
        <f t="shared" si="171"/>
        <v>0</v>
      </c>
      <c r="T441" s="40">
        <f t="shared" si="172"/>
        <v>0</v>
      </c>
      <c r="U441" s="40">
        <f t="shared" si="173"/>
        <v>0</v>
      </c>
      <c r="V441" s="40">
        <f t="shared" si="174"/>
        <v>0</v>
      </c>
      <c r="W441" s="40">
        <f t="shared" si="175"/>
        <v>0</v>
      </c>
      <c r="X441" s="40">
        <f t="shared" si="176"/>
        <v>1</v>
      </c>
      <c r="Y441" s="40">
        <f t="shared" si="177"/>
        <v>0</v>
      </c>
      <c r="Z441" s="40">
        <f t="shared" si="178"/>
        <v>0</v>
      </c>
      <c r="AA441" s="40">
        <f t="shared" si="179"/>
        <v>0</v>
      </c>
      <c r="AB441" s="40">
        <f t="shared" si="180"/>
        <v>0</v>
      </c>
      <c r="AC441" s="40">
        <f t="shared" si="181"/>
        <v>0</v>
      </c>
      <c r="AD441" s="40">
        <f t="shared" si="182"/>
        <v>1</v>
      </c>
      <c r="AE441" s="40">
        <f t="shared" si="183"/>
        <v>0</v>
      </c>
      <c r="AF441" s="40">
        <f t="shared" si="184"/>
        <v>0</v>
      </c>
      <c r="AG441" s="40">
        <f t="shared" si="185"/>
        <v>0</v>
      </c>
      <c r="AH441" s="40">
        <f t="shared" si="186"/>
        <v>0</v>
      </c>
      <c r="AI441" s="40">
        <f t="shared" si="187"/>
        <v>0</v>
      </c>
      <c r="AJ441" s="40">
        <f t="shared" si="188"/>
        <v>0</v>
      </c>
      <c r="AK441" s="40">
        <f t="shared" si="189"/>
        <v>0</v>
      </c>
      <c r="AL441" s="40">
        <f t="shared" si="190"/>
        <v>0</v>
      </c>
      <c r="AM441" s="40">
        <f t="shared" si="191"/>
        <v>1</v>
      </c>
      <c r="AN441" s="40">
        <f t="shared" si="192"/>
        <v>0</v>
      </c>
      <c r="AO441" s="40">
        <f t="shared" si="193"/>
        <v>0</v>
      </c>
      <c r="AP441" s="40">
        <f t="shared" si="194"/>
        <v>0</v>
      </c>
      <c r="AQ441" s="40">
        <f t="shared" si="195"/>
        <v>0</v>
      </c>
      <c r="AR441" s="40">
        <f t="shared" si="196"/>
        <v>0</v>
      </c>
      <c r="AS441" s="40">
        <f t="shared" si="197"/>
        <v>0</v>
      </c>
    </row>
    <row r="442" spans="2:45" s="2" customFormat="1" ht="14.4" customHeight="1" x14ac:dyDescent="0.25">
      <c r="B442" s="56" t="s">
        <v>43</v>
      </c>
      <c r="C442" s="57" t="s">
        <v>21</v>
      </c>
      <c r="D442" s="58" t="s">
        <v>35</v>
      </c>
      <c r="E442" s="62">
        <v>3.0800000000000001E-2</v>
      </c>
      <c r="F442" s="65">
        <f t="shared" si="198"/>
        <v>-3.4802405890026082</v>
      </c>
      <c r="S442" s="40">
        <f t="shared" si="171"/>
        <v>0</v>
      </c>
      <c r="T442" s="40">
        <f t="shared" si="172"/>
        <v>0</v>
      </c>
      <c r="U442" s="40">
        <f t="shared" si="173"/>
        <v>0</v>
      </c>
      <c r="V442" s="40">
        <f t="shared" si="174"/>
        <v>0</v>
      </c>
      <c r="W442" s="40">
        <f t="shared" si="175"/>
        <v>0</v>
      </c>
      <c r="X442" s="40">
        <f t="shared" si="176"/>
        <v>1</v>
      </c>
      <c r="Y442" s="40">
        <f t="shared" si="177"/>
        <v>0</v>
      </c>
      <c r="Z442" s="40">
        <f t="shared" si="178"/>
        <v>0</v>
      </c>
      <c r="AA442" s="40">
        <f t="shared" si="179"/>
        <v>0</v>
      </c>
      <c r="AB442" s="40">
        <f t="shared" si="180"/>
        <v>1</v>
      </c>
      <c r="AC442" s="40">
        <f t="shared" si="181"/>
        <v>0</v>
      </c>
      <c r="AD442" s="40">
        <f t="shared" si="182"/>
        <v>0</v>
      </c>
      <c r="AE442" s="40">
        <f t="shared" si="183"/>
        <v>0</v>
      </c>
      <c r="AF442" s="40">
        <f t="shared" si="184"/>
        <v>0</v>
      </c>
      <c r="AG442" s="40">
        <f t="shared" si="185"/>
        <v>0</v>
      </c>
      <c r="AH442" s="40">
        <f t="shared" si="186"/>
        <v>0</v>
      </c>
      <c r="AI442" s="40">
        <f t="shared" si="187"/>
        <v>1</v>
      </c>
      <c r="AJ442" s="40">
        <f t="shared" si="188"/>
        <v>0</v>
      </c>
      <c r="AK442" s="40">
        <f t="shared" si="189"/>
        <v>0</v>
      </c>
      <c r="AL442" s="40">
        <f t="shared" si="190"/>
        <v>0</v>
      </c>
      <c r="AM442" s="40">
        <f t="shared" si="191"/>
        <v>0</v>
      </c>
      <c r="AN442" s="40">
        <f t="shared" si="192"/>
        <v>0</v>
      </c>
      <c r="AO442" s="40">
        <f t="shared" si="193"/>
        <v>0</v>
      </c>
      <c r="AP442" s="40">
        <f t="shared" si="194"/>
        <v>0</v>
      </c>
      <c r="AQ442" s="40">
        <f t="shared" si="195"/>
        <v>0</v>
      </c>
      <c r="AR442" s="40">
        <f t="shared" si="196"/>
        <v>0</v>
      </c>
      <c r="AS442" s="40">
        <f t="shared" si="197"/>
        <v>0</v>
      </c>
    </row>
    <row r="443" spans="2:45" s="2" customFormat="1" ht="14.4" customHeight="1" x14ac:dyDescent="0.25">
      <c r="B443" s="56" t="s">
        <v>43</v>
      </c>
      <c r="C443" s="57" t="s">
        <v>25</v>
      </c>
      <c r="D443" s="58" t="s">
        <v>28</v>
      </c>
      <c r="E443" s="62">
        <v>6.0999999999999997E-4</v>
      </c>
      <c r="F443" s="65">
        <f t="shared" si="198"/>
        <v>-7.4020516007969173</v>
      </c>
      <c r="S443" s="40">
        <f t="shared" si="171"/>
        <v>0</v>
      </c>
      <c r="T443" s="40">
        <f t="shared" si="172"/>
        <v>0</v>
      </c>
      <c r="U443" s="40">
        <f t="shared" si="173"/>
        <v>0</v>
      </c>
      <c r="V443" s="40">
        <f t="shared" si="174"/>
        <v>0</v>
      </c>
      <c r="W443" s="40">
        <f t="shared" si="175"/>
        <v>0</v>
      </c>
      <c r="X443" s="40">
        <f t="shared" si="176"/>
        <v>1</v>
      </c>
      <c r="Y443" s="40">
        <f t="shared" si="177"/>
        <v>0</v>
      </c>
      <c r="Z443" s="40">
        <f t="shared" si="178"/>
        <v>0</v>
      </c>
      <c r="AA443" s="40">
        <f t="shared" si="179"/>
        <v>0</v>
      </c>
      <c r="AB443" s="40">
        <f t="shared" si="180"/>
        <v>1</v>
      </c>
      <c r="AC443" s="40">
        <f t="shared" si="181"/>
        <v>0</v>
      </c>
      <c r="AD443" s="40">
        <f t="shared" si="182"/>
        <v>0</v>
      </c>
      <c r="AE443" s="40">
        <f t="shared" si="183"/>
        <v>0</v>
      </c>
      <c r="AF443" s="40">
        <f t="shared" si="184"/>
        <v>0</v>
      </c>
      <c r="AG443" s="40">
        <f t="shared" si="185"/>
        <v>0</v>
      </c>
      <c r="AH443" s="40">
        <f t="shared" si="186"/>
        <v>0</v>
      </c>
      <c r="AI443" s="40">
        <f t="shared" si="187"/>
        <v>0</v>
      </c>
      <c r="AJ443" s="40">
        <f t="shared" si="188"/>
        <v>0</v>
      </c>
      <c r="AK443" s="40">
        <f t="shared" si="189"/>
        <v>0</v>
      </c>
      <c r="AL443" s="40">
        <f t="shared" si="190"/>
        <v>0</v>
      </c>
      <c r="AM443" s="40">
        <f t="shared" si="191"/>
        <v>0</v>
      </c>
      <c r="AN443" s="40">
        <f t="shared" si="192"/>
        <v>0</v>
      </c>
      <c r="AO443" s="40">
        <f t="shared" si="193"/>
        <v>1</v>
      </c>
      <c r="AP443" s="40">
        <f t="shared" si="194"/>
        <v>0</v>
      </c>
      <c r="AQ443" s="40">
        <f t="shared" si="195"/>
        <v>0</v>
      </c>
      <c r="AR443" s="40">
        <f t="shared" si="196"/>
        <v>0</v>
      </c>
      <c r="AS443" s="40">
        <f t="shared" si="197"/>
        <v>0</v>
      </c>
    </row>
    <row r="444" spans="2:45" s="2" customFormat="1" ht="14.4" customHeight="1" x14ac:dyDescent="0.25">
      <c r="B444" s="56" t="s">
        <v>43</v>
      </c>
      <c r="C444" s="57" t="s">
        <v>25</v>
      </c>
      <c r="D444" s="58" t="s">
        <v>31</v>
      </c>
      <c r="E444" s="62">
        <v>4.274E-2</v>
      </c>
      <c r="F444" s="65">
        <f t="shared" si="198"/>
        <v>-3.1526200290911355</v>
      </c>
      <c r="S444" s="40">
        <f t="shared" si="171"/>
        <v>0</v>
      </c>
      <c r="T444" s="40">
        <f t="shared" si="172"/>
        <v>0</v>
      </c>
      <c r="U444" s="40">
        <f t="shared" si="173"/>
        <v>0</v>
      </c>
      <c r="V444" s="40">
        <f t="shared" si="174"/>
        <v>0</v>
      </c>
      <c r="W444" s="40">
        <f t="shared" si="175"/>
        <v>0</v>
      </c>
      <c r="X444" s="40">
        <f t="shared" si="176"/>
        <v>1</v>
      </c>
      <c r="Y444" s="40">
        <f t="shared" si="177"/>
        <v>0</v>
      </c>
      <c r="Z444" s="40">
        <f t="shared" si="178"/>
        <v>0</v>
      </c>
      <c r="AA444" s="40">
        <f t="shared" si="179"/>
        <v>0</v>
      </c>
      <c r="AB444" s="40">
        <f t="shared" si="180"/>
        <v>1</v>
      </c>
      <c r="AC444" s="40">
        <f t="shared" si="181"/>
        <v>0</v>
      </c>
      <c r="AD444" s="40">
        <f t="shared" si="182"/>
        <v>0</v>
      </c>
      <c r="AE444" s="40">
        <f t="shared" si="183"/>
        <v>0</v>
      </c>
      <c r="AF444" s="40">
        <f t="shared" si="184"/>
        <v>0</v>
      </c>
      <c r="AG444" s="40">
        <f t="shared" si="185"/>
        <v>0</v>
      </c>
      <c r="AH444" s="40">
        <f t="shared" si="186"/>
        <v>0</v>
      </c>
      <c r="AI444" s="40">
        <f t="shared" si="187"/>
        <v>0</v>
      </c>
      <c r="AJ444" s="40">
        <f t="shared" si="188"/>
        <v>0</v>
      </c>
      <c r="AK444" s="40">
        <f t="shared" si="189"/>
        <v>0</v>
      </c>
      <c r="AL444" s="40">
        <f t="shared" si="190"/>
        <v>0</v>
      </c>
      <c r="AM444" s="40">
        <f t="shared" si="191"/>
        <v>0</v>
      </c>
      <c r="AN444" s="40">
        <f t="shared" si="192"/>
        <v>1</v>
      </c>
      <c r="AO444" s="40">
        <f t="shared" si="193"/>
        <v>0</v>
      </c>
      <c r="AP444" s="40">
        <f t="shared" si="194"/>
        <v>0</v>
      </c>
      <c r="AQ444" s="40">
        <f t="shared" si="195"/>
        <v>0</v>
      </c>
      <c r="AR444" s="40">
        <f t="shared" si="196"/>
        <v>0</v>
      </c>
      <c r="AS444" s="40">
        <f t="shared" si="197"/>
        <v>0</v>
      </c>
    </row>
    <row r="445" spans="2:45" s="2" customFormat="1" ht="14.4" customHeight="1" x14ac:dyDescent="0.25">
      <c r="B445" s="56" t="s">
        <v>43</v>
      </c>
      <c r="C445" s="57" t="s">
        <v>25</v>
      </c>
      <c r="D445" s="58" t="s">
        <v>29</v>
      </c>
      <c r="E445" s="62">
        <v>1.0200000000000006E-2</v>
      </c>
      <c r="F445" s="65">
        <f t="shared" si="198"/>
        <v>-4.5853675586919111</v>
      </c>
      <c r="S445" s="40">
        <f t="shared" si="171"/>
        <v>0</v>
      </c>
      <c r="T445" s="40">
        <f t="shared" si="172"/>
        <v>0</v>
      </c>
      <c r="U445" s="40">
        <f t="shared" si="173"/>
        <v>0</v>
      </c>
      <c r="V445" s="40">
        <f t="shared" si="174"/>
        <v>0</v>
      </c>
      <c r="W445" s="40">
        <f t="shared" si="175"/>
        <v>0</v>
      </c>
      <c r="X445" s="40">
        <f t="shared" si="176"/>
        <v>1</v>
      </c>
      <c r="Y445" s="40">
        <f t="shared" si="177"/>
        <v>0</v>
      </c>
      <c r="Z445" s="40">
        <f t="shared" si="178"/>
        <v>0</v>
      </c>
      <c r="AA445" s="40">
        <f t="shared" si="179"/>
        <v>0</v>
      </c>
      <c r="AB445" s="40">
        <f t="shared" si="180"/>
        <v>1</v>
      </c>
      <c r="AC445" s="40">
        <f t="shared" si="181"/>
        <v>0</v>
      </c>
      <c r="AD445" s="40">
        <f t="shared" si="182"/>
        <v>0</v>
      </c>
      <c r="AE445" s="40">
        <f t="shared" si="183"/>
        <v>0</v>
      </c>
      <c r="AF445" s="40">
        <f t="shared" si="184"/>
        <v>0</v>
      </c>
      <c r="AG445" s="40">
        <f t="shared" si="185"/>
        <v>0</v>
      </c>
      <c r="AH445" s="40">
        <f t="shared" si="186"/>
        <v>0</v>
      </c>
      <c r="AI445" s="40">
        <f t="shared" si="187"/>
        <v>0</v>
      </c>
      <c r="AJ445" s="40">
        <f t="shared" si="188"/>
        <v>1</v>
      </c>
      <c r="AK445" s="40">
        <f t="shared" si="189"/>
        <v>0</v>
      </c>
      <c r="AL445" s="40">
        <f t="shared" si="190"/>
        <v>0</v>
      </c>
      <c r="AM445" s="40">
        <f t="shared" si="191"/>
        <v>0</v>
      </c>
      <c r="AN445" s="40">
        <f t="shared" si="192"/>
        <v>0</v>
      </c>
      <c r="AO445" s="40">
        <f t="shared" si="193"/>
        <v>0</v>
      </c>
      <c r="AP445" s="40">
        <f t="shared" si="194"/>
        <v>0</v>
      </c>
      <c r="AQ445" s="40">
        <f t="shared" si="195"/>
        <v>0</v>
      </c>
      <c r="AR445" s="40">
        <f t="shared" si="196"/>
        <v>0</v>
      </c>
      <c r="AS445" s="40">
        <f t="shared" si="197"/>
        <v>0</v>
      </c>
    </row>
    <row r="446" spans="2:45" s="2" customFormat="1" ht="14.4" customHeight="1" x14ac:dyDescent="0.25">
      <c r="B446" s="56" t="s">
        <v>43</v>
      </c>
      <c r="C446" s="57" t="s">
        <v>25</v>
      </c>
      <c r="D446" s="58" t="s">
        <v>37</v>
      </c>
      <c r="E446" s="62">
        <v>4.6099999999999995E-3</v>
      </c>
      <c r="F446" s="65">
        <f t="shared" si="198"/>
        <v>-5.37952742197358</v>
      </c>
      <c r="S446" s="40">
        <f t="shared" si="171"/>
        <v>0</v>
      </c>
      <c r="T446" s="40">
        <f t="shared" si="172"/>
        <v>0</v>
      </c>
      <c r="U446" s="40">
        <f t="shared" si="173"/>
        <v>0</v>
      </c>
      <c r="V446" s="40">
        <f t="shared" si="174"/>
        <v>0</v>
      </c>
      <c r="W446" s="40">
        <f t="shared" si="175"/>
        <v>0</v>
      </c>
      <c r="X446" s="40">
        <f t="shared" si="176"/>
        <v>1</v>
      </c>
      <c r="Y446" s="40">
        <f t="shared" si="177"/>
        <v>0</v>
      </c>
      <c r="Z446" s="40">
        <f t="shared" si="178"/>
        <v>0</v>
      </c>
      <c r="AA446" s="40">
        <f t="shared" si="179"/>
        <v>0</v>
      </c>
      <c r="AB446" s="40">
        <f t="shared" si="180"/>
        <v>1</v>
      </c>
      <c r="AC446" s="40">
        <f t="shared" si="181"/>
        <v>0</v>
      </c>
      <c r="AD446" s="40">
        <f t="shared" si="182"/>
        <v>0</v>
      </c>
      <c r="AE446" s="40">
        <f t="shared" si="183"/>
        <v>0</v>
      </c>
      <c r="AF446" s="40">
        <f t="shared" si="184"/>
        <v>0</v>
      </c>
      <c r="AG446" s="40">
        <f t="shared" si="185"/>
        <v>0</v>
      </c>
      <c r="AH446" s="40">
        <f t="shared" si="186"/>
        <v>0</v>
      </c>
      <c r="AI446" s="40">
        <f t="shared" si="187"/>
        <v>0</v>
      </c>
      <c r="AJ446" s="40">
        <f t="shared" si="188"/>
        <v>1</v>
      </c>
      <c r="AK446" s="40">
        <f t="shared" si="189"/>
        <v>0</v>
      </c>
      <c r="AL446" s="40">
        <f t="shared" si="190"/>
        <v>0</v>
      </c>
      <c r="AM446" s="40">
        <f t="shared" si="191"/>
        <v>0</v>
      </c>
      <c r="AN446" s="40">
        <f t="shared" si="192"/>
        <v>0</v>
      </c>
      <c r="AO446" s="40">
        <f t="shared" si="193"/>
        <v>0</v>
      </c>
      <c r="AP446" s="40">
        <f t="shared" si="194"/>
        <v>0</v>
      </c>
      <c r="AQ446" s="40">
        <f t="shared" si="195"/>
        <v>0</v>
      </c>
      <c r="AR446" s="40">
        <f t="shared" si="196"/>
        <v>0</v>
      </c>
      <c r="AS446" s="40">
        <f t="shared" si="197"/>
        <v>0</v>
      </c>
    </row>
    <row r="447" spans="2:45" s="2" customFormat="1" ht="14.4" customHeight="1" x14ac:dyDescent="0.25">
      <c r="B447" s="56" t="s">
        <v>43</v>
      </c>
      <c r="C447" s="57" t="s">
        <v>25</v>
      </c>
      <c r="D447" s="58" t="s">
        <v>37</v>
      </c>
      <c r="E447" s="62">
        <v>2.8319999999999994E-2</v>
      </c>
      <c r="F447" s="65">
        <f t="shared" si="198"/>
        <v>-3.5641870101566182</v>
      </c>
      <c r="S447" s="40">
        <f t="shared" si="171"/>
        <v>0</v>
      </c>
      <c r="T447" s="40">
        <f t="shared" si="172"/>
        <v>0</v>
      </c>
      <c r="U447" s="40">
        <f t="shared" si="173"/>
        <v>0</v>
      </c>
      <c r="V447" s="40">
        <f t="shared" si="174"/>
        <v>0</v>
      </c>
      <c r="W447" s="40">
        <f t="shared" si="175"/>
        <v>0</v>
      </c>
      <c r="X447" s="40">
        <f t="shared" si="176"/>
        <v>1</v>
      </c>
      <c r="Y447" s="40">
        <f t="shared" si="177"/>
        <v>0</v>
      </c>
      <c r="Z447" s="40">
        <f t="shared" si="178"/>
        <v>0</v>
      </c>
      <c r="AA447" s="40">
        <f t="shared" si="179"/>
        <v>0</v>
      </c>
      <c r="AB447" s="40">
        <f t="shared" si="180"/>
        <v>1</v>
      </c>
      <c r="AC447" s="40">
        <f t="shared" si="181"/>
        <v>0</v>
      </c>
      <c r="AD447" s="40">
        <f t="shared" si="182"/>
        <v>0</v>
      </c>
      <c r="AE447" s="40">
        <f t="shared" si="183"/>
        <v>0</v>
      </c>
      <c r="AF447" s="40">
        <f t="shared" si="184"/>
        <v>0</v>
      </c>
      <c r="AG447" s="40">
        <f t="shared" si="185"/>
        <v>0</v>
      </c>
      <c r="AH447" s="40">
        <f t="shared" si="186"/>
        <v>0</v>
      </c>
      <c r="AI447" s="40">
        <f t="shared" si="187"/>
        <v>0</v>
      </c>
      <c r="AJ447" s="40">
        <f t="shared" si="188"/>
        <v>0</v>
      </c>
      <c r="AK447" s="40">
        <f t="shared" si="189"/>
        <v>0</v>
      </c>
      <c r="AL447" s="40">
        <f t="shared" si="190"/>
        <v>0</v>
      </c>
      <c r="AM447" s="40">
        <f t="shared" si="191"/>
        <v>0</v>
      </c>
      <c r="AN447" s="40">
        <f t="shared" si="192"/>
        <v>0</v>
      </c>
      <c r="AO447" s="40">
        <f t="shared" si="193"/>
        <v>1</v>
      </c>
      <c r="AP447" s="40">
        <f t="shared" si="194"/>
        <v>0</v>
      </c>
      <c r="AQ447" s="40">
        <f t="shared" si="195"/>
        <v>0</v>
      </c>
      <c r="AR447" s="40">
        <f t="shared" si="196"/>
        <v>0</v>
      </c>
      <c r="AS447" s="40">
        <f t="shared" si="197"/>
        <v>0</v>
      </c>
    </row>
    <row r="448" spans="2:45" s="2" customFormat="1" ht="14.4" customHeight="1" x14ac:dyDescent="0.25">
      <c r="B448" s="56" t="s">
        <v>43</v>
      </c>
      <c r="C448" s="57" t="s">
        <v>25</v>
      </c>
      <c r="D448" s="58" t="s">
        <v>31</v>
      </c>
      <c r="E448" s="62">
        <v>2.2199999999999993E-3</v>
      </c>
      <c r="F448" s="65">
        <f t="shared" si="198"/>
        <v>-6.1102480830979493</v>
      </c>
      <c r="S448" s="40">
        <f t="shared" si="171"/>
        <v>0</v>
      </c>
      <c r="T448" s="40">
        <f t="shared" si="172"/>
        <v>0</v>
      </c>
      <c r="U448" s="40">
        <f t="shared" si="173"/>
        <v>0</v>
      </c>
      <c r="V448" s="40">
        <f t="shared" si="174"/>
        <v>0</v>
      </c>
      <c r="W448" s="40">
        <f t="shared" si="175"/>
        <v>0</v>
      </c>
      <c r="X448" s="40">
        <f t="shared" si="176"/>
        <v>1</v>
      </c>
      <c r="Y448" s="40">
        <f t="shared" si="177"/>
        <v>0</v>
      </c>
      <c r="Z448" s="40">
        <f t="shared" si="178"/>
        <v>0</v>
      </c>
      <c r="AA448" s="40">
        <f t="shared" si="179"/>
        <v>0</v>
      </c>
      <c r="AB448" s="40">
        <f t="shared" si="180"/>
        <v>1</v>
      </c>
      <c r="AC448" s="40">
        <f t="shared" si="181"/>
        <v>0</v>
      </c>
      <c r="AD448" s="40">
        <f t="shared" si="182"/>
        <v>0</v>
      </c>
      <c r="AE448" s="40">
        <f t="shared" si="183"/>
        <v>0</v>
      </c>
      <c r="AF448" s="40">
        <f t="shared" si="184"/>
        <v>0</v>
      </c>
      <c r="AG448" s="40">
        <f t="shared" si="185"/>
        <v>0</v>
      </c>
      <c r="AH448" s="40">
        <f t="shared" si="186"/>
        <v>0</v>
      </c>
      <c r="AI448" s="40">
        <f t="shared" si="187"/>
        <v>0</v>
      </c>
      <c r="AJ448" s="40">
        <f t="shared" si="188"/>
        <v>1</v>
      </c>
      <c r="AK448" s="40">
        <f t="shared" si="189"/>
        <v>0</v>
      </c>
      <c r="AL448" s="40">
        <f t="shared" si="190"/>
        <v>0</v>
      </c>
      <c r="AM448" s="40">
        <f t="shared" si="191"/>
        <v>0</v>
      </c>
      <c r="AN448" s="40">
        <f t="shared" si="192"/>
        <v>0</v>
      </c>
      <c r="AO448" s="40">
        <f t="shared" si="193"/>
        <v>0</v>
      </c>
      <c r="AP448" s="40">
        <f t="shared" si="194"/>
        <v>0</v>
      </c>
      <c r="AQ448" s="40">
        <f t="shared" si="195"/>
        <v>0</v>
      </c>
      <c r="AR448" s="40">
        <f t="shared" si="196"/>
        <v>0</v>
      </c>
      <c r="AS448" s="40">
        <f t="shared" si="197"/>
        <v>0</v>
      </c>
    </row>
    <row r="449" spans="2:45" s="2" customFormat="1" ht="14.4" customHeight="1" x14ac:dyDescent="0.25">
      <c r="B449" s="56" t="s">
        <v>43</v>
      </c>
      <c r="C449" s="57" t="s">
        <v>25</v>
      </c>
      <c r="D449" s="58" t="s">
        <v>37</v>
      </c>
      <c r="E449" s="62">
        <v>1.3789999999999998E-2</v>
      </c>
      <c r="F449" s="65">
        <f t="shared" si="198"/>
        <v>-4.2838115871769267</v>
      </c>
      <c r="S449" s="40">
        <f t="shared" si="171"/>
        <v>0</v>
      </c>
      <c r="T449" s="40">
        <f t="shared" si="172"/>
        <v>0</v>
      </c>
      <c r="U449" s="40">
        <f t="shared" si="173"/>
        <v>0</v>
      </c>
      <c r="V449" s="40">
        <f t="shared" si="174"/>
        <v>0</v>
      </c>
      <c r="W449" s="40">
        <f t="shared" si="175"/>
        <v>0</v>
      </c>
      <c r="X449" s="40">
        <f t="shared" si="176"/>
        <v>1</v>
      </c>
      <c r="Y449" s="40">
        <f t="shared" si="177"/>
        <v>0</v>
      </c>
      <c r="Z449" s="40">
        <f t="shared" si="178"/>
        <v>0</v>
      </c>
      <c r="AA449" s="40">
        <f t="shared" si="179"/>
        <v>0</v>
      </c>
      <c r="AB449" s="40">
        <f t="shared" si="180"/>
        <v>1</v>
      </c>
      <c r="AC449" s="40">
        <f t="shared" si="181"/>
        <v>0</v>
      </c>
      <c r="AD449" s="40">
        <f t="shared" si="182"/>
        <v>0</v>
      </c>
      <c r="AE449" s="40">
        <f t="shared" si="183"/>
        <v>0</v>
      </c>
      <c r="AF449" s="40">
        <f t="shared" si="184"/>
        <v>0</v>
      </c>
      <c r="AG449" s="40">
        <f t="shared" si="185"/>
        <v>0</v>
      </c>
      <c r="AH449" s="40">
        <f t="shared" si="186"/>
        <v>0</v>
      </c>
      <c r="AI449" s="40">
        <f t="shared" si="187"/>
        <v>0</v>
      </c>
      <c r="AJ449" s="40">
        <f t="shared" si="188"/>
        <v>0</v>
      </c>
      <c r="AK449" s="40">
        <f t="shared" si="189"/>
        <v>0</v>
      </c>
      <c r="AL449" s="40">
        <f t="shared" si="190"/>
        <v>0</v>
      </c>
      <c r="AM449" s="40">
        <f t="shared" si="191"/>
        <v>0</v>
      </c>
      <c r="AN449" s="40">
        <f t="shared" si="192"/>
        <v>0</v>
      </c>
      <c r="AO449" s="40">
        <f t="shared" si="193"/>
        <v>1</v>
      </c>
      <c r="AP449" s="40">
        <f t="shared" si="194"/>
        <v>0</v>
      </c>
      <c r="AQ449" s="40">
        <f t="shared" si="195"/>
        <v>0</v>
      </c>
      <c r="AR449" s="40">
        <f t="shared" si="196"/>
        <v>0</v>
      </c>
      <c r="AS449" s="40">
        <f t="shared" si="197"/>
        <v>0</v>
      </c>
    </row>
    <row r="450" spans="2:45" s="2" customFormat="1" ht="14.4" customHeight="1" x14ac:dyDescent="0.25">
      <c r="B450" s="56" t="s">
        <v>43</v>
      </c>
      <c r="C450" s="57" t="s">
        <v>25</v>
      </c>
      <c r="D450" s="58" t="s">
        <v>31</v>
      </c>
      <c r="E450" s="62">
        <v>5.8599999999999999E-2</v>
      </c>
      <c r="F450" s="65">
        <f t="shared" si="198"/>
        <v>-2.8370205823991701</v>
      </c>
      <c r="S450" s="40">
        <f t="shared" si="171"/>
        <v>0</v>
      </c>
      <c r="T450" s="40">
        <f t="shared" si="172"/>
        <v>0</v>
      </c>
      <c r="U450" s="40">
        <f t="shared" si="173"/>
        <v>0</v>
      </c>
      <c r="V450" s="40">
        <f t="shared" si="174"/>
        <v>0</v>
      </c>
      <c r="W450" s="40">
        <f t="shared" si="175"/>
        <v>0</v>
      </c>
      <c r="X450" s="40">
        <f t="shared" si="176"/>
        <v>1</v>
      </c>
      <c r="Y450" s="40">
        <f t="shared" si="177"/>
        <v>0</v>
      </c>
      <c r="Z450" s="40">
        <f t="shared" si="178"/>
        <v>0</v>
      </c>
      <c r="AA450" s="40">
        <f t="shared" si="179"/>
        <v>0</v>
      </c>
      <c r="AB450" s="40">
        <f t="shared" si="180"/>
        <v>1</v>
      </c>
      <c r="AC450" s="40">
        <f t="shared" si="181"/>
        <v>0</v>
      </c>
      <c r="AD450" s="40">
        <f t="shared" si="182"/>
        <v>0</v>
      </c>
      <c r="AE450" s="40">
        <f t="shared" si="183"/>
        <v>0</v>
      </c>
      <c r="AF450" s="40">
        <f t="shared" si="184"/>
        <v>0</v>
      </c>
      <c r="AG450" s="40">
        <f t="shared" si="185"/>
        <v>0</v>
      </c>
      <c r="AH450" s="40">
        <f t="shared" si="186"/>
        <v>0</v>
      </c>
      <c r="AI450" s="40">
        <f t="shared" si="187"/>
        <v>0</v>
      </c>
      <c r="AJ450" s="40">
        <f t="shared" si="188"/>
        <v>0</v>
      </c>
      <c r="AK450" s="40">
        <f t="shared" si="189"/>
        <v>0</v>
      </c>
      <c r="AL450" s="40">
        <f t="shared" si="190"/>
        <v>0</v>
      </c>
      <c r="AM450" s="40">
        <f t="shared" si="191"/>
        <v>0</v>
      </c>
      <c r="AN450" s="40">
        <f t="shared" si="192"/>
        <v>0</v>
      </c>
      <c r="AO450" s="40">
        <f t="shared" si="193"/>
        <v>1</v>
      </c>
      <c r="AP450" s="40">
        <f t="shared" si="194"/>
        <v>0</v>
      </c>
      <c r="AQ450" s="40">
        <f t="shared" si="195"/>
        <v>0</v>
      </c>
      <c r="AR450" s="40">
        <f t="shared" si="196"/>
        <v>0</v>
      </c>
      <c r="AS450" s="40">
        <f t="shared" si="197"/>
        <v>0</v>
      </c>
    </row>
    <row r="451" spans="2:45" s="2" customFormat="1" ht="14.4" customHeight="1" x14ac:dyDescent="0.25">
      <c r="B451" s="56" t="s">
        <v>43</v>
      </c>
      <c r="C451" s="57" t="s">
        <v>25</v>
      </c>
      <c r="D451" s="58" t="s">
        <v>31</v>
      </c>
      <c r="E451" s="62">
        <v>2.0790000000000003E-2</v>
      </c>
      <c r="F451" s="65">
        <f t="shared" si="198"/>
        <v>-3.8732831771122154</v>
      </c>
      <c r="S451" s="40">
        <f t="shared" si="171"/>
        <v>0</v>
      </c>
      <c r="T451" s="40">
        <f t="shared" si="172"/>
        <v>0</v>
      </c>
      <c r="U451" s="40">
        <f t="shared" si="173"/>
        <v>0</v>
      </c>
      <c r="V451" s="40">
        <f t="shared" si="174"/>
        <v>0</v>
      </c>
      <c r="W451" s="40">
        <f t="shared" si="175"/>
        <v>0</v>
      </c>
      <c r="X451" s="40">
        <f t="shared" si="176"/>
        <v>1</v>
      </c>
      <c r="Y451" s="40">
        <f t="shared" si="177"/>
        <v>0</v>
      </c>
      <c r="Z451" s="40">
        <f t="shared" si="178"/>
        <v>0</v>
      </c>
      <c r="AA451" s="40">
        <f t="shared" si="179"/>
        <v>0</v>
      </c>
      <c r="AB451" s="40">
        <f t="shared" si="180"/>
        <v>1</v>
      </c>
      <c r="AC451" s="40">
        <f t="shared" si="181"/>
        <v>0</v>
      </c>
      <c r="AD451" s="40">
        <f t="shared" si="182"/>
        <v>0</v>
      </c>
      <c r="AE451" s="40">
        <f t="shared" si="183"/>
        <v>0</v>
      </c>
      <c r="AF451" s="40">
        <f t="shared" si="184"/>
        <v>0</v>
      </c>
      <c r="AG451" s="40">
        <f t="shared" si="185"/>
        <v>0</v>
      </c>
      <c r="AH451" s="40">
        <f t="shared" si="186"/>
        <v>0</v>
      </c>
      <c r="AI451" s="40">
        <f t="shared" si="187"/>
        <v>1</v>
      </c>
      <c r="AJ451" s="40">
        <f t="shared" si="188"/>
        <v>0</v>
      </c>
      <c r="AK451" s="40">
        <f t="shared" si="189"/>
        <v>0</v>
      </c>
      <c r="AL451" s="40">
        <f t="shared" si="190"/>
        <v>0</v>
      </c>
      <c r="AM451" s="40">
        <f t="shared" si="191"/>
        <v>0</v>
      </c>
      <c r="AN451" s="40">
        <f t="shared" si="192"/>
        <v>0</v>
      </c>
      <c r="AO451" s="40">
        <f t="shared" si="193"/>
        <v>0</v>
      </c>
      <c r="AP451" s="40">
        <f t="shared" si="194"/>
        <v>0</v>
      </c>
      <c r="AQ451" s="40">
        <f t="shared" si="195"/>
        <v>0</v>
      </c>
      <c r="AR451" s="40">
        <f t="shared" si="196"/>
        <v>0</v>
      </c>
      <c r="AS451" s="40">
        <f t="shared" si="197"/>
        <v>0</v>
      </c>
    </row>
    <row r="452" spans="2:45" s="2" customFormat="1" ht="14.4" customHeight="1" x14ac:dyDescent="0.25">
      <c r="B452" s="56" t="s">
        <v>43</v>
      </c>
      <c r="C452" s="57" t="s">
        <v>25</v>
      </c>
      <c r="D452" s="58" t="s">
        <v>28</v>
      </c>
      <c r="E452" s="62">
        <v>9.1000000000000033E-4</v>
      </c>
      <c r="F452" s="65">
        <f t="shared" si="198"/>
        <v>-7.002065958453378</v>
      </c>
      <c r="S452" s="40">
        <f t="shared" si="171"/>
        <v>0</v>
      </c>
      <c r="T452" s="40">
        <f t="shared" si="172"/>
        <v>0</v>
      </c>
      <c r="U452" s="40">
        <f t="shared" si="173"/>
        <v>0</v>
      </c>
      <c r="V452" s="40">
        <f t="shared" si="174"/>
        <v>0</v>
      </c>
      <c r="W452" s="40">
        <f t="shared" si="175"/>
        <v>0</v>
      </c>
      <c r="X452" s="40">
        <f t="shared" si="176"/>
        <v>1</v>
      </c>
      <c r="Y452" s="40">
        <f t="shared" si="177"/>
        <v>0</v>
      </c>
      <c r="Z452" s="40">
        <f t="shared" si="178"/>
        <v>0</v>
      </c>
      <c r="AA452" s="40">
        <f t="shared" si="179"/>
        <v>0</v>
      </c>
      <c r="AB452" s="40">
        <f t="shared" si="180"/>
        <v>1</v>
      </c>
      <c r="AC452" s="40">
        <f t="shared" si="181"/>
        <v>0</v>
      </c>
      <c r="AD452" s="40">
        <f t="shared" si="182"/>
        <v>0</v>
      </c>
      <c r="AE452" s="40">
        <f t="shared" si="183"/>
        <v>0</v>
      </c>
      <c r="AF452" s="40">
        <f t="shared" si="184"/>
        <v>0</v>
      </c>
      <c r="AG452" s="40">
        <f t="shared" si="185"/>
        <v>0</v>
      </c>
      <c r="AH452" s="40">
        <f t="shared" si="186"/>
        <v>0</v>
      </c>
      <c r="AI452" s="40">
        <f t="shared" si="187"/>
        <v>0</v>
      </c>
      <c r="AJ452" s="40">
        <f t="shared" si="188"/>
        <v>1</v>
      </c>
      <c r="AK452" s="40">
        <f t="shared" si="189"/>
        <v>0</v>
      </c>
      <c r="AL452" s="40">
        <f t="shared" si="190"/>
        <v>0</v>
      </c>
      <c r="AM452" s="40">
        <f t="shared" si="191"/>
        <v>0</v>
      </c>
      <c r="AN452" s="40">
        <f t="shared" si="192"/>
        <v>0</v>
      </c>
      <c r="AO452" s="40">
        <f t="shared" si="193"/>
        <v>0</v>
      </c>
      <c r="AP452" s="40">
        <f t="shared" si="194"/>
        <v>0</v>
      </c>
      <c r="AQ452" s="40">
        <f t="shared" si="195"/>
        <v>0</v>
      </c>
      <c r="AR452" s="40">
        <f t="shared" si="196"/>
        <v>0</v>
      </c>
      <c r="AS452" s="40">
        <f t="shared" si="197"/>
        <v>0</v>
      </c>
    </row>
    <row r="453" spans="2:45" s="2" customFormat="1" ht="14.4" customHeight="1" x14ac:dyDescent="0.25">
      <c r="B453" s="56" t="s">
        <v>43</v>
      </c>
      <c r="C453" s="57" t="s">
        <v>25</v>
      </c>
      <c r="D453" s="58" t="s">
        <v>37</v>
      </c>
      <c r="E453" s="62">
        <v>4.36E-2</v>
      </c>
      <c r="F453" s="65">
        <f t="shared" si="198"/>
        <v>-3.1326981286271485</v>
      </c>
      <c r="S453" s="40">
        <f t="shared" si="171"/>
        <v>0</v>
      </c>
      <c r="T453" s="40">
        <f t="shared" si="172"/>
        <v>0</v>
      </c>
      <c r="U453" s="40">
        <f t="shared" si="173"/>
        <v>0</v>
      </c>
      <c r="V453" s="40">
        <f t="shared" si="174"/>
        <v>0</v>
      </c>
      <c r="W453" s="40">
        <f t="shared" si="175"/>
        <v>0</v>
      </c>
      <c r="X453" s="40">
        <f t="shared" si="176"/>
        <v>1</v>
      </c>
      <c r="Y453" s="40">
        <f t="shared" si="177"/>
        <v>0</v>
      </c>
      <c r="Z453" s="40">
        <f t="shared" si="178"/>
        <v>0</v>
      </c>
      <c r="AA453" s="40">
        <f t="shared" si="179"/>
        <v>0</v>
      </c>
      <c r="AB453" s="40">
        <f t="shared" si="180"/>
        <v>1</v>
      </c>
      <c r="AC453" s="40">
        <f t="shared" si="181"/>
        <v>0</v>
      </c>
      <c r="AD453" s="40">
        <f t="shared" si="182"/>
        <v>0</v>
      </c>
      <c r="AE453" s="40">
        <f t="shared" si="183"/>
        <v>0</v>
      </c>
      <c r="AF453" s="40">
        <f t="shared" si="184"/>
        <v>0</v>
      </c>
      <c r="AG453" s="40">
        <f t="shared" si="185"/>
        <v>0</v>
      </c>
      <c r="AH453" s="40">
        <f t="shared" si="186"/>
        <v>0</v>
      </c>
      <c r="AI453" s="40">
        <f t="shared" si="187"/>
        <v>1</v>
      </c>
      <c r="AJ453" s="40">
        <f t="shared" si="188"/>
        <v>0</v>
      </c>
      <c r="AK453" s="40">
        <f t="shared" si="189"/>
        <v>0</v>
      </c>
      <c r="AL453" s="40">
        <f t="shared" si="190"/>
        <v>0</v>
      </c>
      <c r="AM453" s="40">
        <f t="shared" si="191"/>
        <v>0</v>
      </c>
      <c r="AN453" s="40">
        <f t="shared" si="192"/>
        <v>0</v>
      </c>
      <c r="AO453" s="40">
        <f t="shared" si="193"/>
        <v>0</v>
      </c>
      <c r="AP453" s="40">
        <f t="shared" si="194"/>
        <v>0</v>
      </c>
      <c r="AQ453" s="40">
        <f t="shared" si="195"/>
        <v>0</v>
      </c>
      <c r="AR453" s="40">
        <f t="shared" si="196"/>
        <v>0</v>
      </c>
      <c r="AS453" s="40">
        <f t="shared" si="197"/>
        <v>0</v>
      </c>
    </row>
    <row r="454" spans="2:45" s="2" customFormat="1" ht="14.4" customHeight="1" x14ac:dyDescent="0.25">
      <c r="B454" s="56" t="s">
        <v>43</v>
      </c>
      <c r="C454" s="57" t="s">
        <v>25</v>
      </c>
      <c r="D454" s="58" t="s">
        <v>28</v>
      </c>
      <c r="E454" s="62">
        <v>7.0460000000000009E-2</v>
      </c>
      <c r="F454" s="65">
        <f t="shared" si="198"/>
        <v>-2.6527101060690454</v>
      </c>
      <c r="S454" s="40">
        <f t="shared" si="171"/>
        <v>0</v>
      </c>
      <c r="T454" s="40">
        <f t="shared" si="172"/>
        <v>0</v>
      </c>
      <c r="U454" s="40">
        <f t="shared" si="173"/>
        <v>0</v>
      </c>
      <c r="V454" s="40">
        <f t="shared" si="174"/>
        <v>0</v>
      </c>
      <c r="W454" s="40">
        <f t="shared" si="175"/>
        <v>0</v>
      </c>
      <c r="X454" s="40">
        <f t="shared" si="176"/>
        <v>1</v>
      </c>
      <c r="Y454" s="40">
        <f t="shared" si="177"/>
        <v>0</v>
      </c>
      <c r="Z454" s="40">
        <f t="shared" si="178"/>
        <v>0</v>
      </c>
      <c r="AA454" s="40">
        <f t="shared" si="179"/>
        <v>0</v>
      </c>
      <c r="AB454" s="40">
        <f t="shared" si="180"/>
        <v>1</v>
      </c>
      <c r="AC454" s="40">
        <f t="shared" si="181"/>
        <v>0</v>
      </c>
      <c r="AD454" s="40">
        <f t="shared" si="182"/>
        <v>0</v>
      </c>
      <c r="AE454" s="40">
        <f t="shared" si="183"/>
        <v>0</v>
      </c>
      <c r="AF454" s="40">
        <f t="shared" si="184"/>
        <v>0</v>
      </c>
      <c r="AG454" s="40">
        <f t="shared" si="185"/>
        <v>0</v>
      </c>
      <c r="AH454" s="40">
        <f t="shared" si="186"/>
        <v>0</v>
      </c>
      <c r="AI454" s="40">
        <f t="shared" si="187"/>
        <v>0</v>
      </c>
      <c r="AJ454" s="40">
        <f t="shared" si="188"/>
        <v>0</v>
      </c>
      <c r="AK454" s="40">
        <f t="shared" si="189"/>
        <v>0</v>
      </c>
      <c r="AL454" s="40">
        <f t="shared" si="190"/>
        <v>1</v>
      </c>
      <c r="AM454" s="40">
        <f t="shared" si="191"/>
        <v>0</v>
      </c>
      <c r="AN454" s="40">
        <f t="shared" si="192"/>
        <v>0</v>
      </c>
      <c r="AO454" s="40">
        <f t="shared" si="193"/>
        <v>0</v>
      </c>
      <c r="AP454" s="40">
        <f t="shared" si="194"/>
        <v>0</v>
      </c>
      <c r="AQ454" s="40">
        <f t="shared" si="195"/>
        <v>0</v>
      </c>
      <c r="AR454" s="40">
        <f t="shared" si="196"/>
        <v>0</v>
      </c>
      <c r="AS454" s="40">
        <f t="shared" si="197"/>
        <v>0</v>
      </c>
    </row>
    <row r="455" spans="2:45" s="2" customFormat="1" ht="14.4" customHeight="1" x14ac:dyDescent="0.25">
      <c r="B455" s="56" t="s">
        <v>43</v>
      </c>
      <c r="C455" s="57" t="s">
        <v>25</v>
      </c>
      <c r="D455" s="58" t="s">
        <v>24</v>
      </c>
      <c r="E455" s="62">
        <v>2.5699999999999997E-2</v>
      </c>
      <c r="F455" s="65">
        <f t="shared" si="198"/>
        <v>-3.6612642870809631</v>
      </c>
      <c r="S455" s="40">
        <f t="shared" si="171"/>
        <v>0</v>
      </c>
      <c r="T455" s="40">
        <f t="shared" si="172"/>
        <v>0</v>
      </c>
      <c r="U455" s="40">
        <f t="shared" si="173"/>
        <v>0</v>
      </c>
      <c r="V455" s="40">
        <f t="shared" si="174"/>
        <v>0</v>
      </c>
      <c r="W455" s="40">
        <f t="shared" si="175"/>
        <v>0</v>
      </c>
      <c r="X455" s="40">
        <f t="shared" si="176"/>
        <v>1</v>
      </c>
      <c r="Y455" s="40">
        <f t="shared" si="177"/>
        <v>0</v>
      </c>
      <c r="Z455" s="40">
        <f t="shared" si="178"/>
        <v>0</v>
      </c>
      <c r="AA455" s="40">
        <f t="shared" si="179"/>
        <v>0</v>
      </c>
      <c r="AB455" s="40">
        <f t="shared" si="180"/>
        <v>1</v>
      </c>
      <c r="AC455" s="40">
        <f t="shared" si="181"/>
        <v>0</v>
      </c>
      <c r="AD455" s="40">
        <f t="shared" si="182"/>
        <v>0</v>
      </c>
      <c r="AE455" s="40">
        <f t="shared" si="183"/>
        <v>0</v>
      </c>
      <c r="AF455" s="40">
        <f t="shared" si="184"/>
        <v>0</v>
      </c>
      <c r="AG455" s="40">
        <f t="shared" si="185"/>
        <v>0</v>
      </c>
      <c r="AH455" s="40">
        <f t="shared" si="186"/>
        <v>0</v>
      </c>
      <c r="AI455" s="40">
        <f t="shared" si="187"/>
        <v>1</v>
      </c>
      <c r="AJ455" s="40">
        <f t="shared" si="188"/>
        <v>0</v>
      </c>
      <c r="AK455" s="40">
        <f t="shared" si="189"/>
        <v>0</v>
      </c>
      <c r="AL455" s="40">
        <f t="shared" si="190"/>
        <v>0</v>
      </c>
      <c r="AM455" s="40">
        <f t="shared" si="191"/>
        <v>0</v>
      </c>
      <c r="AN455" s="40">
        <f t="shared" si="192"/>
        <v>0</v>
      </c>
      <c r="AO455" s="40">
        <f t="shared" si="193"/>
        <v>0</v>
      </c>
      <c r="AP455" s="40">
        <f t="shared" si="194"/>
        <v>0</v>
      </c>
      <c r="AQ455" s="40">
        <f t="shared" si="195"/>
        <v>0</v>
      </c>
      <c r="AR455" s="40">
        <f t="shared" si="196"/>
        <v>0</v>
      </c>
      <c r="AS455" s="40">
        <f t="shared" si="197"/>
        <v>0</v>
      </c>
    </row>
    <row r="456" spans="2:45" s="2" customFormat="1" ht="14.4" customHeight="1" x14ac:dyDescent="0.25">
      <c r="B456" s="56" t="s">
        <v>43</v>
      </c>
      <c r="C456" s="57" t="s">
        <v>25</v>
      </c>
      <c r="D456" s="58" t="s">
        <v>28</v>
      </c>
      <c r="E456" s="62">
        <v>1.9759999999999996E-2</v>
      </c>
      <c r="F456" s="65">
        <f t="shared" si="198"/>
        <v>-3.9240955866624154</v>
      </c>
      <c r="S456" s="40">
        <f t="shared" si="171"/>
        <v>0</v>
      </c>
      <c r="T456" s="40">
        <f t="shared" si="172"/>
        <v>0</v>
      </c>
      <c r="U456" s="40">
        <f t="shared" si="173"/>
        <v>0</v>
      </c>
      <c r="V456" s="40">
        <f t="shared" si="174"/>
        <v>0</v>
      </c>
      <c r="W456" s="40">
        <f t="shared" si="175"/>
        <v>0</v>
      </c>
      <c r="X456" s="40">
        <f t="shared" si="176"/>
        <v>1</v>
      </c>
      <c r="Y456" s="40">
        <f t="shared" si="177"/>
        <v>0</v>
      </c>
      <c r="Z456" s="40">
        <f t="shared" si="178"/>
        <v>0</v>
      </c>
      <c r="AA456" s="40">
        <f t="shared" si="179"/>
        <v>0</v>
      </c>
      <c r="AB456" s="40">
        <f t="shared" si="180"/>
        <v>1</v>
      </c>
      <c r="AC456" s="40">
        <f t="shared" si="181"/>
        <v>0</v>
      </c>
      <c r="AD456" s="40">
        <f t="shared" si="182"/>
        <v>0</v>
      </c>
      <c r="AE456" s="40">
        <f t="shared" si="183"/>
        <v>0</v>
      </c>
      <c r="AF456" s="40">
        <f t="shared" si="184"/>
        <v>0</v>
      </c>
      <c r="AG456" s="40">
        <f t="shared" si="185"/>
        <v>0</v>
      </c>
      <c r="AH456" s="40">
        <f t="shared" si="186"/>
        <v>0</v>
      </c>
      <c r="AI456" s="40">
        <f t="shared" si="187"/>
        <v>0</v>
      </c>
      <c r="AJ456" s="40">
        <f t="shared" si="188"/>
        <v>1</v>
      </c>
      <c r="AK456" s="40">
        <f t="shared" si="189"/>
        <v>0</v>
      </c>
      <c r="AL456" s="40">
        <f t="shared" si="190"/>
        <v>0</v>
      </c>
      <c r="AM456" s="40">
        <f t="shared" si="191"/>
        <v>0</v>
      </c>
      <c r="AN456" s="40">
        <f t="shared" si="192"/>
        <v>0</v>
      </c>
      <c r="AO456" s="40">
        <f t="shared" si="193"/>
        <v>0</v>
      </c>
      <c r="AP456" s="40">
        <f t="shared" si="194"/>
        <v>0</v>
      </c>
      <c r="AQ456" s="40">
        <f t="shared" si="195"/>
        <v>0</v>
      </c>
      <c r="AR456" s="40">
        <f t="shared" si="196"/>
        <v>0</v>
      </c>
      <c r="AS456" s="40">
        <f t="shared" si="197"/>
        <v>0</v>
      </c>
    </row>
    <row r="457" spans="2:45" s="2" customFormat="1" ht="14.4" customHeight="1" x14ac:dyDescent="0.25">
      <c r="B457" s="56" t="s">
        <v>43</v>
      </c>
      <c r="C457" s="57" t="s">
        <v>25</v>
      </c>
      <c r="D457" s="58" t="s">
        <v>37</v>
      </c>
      <c r="E457" s="62">
        <v>1.6420000000000008E-2</v>
      </c>
      <c r="F457" s="65">
        <f t="shared" si="198"/>
        <v>-4.1092551749578545</v>
      </c>
      <c r="S457" s="40">
        <f t="shared" si="171"/>
        <v>0</v>
      </c>
      <c r="T457" s="40">
        <f t="shared" si="172"/>
        <v>0</v>
      </c>
      <c r="U457" s="40">
        <f t="shared" si="173"/>
        <v>0</v>
      </c>
      <c r="V457" s="40">
        <f t="shared" si="174"/>
        <v>0</v>
      </c>
      <c r="W457" s="40">
        <f t="shared" si="175"/>
        <v>0</v>
      </c>
      <c r="X457" s="40">
        <f t="shared" si="176"/>
        <v>1</v>
      </c>
      <c r="Y457" s="40">
        <f t="shared" si="177"/>
        <v>0</v>
      </c>
      <c r="Z457" s="40">
        <f t="shared" si="178"/>
        <v>0</v>
      </c>
      <c r="AA457" s="40">
        <f t="shared" si="179"/>
        <v>0</v>
      </c>
      <c r="AB457" s="40">
        <f t="shared" si="180"/>
        <v>1</v>
      </c>
      <c r="AC457" s="40">
        <f t="shared" si="181"/>
        <v>0</v>
      </c>
      <c r="AD457" s="40">
        <f t="shared" si="182"/>
        <v>0</v>
      </c>
      <c r="AE457" s="40">
        <f t="shared" si="183"/>
        <v>0</v>
      </c>
      <c r="AF457" s="40">
        <f t="shared" si="184"/>
        <v>0</v>
      </c>
      <c r="AG457" s="40">
        <f t="shared" si="185"/>
        <v>0</v>
      </c>
      <c r="AH457" s="40">
        <f t="shared" si="186"/>
        <v>0</v>
      </c>
      <c r="AI457" s="40">
        <f t="shared" si="187"/>
        <v>0</v>
      </c>
      <c r="AJ457" s="40">
        <f t="shared" si="188"/>
        <v>0</v>
      </c>
      <c r="AK457" s="40">
        <f t="shared" si="189"/>
        <v>0</v>
      </c>
      <c r="AL457" s="40">
        <f t="shared" si="190"/>
        <v>0</v>
      </c>
      <c r="AM457" s="40">
        <f t="shared" si="191"/>
        <v>0</v>
      </c>
      <c r="AN457" s="40">
        <f t="shared" si="192"/>
        <v>1</v>
      </c>
      <c r="AO457" s="40">
        <f t="shared" si="193"/>
        <v>0</v>
      </c>
      <c r="AP457" s="40">
        <f t="shared" si="194"/>
        <v>0</v>
      </c>
      <c r="AQ457" s="40">
        <f t="shared" si="195"/>
        <v>0</v>
      </c>
      <c r="AR457" s="40">
        <f t="shared" si="196"/>
        <v>0</v>
      </c>
      <c r="AS457" s="40">
        <f t="shared" si="197"/>
        <v>0</v>
      </c>
    </row>
    <row r="458" spans="2:45" s="2" customFormat="1" ht="14.4" customHeight="1" x14ac:dyDescent="0.25">
      <c r="B458" s="56" t="s">
        <v>43</v>
      </c>
      <c r="C458" s="57" t="s">
        <v>25</v>
      </c>
      <c r="D458" s="58" t="s">
        <v>29</v>
      </c>
      <c r="E458" s="62">
        <v>2.2589999999999999E-2</v>
      </c>
      <c r="F458" s="65">
        <f t="shared" si="198"/>
        <v>-3.7902479485022251</v>
      </c>
      <c r="S458" s="40">
        <f t="shared" ref="S458:S521" si="199">IF($B459=S$9,1,0)</f>
        <v>0</v>
      </c>
      <c r="T458" s="40">
        <f t="shared" ref="T458:T521" si="200">IF($B459=T$9,1,0)</f>
        <v>0</v>
      </c>
      <c r="U458" s="40">
        <f t="shared" ref="U458:U521" si="201">IF($B459=U$9,1,0)</f>
        <v>0</v>
      </c>
      <c r="V458" s="40">
        <f t="shared" ref="V458:V521" si="202">IF($B459=V$9,1,0)</f>
        <v>0</v>
      </c>
      <c r="W458" s="40">
        <f t="shared" ref="W458:W521" si="203">IF($B459=W$9,1,0)</f>
        <v>0</v>
      </c>
      <c r="X458" s="40">
        <f t="shared" ref="X458:X521" si="204">IF($B459=X$9,1,0)</f>
        <v>1</v>
      </c>
      <c r="Y458" s="40">
        <f t="shared" ref="Y458:Y521" si="205">IF($B459=Y$9,1,0)</f>
        <v>0</v>
      </c>
      <c r="Z458" s="40">
        <f t="shared" ref="Z458:Z521" si="206">IF($C459=Z$9,1,0)</f>
        <v>0</v>
      </c>
      <c r="AA458" s="40">
        <f t="shared" ref="AA458:AA521" si="207">IF($C459=AA$9,1,0)</f>
        <v>0</v>
      </c>
      <c r="AB458" s="40">
        <f t="shared" ref="AB458:AB521" si="208">IF($C459=AB$9,1,0)</f>
        <v>1</v>
      </c>
      <c r="AC458" s="40">
        <f t="shared" ref="AC458:AC521" si="209">IF($C459=AC$9,1,0)</f>
        <v>0</v>
      </c>
      <c r="AD458" s="40">
        <f t="shared" ref="AD458:AD521" si="210">IF($C459=AD$9,1,0)</f>
        <v>0</v>
      </c>
      <c r="AE458" s="40">
        <f t="shared" ref="AE458:AE521" si="211">IF($C459=AE$9,1,0)</f>
        <v>0</v>
      </c>
      <c r="AF458" s="40">
        <f t="shared" ref="AF458:AF521" si="212">IF($C459=AF$9,1,0)</f>
        <v>0</v>
      </c>
      <c r="AG458" s="40">
        <f t="shared" ref="AG458:AG521" si="213">IF($C459=AG$9,1,0)</f>
        <v>0</v>
      </c>
      <c r="AH458" s="40">
        <f t="shared" ref="AH458:AH521" si="214">IF($D459=AH$9,1,0)</f>
        <v>0</v>
      </c>
      <c r="AI458" s="40">
        <f t="shared" ref="AI458:AI521" si="215">IF($D459=AI$9,1,0)</f>
        <v>0</v>
      </c>
      <c r="AJ458" s="40">
        <f t="shared" ref="AJ458:AJ521" si="216">IF($D459=AJ$9,1,0)</f>
        <v>0</v>
      </c>
      <c r="AK458" s="40">
        <f t="shared" ref="AK458:AK521" si="217">IF($D459=AK$9,1,0)</f>
        <v>0</v>
      </c>
      <c r="AL458" s="40">
        <f t="shared" ref="AL458:AL521" si="218">IF($D459=AL$9,1,0)</f>
        <v>0</v>
      </c>
      <c r="AM458" s="40">
        <f t="shared" ref="AM458:AM521" si="219">IF($D459=AM$9,1,0)</f>
        <v>0</v>
      </c>
      <c r="AN458" s="40">
        <f t="shared" ref="AN458:AN521" si="220">IF($D459=AN$9,1,0)</f>
        <v>0</v>
      </c>
      <c r="AO458" s="40">
        <f t="shared" ref="AO458:AO521" si="221">IF($D459=AO$9,1,0)</f>
        <v>0</v>
      </c>
      <c r="AP458" s="40">
        <f t="shared" ref="AP458:AP521" si="222">IF($D459=AP$9,1,0)</f>
        <v>0</v>
      </c>
      <c r="AQ458" s="40">
        <f t="shared" ref="AQ458:AQ521" si="223">IF($D459=AQ$9,1,0)</f>
        <v>0</v>
      </c>
      <c r="AR458" s="40">
        <f t="shared" ref="AR458:AR521" si="224">IF($D459=AR$9,1,0)</f>
        <v>1</v>
      </c>
      <c r="AS458" s="40">
        <f t="shared" ref="AS458:AS521" si="225">IF($D459=AS$9,1,0)</f>
        <v>0</v>
      </c>
    </row>
    <row r="459" spans="2:45" s="2" customFormat="1" ht="14.4" customHeight="1" x14ac:dyDescent="0.25">
      <c r="B459" s="56" t="s">
        <v>43</v>
      </c>
      <c r="C459" s="57" t="s">
        <v>25</v>
      </c>
      <c r="D459" s="58" t="s">
        <v>33</v>
      </c>
      <c r="E459" s="62">
        <v>1.2610000000000003E-2</v>
      </c>
      <c r="F459" s="65">
        <f t="shared" si="198"/>
        <v>-4.3732651290053086</v>
      </c>
      <c r="S459" s="40">
        <f t="shared" si="199"/>
        <v>0</v>
      </c>
      <c r="T459" s="40">
        <f t="shared" si="200"/>
        <v>0</v>
      </c>
      <c r="U459" s="40">
        <f t="shared" si="201"/>
        <v>0</v>
      </c>
      <c r="V459" s="40">
        <f t="shared" si="202"/>
        <v>0</v>
      </c>
      <c r="W459" s="40">
        <f t="shared" si="203"/>
        <v>0</v>
      </c>
      <c r="X459" s="40">
        <f t="shared" si="204"/>
        <v>1</v>
      </c>
      <c r="Y459" s="40">
        <f t="shared" si="205"/>
        <v>0</v>
      </c>
      <c r="Z459" s="40">
        <f t="shared" si="206"/>
        <v>0</v>
      </c>
      <c r="AA459" s="40">
        <f t="shared" si="207"/>
        <v>0</v>
      </c>
      <c r="AB459" s="40">
        <f t="shared" si="208"/>
        <v>1</v>
      </c>
      <c r="AC459" s="40">
        <f t="shared" si="209"/>
        <v>0</v>
      </c>
      <c r="AD459" s="40">
        <f t="shared" si="210"/>
        <v>0</v>
      </c>
      <c r="AE459" s="40">
        <f t="shared" si="211"/>
        <v>0</v>
      </c>
      <c r="AF459" s="40">
        <f t="shared" si="212"/>
        <v>0</v>
      </c>
      <c r="AG459" s="40">
        <f t="shared" si="213"/>
        <v>0</v>
      </c>
      <c r="AH459" s="40">
        <f t="shared" si="214"/>
        <v>0</v>
      </c>
      <c r="AI459" s="40">
        <f t="shared" si="215"/>
        <v>0</v>
      </c>
      <c r="AJ459" s="40">
        <f t="shared" si="216"/>
        <v>1</v>
      </c>
      <c r="AK459" s="40">
        <f t="shared" si="217"/>
        <v>0</v>
      </c>
      <c r="AL459" s="40">
        <f t="shared" si="218"/>
        <v>0</v>
      </c>
      <c r="AM459" s="40">
        <f t="shared" si="219"/>
        <v>0</v>
      </c>
      <c r="AN459" s="40">
        <f t="shared" si="220"/>
        <v>0</v>
      </c>
      <c r="AO459" s="40">
        <f t="shared" si="221"/>
        <v>0</v>
      </c>
      <c r="AP459" s="40">
        <f t="shared" si="222"/>
        <v>0</v>
      </c>
      <c r="AQ459" s="40">
        <f t="shared" si="223"/>
        <v>0</v>
      </c>
      <c r="AR459" s="40">
        <f t="shared" si="224"/>
        <v>0</v>
      </c>
      <c r="AS459" s="40">
        <f t="shared" si="225"/>
        <v>0</v>
      </c>
    </row>
    <row r="460" spans="2:45" s="2" customFormat="1" ht="14.4" customHeight="1" x14ac:dyDescent="0.25">
      <c r="B460" s="56" t="s">
        <v>43</v>
      </c>
      <c r="C460" s="57" t="s">
        <v>25</v>
      </c>
      <c r="D460" s="58" t="s">
        <v>37</v>
      </c>
      <c r="E460" s="62">
        <v>2.4399999999999998E-2</v>
      </c>
      <c r="F460" s="65">
        <f t="shared" ref="F460:F523" si="226">LN(E460)</f>
        <v>-3.713172146682981</v>
      </c>
      <c r="S460" s="40">
        <f t="shared" si="199"/>
        <v>0</v>
      </c>
      <c r="T460" s="40">
        <f t="shared" si="200"/>
        <v>0</v>
      </c>
      <c r="U460" s="40">
        <f t="shared" si="201"/>
        <v>0</v>
      </c>
      <c r="V460" s="40">
        <f t="shared" si="202"/>
        <v>0</v>
      </c>
      <c r="W460" s="40">
        <f t="shared" si="203"/>
        <v>0</v>
      </c>
      <c r="X460" s="40">
        <f t="shared" si="204"/>
        <v>1</v>
      </c>
      <c r="Y460" s="40">
        <f t="shared" si="205"/>
        <v>0</v>
      </c>
      <c r="Z460" s="40">
        <f t="shared" si="206"/>
        <v>0</v>
      </c>
      <c r="AA460" s="40">
        <f t="shared" si="207"/>
        <v>0</v>
      </c>
      <c r="AB460" s="40">
        <f t="shared" si="208"/>
        <v>1</v>
      </c>
      <c r="AC460" s="40">
        <f t="shared" si="209"/>
        <v>0</v>
      </c>
      <c r="AD460" s="40">
        <f t="shared" si="210"/>
        <v>0</v>
      </c>
      <c r="AE460" s="40">
        <f t="shared" si="211"/>
        <v>0</v>
      </c>
      <c r="AF460" s="40">
        <f t="shared" si="212"/>
        <v>0</v>
      </c>
      <c r="AG460" s="40">
        <f t="shared" si="213"/>
        <v>0</v>
      </c>
      <c r="AH460" s="40">
        <f t="shared" si="214"/>
        <v>0</v>
      </c>
      <c r="AI460" s="40">
        <f t="shared" si="215"/>
        <v>0</v>
      </c>
      <c r="AJ460" s="40">
        <f t="shared" si="216"/>
        <v>0</v>
      </c>
      <c r="AK460" s="40">
        <f t="shared" si="217"/>
        <v>0</v>
      </c>
      <c r="AL460" s="40">
        <f t="shared" si="218"/>
        <v>0</v>
      </c>
      <c r="AM460" s="40">
        <f t="shared" si="219"/>
        <v>0</v>
      </c>
      <c r="AN460" s="40">
        <f t="shared" si="220"/>
        <v>0</v>
      </c>
      <c r="AO460" s="40">
        <f t="shared" si="221"/>
        <v>0</v>
      </c>
      <c r="AP460" s="40">
        <f t="shared" si="222"/>
        <v>0</v>
      </c>
      <c r="AQ460" s="40">
        <f t="shared" si="223"/>
        <v>0</v>
      </c>
      <c r="AR460" s="40">
        <f t="shared" si="224"/>
        <v>1</v>
      </c>
      <c r="AS460" s="40">
        <f t="shared" si="225"/>
        <v>0</v>
      </c>
    </row>
    <row r="461" spans="2:45" s="2" customFormat="1" ht="14.4" customHeight="1" x14ac:dyDescent="0.25">
      <c r="B461" s="56" t="s">
        <v>43</v>
      </c>
      <c r="C461" s="57" t="s">
        <v>25</v>
      </c>
      <c r="D461" s="58" t="s">
        <v>33</v>
      </c>
      <c r="E461" s="62">
        <v>1.3220000000000004E-2</v>
      </c>
      <c r="F461" s="65">
        <f t="shared" si="226"/>
        <v>-4.3260244445585965</v>
      </c>
      <c r="S461" s="40">
        <f t="shared" si="199"/>
        <v>0</v>
      </c>
      <c r="T461" s="40">
        <f t="shared" si="200"/>
        <v>0</v>
      </c>
      <c r="U461" s="40">
        <f t="shared" si="201"/>
        <v>0</v>
      </c>
      <c r="V461" s="40">
        <f t="shared" si="202"/>
        <v>0</v>
      </c>
      <c r="W461" s="40">
        <f t="shared" si="203"/>
        <v>0</v>
      </c>
      <c r="X461" s="40">
        <f t="shared" si="204"/>
        <v>1</v>
      </c>
      <c r="Y461" s="40">
        <f t="shared" si="205"/>
        <v>0</v>
      </c>
      <c r="Z461" s="40">
        <f t="shared" si="206"/>
        <v>0</v>
      </c>
      <c r="AA461" s="40">
        <f t="shared" si="207"/>
        <v>0</v>
      </c>
      <c r="AB461" s="40">
        <f t="shared" si="208"/>
        <v>1</v>
      </c>
      <c r="AC461" s="40">
        <f t="shared" si="209"/>
        <v>0</v>
      </c>
      <c r="AD461" s="40">
        <f t="shared" si="210"/>
        <v>0</v>
      </c>
      <c r="AE461" s="40">
        <f t="shared" si="211"/>
        <v>0</v>
      </c>
      <c r="AF461" s="40">
        <f t="shared" si="212"/>
        <v>0</v>
      </c>
      <c r="AG461" s="40">
        <f t="shared" si="213"/>
        <v>0</v>
      </c>
      <c r="AH461" s="40">
        <f t="shared" si="214"/>
        <v>0</v>
      </c>
      <c r="AI461" s="40">
        <f t="shared" si="215"/>
        <v>0</v>
      </c>
      <c r="AJ461" s="40">
        <f t="shared" si="216"/>
        <v>1</v>
      </c>
      <c r="AK461" s="40">
        <f t="shared" si="217"/>
        <v>0</v>
      </c>
      <c r="AL461" s="40">
        <f t="shared" si="218"/>
        <v>0</v>
      </c>
      <c r="AM461" s="40">
        <f t="shared" si="219"/>
        <v>0</v>
      </c>
      <c r="AN461" s="40">
        <f t="shared" si="220"/>
        <v>0</v>
      </c>
      <c r="AO461" s="40">
        <f t="shared" si="221"/>
        <v>0</v>
      </c>
      <c r="AP461" s="40">
        <f t="shared" si="222"/>
        <v>0</v>
      </c>
      <c r="AQ461" s="40">
        <f t="shared" si="223"/>
        <v>0</v>
      </c>
      <c r="AR461" s="40">
        <f t="shared" si="224"/>
        <v>0</v>
      </c>
      <c r="AS461" s="40">
        <f t="shared" si="225"/>
        <v>0</v>
      </c>
    </row>
    <row r="462" spans="2:45" s="2" customFormat="1" ht="14.4" customHeight="1" x14ac:dyDescent="0.25">
      <c r="B462" s="56" t="s">
        <v>43</v>
      </c>
      <c r="C462" s="57" t="s">
        <v>25</v>
      </c>
      <c r="D462" s="58" t="s">
        <v>37</v>
      </c>
      <c r="E462" s="62">
        <v>4.0640000000000009E-2</v>
      </c>
      <c r="F462" s="65">
        <f t="shared" si="226"/>
        <v>-3.2030024757119104</v>
      </c>
      <c r="S462" s="40">
        <f t="shared" si="199"/>
        <v>0</v>
      </c>
      <c r="T462" s="40">
        <f t="shared" si="200"/>
        <v>0</v>
      </c>
      <c r="U462" s="40">
        <f t="shared" si="201"/>
        <v>0</v>
      </c>
      <c r="V462" s="40">
        <f t="shared" si="202"/>
        <v>0</v>
      </c>
      <c r="W462" s="40">
        <f t="shared" si="203"/>
        <v>0</v>
      </c>
      <c r="X462" s="40">
        <f t="shared" si="204"/>
        <v>1</v>
      </c>
      <c r="Y462" s="40">
        <f t="shared" si="205"/>
        <v>0</v>
      </c>
      <c r="Z462" s="40">
        <f t="shared" si="206"/>
        <v>0</v>
      </c>
      <c r="AA462" s="40">
        <f t="shared" si="207"/>
        <v>0</v>
      </c>
      <c r="AB462" s="40">
        <f t="shared" si="208"/>
        <v>1</v>
      </c>
      <c r="AC462" s="40">
        <f t="shared" si="209"/>
        <v>0</v>
      </c>
      <c r="AD462" s="40">
        <f t="shared" si="210"/>
        <v>0</v>
      </c>
      <c r="AE462" s="40">
        <f t="shared" si="211"/>
        <v>0</v>
      </c>
      <c r="AF462" s="40">
        <f t="shared" si="212"/>
        <v>0</v>
      </c>
      <c r="AG462" s="40">
        <f t="shared" si="213"/>
        <v>0</v>
      </c>
      <c r="AH462" s="40">
        <f t="shared" si="214"/>
        <v>0</v>
      </c>
      <c r="AI462" s="40">
        <f t="shared" si="215"/>
        <v>0</v>
      </c>
      <c r="AJ462" s="40">
        <f t="shared" si="216"/>
        <v>0</v>
      </c>
      <c r="AK462" s="40">
        <f t="shared" si="217"/>
        <v>0</v>
      </c>
      <c r="AL462" s="40">
        <f t="shared" si="218"/>
        <v>0</v>
      </c>
      <c r="AM462" s="40">
        <f t="shared" si="219"/>
        <v>0</v>
      </c>
      <c r="AN462" s="40">
        <f t="shared" si="220"/>
        <v>0</v>
      </c>
      <c r="AO462" s="40">
        <f t="shared" si="221"/>
        <v>0</v>
      </c>
      <c r="AP462" s="40">
        <f t="shared" si="222"/>
        <v>0</v>
      </c>
      <c r="AQ462" s="40">
        <f t="shared" si="223"/>
        <v>0</v>
      </c>
      <c r="AR462" s="40">
        <f t="shared" si="224"/>
        <v>1</v>
      </c>
      <c r="AS462" s="40">
        <f t="shared" si="225"/>
        <v>0</v>
      </c>
    </row>
    <row r="463" spans="2:45" s="2" customFormat="1" ht="14.4" customHeight="1" x14ac:dyDescent="0.25">
      <c r="B463" s="56" t="s">
        <v>43</v>
      </c>
      <c r="C463" s="57" t="s">
        <v>25</v>
      </c>
      <c r="D463" s="58" t="s">
        <v>33</v>
      </c>
      <c r="E463" s="62">
        <v>1.3310000000000002E-2</v>
      </c>
      <c r="F463" s="65">
        <f t="shared" si="226"/>
        <v>-4.3192396465751166</v>
      </c>
      <c r="S463" s="40">
        <f t="shared" si="199"/>
        <v>0</v>
      </c>
      <c r="T463" s="40">
        <f t="shared" si="200"/>
        <v>0</v>
      </c>
      <c r="U463" s="40">
        <f t="shared" si="201"/>
        <v>0</v>
      </c>
      <c r="V463" s="40">
        <f t="shared" si="202"/>
        <v>0</v>
      </c>
      <c r="W463" s="40">
        <f t="shared" si="203"/>
        <v>0</v>
      </c>
      <c r="X463" s="40">
        <f t="shared" si="204"/>
        <v>1</v>
      </c>
      <c r="Y463" s="40">
        <f t="shared" si="205"/>
        <v>0</v>
      </c>
      <c r="Z463" s="40">
        <f t="shared" si="206"/>
        <v>0</v>
      </c>
      <c r="AA463" s="40">
        <f t="shared" si="207"/>
        <v>0</v>
      </c>
      <c r="AB463" s="40">
        <f t="shared" si="208"/>
        <v>1</v>
      </c>
      <c r="AC463" s="40">
        <f t="shared" si="209"/>
        <v>0</v>
      </c>
      <c r="AD463" s="40">
        <f t="shared" si="210"/>
        <v>0</v>
      </c>
      <c r="AE463" s="40">
        <f t="shared" si="211"/>
        <v>0</v>
      </c>
      <c r="AF463" s="40">
        <f t="shared" si="212"/>
        <v>0</v>
      </c>
      <c r="AG463" s="40">
        <f t="shared" si="213"/>
        <v>0</v>
      </c>
      <c r="AH463" s="40">
        <f t="shared" si="214"/>
        <v>0</v>
      </c>
      <c r="AI463" s="40">
        <f t="shared" si="215"/>
        <v>0</v>
      </c>
      <c r="AJ463" s="40">
        <f t="shared" si="216"/>
        <v>0</v>
      </c>
      <c r="AK463" s="40">
        <f t="shared" si="217"/>
        <v>0</v>
      </c>
      <c r="AL463" s="40">
        <f t="shared" si="218"/>
        <v>0</v>
      </c>
      <c r="AM463" s="40">
        <f t="shared" si="219"/>
        <v>0</v>
      </c>
      <c r="AN463" s="40">
        <f t="shared" si="220"/>
        <v>0</v>
      </c>
      <c r="AO463" s="40">
        <f t="shared" si="221"/>
        <v>0</v>
      </c>
      <c r="AP463" s="40">
        <f t="shared" si="222"/>
        <v>0</v>
      </c>
      <c r="AQ463" s="40">
        <f t="shared" si="223"/>
        <v>0</v>
      </c>
      <c r="AR463" s="40">
        <f t="shared" si="224"/>
        <v>1</v>
      </c>
      <c r="AS463" s="40">
        <f t="shared" si="225"/>
        <v>0</v>
      </c>
    </row>
    <row r="464" spans="2:45" s="2" customFormat="1" ht="14.4" customHeight="1" x14ac:dyDescent="0.25">
      <c r="B464" s="56" t="s">
        <v>43</v>
      </c>
      <c r="C464" s="57" t="s">
        <v>25</v>
      </c>
      <c r="D464" s="58" t="s">
        <v>33</v>
      </c>
      <c r="E464" s="62">
        <v>1.4689999999999995E-2</v>
      </c>
      <c r="F464" s="65">
        <f t="shared" si="226"/>
        <v>-4.2205882887963515</v>
      </c>
      <c r="S464" s="40">
        <f t="shared" si="199"/>
        <v>0</v>
      </c>
      <c r="T464" s="40">
        <f t="shared" si="200"/>
        <v>0</v>
      </c>
      <c r="U464" s="40">
        <f t="shared" si="201"/>
        <v>0</v>
      </c>
      <c r="V464" s="40">
        <f t="shared" si="202"/>
        <v>0</v>
      </c>
      <c r="W464" s="40">
        <f t="shared" si="203"/>
        <v>0</v>
      </c>
      <c r="X464" s="40">
        <f t="shared" si="204"/>
        <v>1</v>
      </c>
      <c r="Y464" s="40">
        <f t="shared" si="205"/>
        <v>0</v>
      </c>
      <c r="Z464" s="40">
        <f t="shared" si="206"/>
        <v>0</v>
      </c>
      <c r="AA464" s="40">
        <f t="shared" si="207"/>
        <v>0</v>
      </c>
      <c r="AB464" s="40">
        <f t="shared" si="208"/>
        <v>1</v>
      </c>
      <c r="AC464" s="40">
        <f t="shared" si="209"/>
        <v>0</v>
      </c>
      <c r="AD464" s="40">
        <f t="shared" si="210"/>
        <v>0</v>
      </c>
      <c r="AE464" s="40">
        <f t="shared" si="211"/>
        <v>0</v>
      </c>
      <c r="AF464" s="40">
        <f t="shared" si="212"/>
        <v>0</v>
      </c>
      <c r="AG464" s="40">
        <f t="shared" si="213"/>
        <v>0</v>
      </c>
      <c r="AH464" s="40">
        <f t="shared" si="214"/>
        <v>1</v>
      </c>
      <c r="AI464" s="40">
        <f t="shared" si="215"/>
        <v>0</v>
      </c>
      <c r="AJ464" s="40">
        <f t="shared" si="216"/>
        <v>0</v>
      </c>
      <c r="AK464" s="40">
        <f t="shared" si="217"/>
        <v>0</v>
      </c>
      <c r="AL464" s="40">
        <f t="shared" si="218"/>
        <v>0</v>
      </c>
      <c r="AM464" s="40">
        <f t="shared" si="219"/>
        <v>0</v>
      </c>
      <c r="AN464" s="40">
        <f t="shared" si="220"/>
        <v>0</v>
      </c>
      <c r="AO464" s="40">
        <f t="shared" si="221"/>
        <v>0</v>
      </c>
      <c r="AP464" s="40">
        <f t="shared" si="222"/>
        <v>0</v>
      </c>
      <c r="AQ464" s="40">
        <f t="shared" si="223"/>
        <v>0</v>
      </c>
      <c r="AR464" s="40">
        <f t="shared" si="224"/>
        <v>0</v>
      </c>
      <c r="AS464" s="40">
        <f t="shared" si="225"/>
        <v>0</v>
      </c>
    </row>
    <row r="465" spans="2:45" s="2" customFormat="1" ht="14.4" customHeight="1" x14ac:dyDescent="0.25">
      <c r="B465" s="56" t="s">
        <v>43</v>
      </c>
      <c r="C465" s="57" t="s">
        <v>25</v>
      </c>
      <c r="D465" s="58" t="s">
        <v>27</v>
      </c>
      <c r="E465" s="62">
        <v>2.5889999999999996E-2</v>
      </c>
      <c r="F465" s="65">
        <f t="shared" si="226"/>
        <v>-3.6538984852186909</v>
      </c>
      <c r="S465" s="40">
        <f t="shared" si="199"/>
        <v>0</v>
      </c>
      <c r="T465" s="40">
        <f t="shared" si="200"/>
        <v>0</v>
      </c>
      <c r="U465" s="40">
        <f t="shared" si="201"/>
        <v>0</v>
      </c>
      <c r="V465" s="40">
        <f t="shared" si="202"/>
        <v>0</v>
      </c>
      <c r="W465" s="40">
        <f t="shared" si="203"/>
        <v>0</v>
      </c>
      <c r="X465" s="40">
        <f t="shared" si="204"/>
        <v>1</v>
      </c>
      <c r="Y465" s="40">
        <f t="shared" si="205"/>
        <v>0</v>
      </c>
      <c r="Z465" s="40">
        <f t="shared" si="206"/>
        <v>0</v>
      </c>
      <c r="AA465" s="40">
        <f t="shared" si="207"/>
        <v>0</v>
      </c>
      <c r="AB465" s="40">
        <f t="shared" si="208"/>
        <v>1</v>
      </c>
      <c r="AC465" s="40">
        <f t="shared" si="209"/>
        <v>0</v>
      </c>
      <c r="AD465" s="40">
        <f t="shared" si="210"/>
        <v>0</v>
      </c>
      <c r="AE465" s="40">
        <f t="shared" si="211"/>
        <v>0</v>
      </c>
      <c r="AF465" s="40">
        <f t="shared" si="212"/>
        <v>0</v>
      </c>
      <c r="AG465" s="40">
        <f t="shared" si="213"/>
        <v>0</v>
      </c>
      <c r="AH465" s="40">
        <f t="shared" si="214"/>
        <v>0</v>
      </c>
      <c r="AI465" s="40">
        <f t="shared" si="215"/>
        <v>1</v>
      </c>
      <c r="AJ465" s="40">
        <f t="shared" si="216"/>
        <v>0</v>
      </c>
      <c r="AK465" s="40">
        <f t="shared" si="217"/>
        <v>0</v>
      </c>
      <c r="AL465" s="40">
        <f t="shared" si="218"/>
        <v>0</v>
      </c>
      <c r="AM465" s="40">
        <f t="shared" si="219"/>
        <v>0</v>
      </c>
      <c r="AN465" s="40">
        <f t="shared" si="220"/>
        <v>0</v>
      </c>
      <c r="AO465" s="40">
        <f t="shared" si="221"/>
        <v>0</v>
      </c>
      <c r="AP465" s="40">
        <f t="shared" si="222"/>
        <v>0</v>
      </c>
      <c r="AQ465" s="40">
        <f t="shared" si="223"/>
        <v>0</v>
      </c>
      <c r="AR465" s="40">
        <f t="shared" si="224"/>
        <v>0</v>
      </c>
      <c r="AS465" s="40">
        <f t="shared" si="225"/>
        <v>0</v>
      </c>
    </row>
    <row r="466" spans="2:45" s="2" customFormat="1" ht="14.4" customHeight="1" x14ac:dyDescent="0.25">
      <c r="B466" s="56" t="s">
        <v>43</v>
      </c>
      <c r="C466" s="57" t="s">
        <v>25</v>
      </c>
      <c r="D466" s="58" t="s">
        <v>28</v>
      </c>
      <c r="E466" s="62">
        <v>5.7259999999999998E-2</v>
      </c>
      <c r="F466" s="65">
        <f t="shared" si="226"/>
        <v>-2.8601529793121681</v>
      </c>
      <c r="S466" s="40">
        <f t="shared" si="199"/>
        <v>0</v>
      </c>
      <c r="T466" s="40">
        <f t="shared" si="200"/>
        <v>0</v>
      </c>
      <c r="U466" s="40">
        <f t="shared" si="201"/>
        <v>0</v>
      </c>
      <c r="V466" s="40">
        <f t="shared" si="202"/>
        <v>0</v>
      </c>
      <c r="W466" s="40">
        <f t="shared" si="203"/>
        <v>0</v>
      </c>
      <c r="X466" s="40">
        <f t="shared" si="204"/>
        <v>1</v>
      </c>
      <c r="Y466" s="40">
        <f t="shared" si="205"/>
        <v>0</v>
      </c>
      <c r="Z466" s="40">
        <f t="shared" si="206"/>
        <v>0</v>
      </c>
      <c r="AA466" s="40">
        <f t="shared" si="207"/>
        <v>0</v>
      </c>
      <c r="AB466" s="40">
        <f t="shared" si="208"/>
        <v>0</v>
      </c>
      <c r="AC466" s="40">
        <f t="shared" si="209"/>
        <v>0</v>
      </c>
      <c r="AD466" s="40">
        <f t="shared" si="210"/>
        <v>1</v>
      </c>
      <c r="AE466" s="40">
        <f t="shared" si="211"/>
        <v>0</v>
      </c>
      <c r="AF466" s="40">
        <f t="shared" si="212"/>
        <v>0</v>
      </c>
      <c r="AG466" s="40">
        <f t="shared" si="213"/>
        <v>0</v>
      </c>
      <c r="AH466" s="40">
        <f t="shared" si="214"/>
        <v>0</v>
      </c>
      <c r="AI466" s="40">
        <f t="shared" si="215"/>
        <v>0</v>
      </c>
      <c r="AJ466" s="40">
        <f t="shared" si="216"/>
        <v>0</v>
      </c>
      <c r="AK466" s="40">
        <f t="shared" si="217"/>
        <v>0</v>
      </c>
      <c r="AL466" s="40">
        <f t="shared" si="218"/>
        <v>1</v>
      </c>
      <c r="AM466" s="40">
        <f t="shared" si="219"/>
        <v>0</v>
      </c>
      <c r="AN466" s="40">
        <f t="shared" si="220"/>
        <v>0</v>
      </c>
      <c r="AO466" s="40">
        <f t="shared" si="221"/>
        <v>0</v>
      </c>
      <c r="AP466" s="40">
        <f t="shared" si="222"/>
        <v>0</v>
      </c>
      <c r="AQ466" s="40">
        <f t="shared" si="223"/>
        <v>0</v>
      </c>
      <c r="AR466" s="40">
        <f t="shared" si="224"/>
        <v>0</v>
      </c>
      <c r="AS466" s="40">
        <f t="shared" si="225"/>
        <v>0</v>
      </c>
    </row>
    <row r="467" spans="2:45" s="2" customFormat="1" ht="14.4" customHeight="1" x14ac:dyDescent="0.25">
      <c r="B467" s="56" t="s">
        <v>43</v>
      </c>
      <c r="C467" s="57" t="s">
        <v>21</v>
      </c>
      <c r="D467" s="58" t="s">
        <v>24</v>
      </c>
      <c r="E467" s="62">
        <v>3.9790000000000006E-2</v>
      </c>
      <c r="F467" s="65">
        <f t="shared" si="226"/>
        <v>-3.2241396545432996</v>
      </c>
      <c r="S467" s="40">
        <f t="shared" si="199"/>
        <v>0</v>
      </c>
      <c r="T467" s="40">
        <f t="shared" si="200"/>
        <v>0</v>
      </c>
      <c r="U467" s="40">
        <f t="shared" si="201"/>
        <v>0</v>
      </c>
      <c r="V467" s="40">
        <f t="shared" si="202"/>
        <v>0</v>
      </c>
      <c r="W467" s="40">
        <f t="shared" si="203"/>
        <v>0</v>
      </c>
      <c r="X467" s="40">
        <f t="shared" si="204"/>
        <v>1</v>
      </c>
      <c r="Y467" s="40">
        <f t="shared" si="205"/>
        <v>0</v>
      </c>
      <c r="Z467" s="40">
        <f t="shared" si="206"/>
        <v>0</v>
      </c>
      <c r="AA467" s="40">
        <f t="shared" si="207"/>
        <v>0</v>
      </c>
      <c r="AB467" s="40">
        <f t="shared" si="208"/>
        <v>0</v>
      </c>
      <c r="AC467" s="40">
        <f t="shared" si="209"/>
        <v>0</v>
      </c>
      <c r="AD467" s="40">
        <f t="shared" si="210"/>
        <v>1</v>
      </c>
      <c r="AE467" s="40">
        <f t="shared" si="211"/>
        <v>0</v>
      </c>
      <c r="AF467" s="40">
        <f t="shared" si="212"/>
        <v>0</v>
      </c>
      <c r="AG467" s="40">
        <f t="shared" si="213"/>
        <v>0</v>
      </c>
      <c r="AH467" s="40">
        <f t="shared" si="214"/>
        <v>0</v>
      </c>
      <c r="AI467" s="40">
        <f t="shared" si="215"/>
        <v>0</v>
      </c>
      <c r="AJ467" s="40">
        <f t="shared" si="216"/>
        <v>0</v>
      </c>
      <c r="AK467" s="40">
        <f t="shared" si="217"/>
        <v>0</v>
      </c>
      <c r="AL467" s="40">
        <f t="shared" si="218"/>
        <v>0</v>
      </c>
      <c r="AM467" s="40">
        <f t="shared" si="219"/>
        <v>1</v>
      </c>
      <c r="AN467" s="40">
        <f t="shared" si="220"/>
        <v>0</v>
      </c>
      <c r="AO467" s="40">
        <f t="shared" si="221"/>
        <v>0</v>
      </c>
      <c r="AP467" s="40">
        <f t="shared" si="222"/>
        <v>0</v>
      </c>
      <c r="AQ467" s="40">
        <f t="shared" si="223"/>
        <v>0</v>
      </c>
      <c r="AR467" s="40">
        <f t="shared" si="224"/>
        <v>0</v>
      </c>
      <c r="AS467" s="40">
        <f t="shared" si="225"/>
        <v>0</v>
      </c>
    </row>
    <row r="468" spans="2:45" s="2" customFormat="1" ht="14.4" customHeight="1" x14ac:dyDescent="0.25">
      <c r="B468" s="56" t="s">
        <v>43</v>
      </c>
      <c r="C468" s="57" t="s">
        <v>21</v>
      </c>
      <c r="D468" s="58" t="s">
        <v>35</v>
      </c>
      <c r="E468" s="62">
        <v>6.6490000000000007E-2</v>
      </c>
      <c r="F468" s="65">
        <f t="shared" si="226"/>
        <v>-2.7107037185677734</v>
      </c>
      <c r="S468" s="40">
        <f t="shared" si="199"/>
        <v>0</v>
      </c>
      <c r="T468" s="40">
        <f t="shared" si="200"/>
        <v>0</v>
      </c>
      <c r="U468" s="40">
        <f t="shared" si="201"/>
        <v>0</v>
      </c>
      <c r="V468" s="40">
        <f t="shared" si="202"/>
        <v>0</v>
      </c>
      <c r="W468" s="40">
        <f t="shared" si="203"/>
        <v>0</v>
      </c>
      <c r="X468" s="40">
        <f t="shared" si="204"/>
        <v>1</v>
      </c>
      <c r="Y468" s="40">
        <f t="shared" si="205"/>
        <v>0</v>
      </c>
      <c r="Z468" s="40">
        <f t="shared" si="206"/>
        <v>0</v>
      </c>
      <c r="AA468" s="40">
        <f t="shared" si="207"/>
        <v>0</v>
      </c>
      <c r="AB468" s="40">
        <f t="shared" si="208"/>
        <v>0</v>
      </c>
      <c r="AC468" s="40">
        <f t="shared" si="209"/>
        <v>0</v>
      </c>
      <c r="AD468" s="40">
        <f t="shared" si="210"/>
        <v>1</v>
      </c>
      <c r="AE468" s="40">
        <f t="shared" si="211"/>
        <v>0</v>
      </c>
      <c r="AF468" s="40">
        <f t="shared" si="212"/>
        <v>0</v>
      </c>
      <c r="AG468" s="40">
        <f t="shared" si="213"/>
        <v>0</v>
      </c>
      <c r="AH468" s="40">
        <f t="shared" si="214"/>
        <v>0</v>
      </c>
      <c r="AI468" s="40">
        <f t="shared" si="215"/>
        <v>0</v>
      </c>
      <c r="AJ468" s="40">
        <f t="shared" si="216"/>
        <v>0</v>
      </c>
      <c r="AK468" s="40">
        <f t="shared" si="217"/>
        <v>0</v>
      </c>
      <c r="AL468" s="40">
        <f t="shared" si="218"/>
        <v>0</v>
      </c>
      <c r="AM468" s="40">
        <f t="shared" si="219"/>
        <v>1</v>
      </c>
      <c r="AN468" s="40">
        <f t="shared" si="220"/>
        <v>0</v>
      </c>
      <c r="AO468" s="40">
        <f t="shared" si="221"/>
        <v>0</v>
      </c>
      <c r="AP468" s="40">
        <f t="shared" si="222"/>
        <v>0</v>
      </c>
      <c r="AQ468" s="40">
        <f t="shared" si="223"/>
        <v>0</v>
      </c>
      <c r="AR468" s="40">
        <f t="shared" si="224"/>
        <v>0</v>
      </c>
      <c r="AS468" s="40">
        <f t="shared" si="225"/>
        <v>0</v>
      </c>
    </row>
    <row r="469" spans="2:45" s="2" customFormat="1" ht="14.4" customHeight="1" x14ac:dyDescent="0.25">
      <c r="B469" s="56" t="s">
        <v>43</v>
      </c>
      <c r="C469" s="57" t="s">
        <v>21</v>
      </c>
      <c r="D469" s="58" t="s">
        <v>35</v>
      </c>
      <c r="E469" s="62">
        <v>1.9939999999999996E-2</v>
      </c>
      <c r="F469" s="65">
        <f t="shared" si="226"/>
        <v>-3.915027514448445</v>
      </c>
      <c r="S469" s="40">
        <f t="shared" si="199"/>
        <v>0</v>
      </c>
      <c r="T469" s="40">
        <f t="shared" si="200"/>
        <v>0</v>
      </c>
      <c r="U469" s="40">
        <f t="shared" si="201"/>
        <v>0</v>
      </c>
      <c r="V469" s="40">
        <f t="shared" si="202"/>
        <v>0</v>
      </c>
      <c r="W469" s="40">
        <f t="shared" si="203"/>
        <v>0</v>
      </c>
      <c r="X469" s="40">
        <f t="shared" si="204"/>
        <v>1</v>
      </c>
      <c r="Y469" s="40">
        <f t="shared" si="205"/>
        <v>0</v>
      </c>
      <c r="Z469" s="40">
        <f t="shared" si="206"/>
        <v>0</v>
      </c>
      <c r="AA469" s="40">
        <f t="shared" si="207"/>
        <v>0</v>
      </c>
      <c r="AB469" s="40">
        <f t="shared" si="208"/>
        <v>0</v>
      </c>
      <c r="AC469" s="40">
        <f t="shared" si="209"/>
        <v>0</v>
      </c>
      <c r="AD469" s="40">
        <f t="shared" si="210"/>
        <v>1</v>
      </c>
      <c r="AE469" s="40">
        <f t="shared" si="211"/>
        <v>0</v>
      </c>
      <c r="AF469" s="40">
        <f t="shared" si="212"/>
        <v>0</v>
      </c>
      <c r="AG469" s="40">
        <f t="shared" si="213"/>
        <v>0</v>
      </c>
      <c r="AH469" s="40">
        <f t="shared" si="214"/>
        <v>0</v>
      </c>
      <c r="AI469" s="40">
        <f t="shared" si="215"/>
        <v>0</v>
      </c>
      <c r="AJ469" s="40">
        <f t="shared" si="216"/>
        <v>0</v>
      </c>
      <c r="AK469" s="40">
        <f t="shared" si="217"/>
        <v>0</v>
      </c>
      <c r="AL469" s="40">
        <f t="shared" si="218"/>
        <v>1</v>
      </c>
      <c r="AM469" s="40">
        <f t="shared" si="219"/>
        <v>0</v>
      </c>
      <c r="AN469" s="40">
        <f t="shared" si="220"/>
        <v>0</v>
      </c>
      <c r="AO469" s="40">
        <f t="shared" si="221"/>
        <v>0</v>
      </c>
      <c r="AP469" s="40">
        <f t="shared" si="222"/>
        <v>0</v>
      </c>
      <c r="AQ469" s="40">
        <f t="shared" si="223"/>
        <v>0</v>
      </c>
      <c r="AR469" s="40">
        <f t="shared" si="224"/>
        <v>0</v>
      </c>
      <c r="AS469" s="40">
        <f t="shared" si="225"/>
        <v>0</v>
      </c>
    </row>
    <row r="470" spans="2:45" s="2" customFormat="1" ht="14.4" customHeight="1" x14ac:dyDescent="0.25">
      <c r="B470" s="56" t="s">
        <v>43</v>
      </c>
      <c r="C470" s="57" t="s">
        <v>21</v>
      </c>
      <c r="D470" s="58" t="s">
        <v>24</v>
      </c>
      <c r="E470" s="62">
        <v>4.4459999999999993E-2</v>
      </c>
      <c r="F470" s="65">
        <f t="shared" si="226"/>
        <v>-3.1131653704460867</v>
      </c>
      <c r="S470" s="40">
        <f t="shared" si="199"/>
        <v>0</v>
      </c>
      <c r="T470" s="40">
        <f t="shared" si="200"/>
        <v>0</v>
      </c>
      <c r="U470" s="40">
        <f t="shared" si="201"/>
        <v>0</v>
      </c>
      <c r="V470" s="40">
        <f t="shared" si="202"/>
        <v>0</v>
      </c>
      <c r="W470" s="40">
        <f t="shared" si="203"/>
        <v>0</v>
      </c>
      <c r="X470" s="40">
        <f t="shared" si="204"/>
        <v>1</v>
      </c>
      <c r="Y470" s="40">
        <f t="shared" si="205"/>
        <v>0</v>
      </c>
      <c r="Z470" s="40">
        <f t="shared" si="206"/>
        <v>0</v>
      </c>
      <c r="AA470" s="40">
        <f t="shared" si="207"/>
        <v>0</v>
      </c>
      <c r="AB470" s="40">
        <f t="shared" si="208"/>
        <v>0</v>
      </c>
      <c r="AC470" s="40">
        <f t="shared" si="209"/>
        <v>0</v>
      </c>
      <c r="AD470" s="40">
        <f t="shared" si="210"/>
        <v>1</v>
      </c>
      <c r="AE470" s="40">
        <f t="shared" si="211"/>
        <v>0</v>
      </c>
      <c r="AF470" s="40">
        <f t="shared" si="212"/>
        <v>0</v>
      </c>
      <c r="AG470" s="40">
        <f t="shared" si="213"/>
        <v>0</v>
      </c>
      <c r="AH470" s="40">
        <f t="shared" si="214"/>
        <v>0</v>
      </c>
      <c r="AI470" s="40">
        <f t="shared" si="215"/>
        <v>0</v>
      </c>
      <c r="AJ470" s="40">
        <f t="shared" si="216"/>
        <v>0</v>
      </c>
      <c r="AK470" s="40">
        <f t="shared" si="217"/>
        <v>0</v>
      </c>
      <c r="AL470" s="40">
        <f t="shared" si="218"/>
        <v>1</v>
      </c>
      <c r="AM470" s="40">
        <f t="shared" si="219"/>
        <v>0</v>
      </c>
      <c r="AN470" s="40">
        <f t="shared" si="220"/>
        <v>0</v>
      </c>
      <c r="AO470" s="40">
        <f t="shared" si="221"/>
        <v>0</v>
      </c>
      <c r="AP470" s="40">
        <f t="shared" si="222"/>
        <v>0</v>
      </c>
      <c r="AQ470" s="40">
        <f t="shared" si="223"/>
        <v>0</v>
      </c>
      <c r="AR470" s="40">
        <f t="shared" si="224"/>
        <v>0</v>
      </c>
      <c r="AS470" s="40">
        <f t="shared" si="225"/>
        <v>0</v>
      </c>
    </row>
    <row r="471" spans="2:45" s="2" customFormat="1" ht="14.4" customHeight="1" x14ac:dyDescent="0.25">
      <c r="B471" s="56" t="s">
        <v>43</v>
      </c>
      <c r="C471" s="57" t="s">
        <v>21</v>
      </c>
      <c r="D471" s="58" t="s">
        <v>24</v>
      </c>
      <c r="E471" s="62">
        <v>4.5260000000000009E-2</v>
      </c>
      <c r="F471" s="65">
        <f t="shared" si="226"/>
        <v>-3.0953316387767456</v>
      </c>
      <c r="S471" s="40">
        <f t="shared" si="199"/>
        <v>0</v>
      </c>
      <c r="T471" s="40">
        <f t="shared" si="200"/>
        <v>0</v>
      </c>
      <c r="U471" s="40">
        <f t="shared" si="201"/>
        <v>0</v>
      </c>
      <c r="V471" s="40">
        <f t="shared" si="202"/>
        <v>0</v>
      </c>
      <c r="W471" s="40">
        <f t="shared" si="203"/>
        <v>0</v>
      </c>
      <c r="X471" s="40">
        <f t="shared" si="204"/>
        <v>1</v>
      </c>
      <c r="Y471" s="40">
        <f t="shared" si="205"/>
        <v>0</v>
      </c>
      <c r="Z471" s="40">
        <f t="shared" si="206"/>
        <v>0</v>
      </c>
      <c r="AA471" s="40">
        <f t="shared" si="207"/>
        <v>0</v>
      </c>
      <c r="AB471" s="40">
        <f t="shared" si="208"/>
        <v>0</v>
      </c>
      <c r="AC471" s="40">
        <f t="shared" si="209"/>
        <v>0</v>
      </c>
      <c r="AD471" s="40">
        <f t="shared" si="210"/>
        <v>1</v>
      </c>
      <c r="AE471" s="40">
        <f t="shared" si="211"/>
        <v>0</v>
      </c>
      <c r="AF471" s="40">
        <f t="shared" si="212"/>
        <v>0</v>
      </c>
      <c r="AG471" s="40">
        <f t="shared" si="213"/>
        <v>0</v>
      </c>
      <c r="AH471" s="40">
        <f t="shared" si="214"/>
        <v>0</v>
      </c>
      <c r="AI471" s="40">
        <f t="shared" si="215"/>
        <v>0</v>
      </c>
      <c r="AJ471" s="40">
        <f t="shared" si="216"/>
        <v>0</v>
      </c>
      <c r="AK471" s="40">
        <f t="shared" si="217"/>
        <v>0</v>
      </c>
      <c r="AL471" s="40">
        <f t="shared" si="218"/>
        <v>1</v>
      </c>
      <c r="AM471" s="40">
        <f t="shared" si="219"/>
        <v>0</v>
      </c>
      <c r="AN471" s="40">
        <f t="shared" si="220"/>
        <v>0</v>
      </c>
      <c r="AO471" s="40">
        <f t="shared" si="221"/>
        <v>0</v>
      </c>
      <c r="AP471" s="40">
        <f t="shared" si="222"/>
        <v>0</v>
      </c>
      <c r="AQ471" s="40">
        <f t="shared" si="223"/>
        <v>0</v>
      </c>
      <c r="AR471" s="40">
        <f t="shared" si="224"/>
        <v>0</v>
      </c>
      <c r="AS471" s="40">
        <f t="shared" si="225"/>
        <v>0</v>
      </c>
    </row>
    <row r="472" spans="2:45" s="2" customFormat="1" ht="14.4" customHeight="1" x14ac:dyDescent="0.25">
      <c r="B472" s="56" t="s">
        <v>43</v>
      </c>
      <c r="C472" s="57" t="s">
        <v>21</v>
      </c>
      <c r="D472" s="58" t="s">
        <v>24</v>
      </c>
      <c r="E472" s="62">
        <v>3.9739999999999991E-2</v>
      </c>
      <c r="F472" s="65">
        <f t="shared" si="226"/>
        <v>-3.2253970418584665</v>
      </c>
      <c r="S472" s="40">
        <f t="shared" si="199"/>
        <v>0</v>
      </c>
      <c r="T472" s="40">
        <f t="shared" si="200"/>
        <v>0</v>
      </c>
      <c r="U472" s="40">
        <f t="shared" si="201"/>
        <v>0</v>
      </c>
      <c r="V472" s="40">
        <f t="shared" si="202"/>
        <v>0</v>
      </c>
      <c r="W472" s="40">
        <f t="shared" si="203"/>
        <v>0</v>
      </c>
      <c r="X472" s="40">
        <f t="shared" si="204"/>
        <v>1</v>
      </c>
      <c r="Y472" s="40">
        <f t="shared" si="205"/>
        <v>0</v>
      </c>
      <c r="Z472" s="40">
        <f t="shared" si="206"/>
        <v>0</v>
      </c>
      <c r="AA472" s="40">
        <f t="shared" si="207"/>
        <v>0</v>
      </c>
      <c r="AB472" s="40">
        <f t="shared" si="208"/>
        <v>1</v>
      </c>
      <c r="AC472" s="40">
        <f t="shared" si="209"/>
        <v>0</v>
      </c>
      <c r="AD472" s="40">
        <f t="shared" si="210"/>
        <v>0</v>
      </c>
      <c r="AE472" s="40">
        <f t="shared" si="211"/>
        <v>0</v>
      </c>
      <c r="AF472" s="40">
        <f t="shared" si="212"/>
        <v>0</v>
      </c>
      <c r="AG472" s="40">
        <f t="shared" si="213"/>
        <v>0</v>
      </c>
      <c r="AH472" s="40">
        <f t="shared" si="214"/>
        <v>0</v>
      </c>
      <c r="AI472" s="40">
        <f t="shared" si="215"/>
        <v>0</v>
      </c>
      <c r="AJ472" s="40">
        <f t="shared" si="216"/>
        <v>1</v>
      </c>
      <c r="AK472" s="40">
        <f t="shared" si="217"/>
        <v>0</v>
      </c>
      <c r="AL472" s="40">
        <f t="shared" si="218"/>
        <v>0</v>
      </c>
      <c r="AM472" s="40">
        <f t="shared" si="219"/>
        <v>0</v>
      </c>
      <c r="AN472" s="40">
        <f t="shared" si="220"/>
        <v>0</v>
      </c>
      <c r="AO472" s="40">
        <f t="shared" si="221"/>
        <v>0</v>
      </c>
      <c r="AP472" s="40">
        <f t="shared" si="222"/>
        <v>0</v>
      </c>
      <c r="AQ472" s="40">
        <f t="shared" si="223"/>
        <v>0</v>
      </c>
      <c r="AR472" s="40">
        <f t="shared" si="224"/>
        <v>0</v>
      </c>
      <c r="AS472" s="40">
        <f t="shared" si="225"/>
        <v>0</v>
      </c>
    </row>
    <row r="473" spans="2:45" s="2" customFormat="1" ht="14.4" customHeight="1" x14ac:dyDescent="0.25">
      <c r="B473" s="56" t="s">
        <v>43</v>
      </c>
      <c r="C473" s="57" t="s">
        <v>25</v>
      </c>
      <c r="D473" s="58" t="s">
        <v>37</v>
      </c>
      <c r="E473" s="62">
        <v>2.6560000000000004E-2</v>
      </c>
      <c r="F473" s="65">
        <f t="shared" si="226"/>
        <v>-3.6283489543739038</v>
      </c>
      <c r="S473" s="40">
        <f t="shared" si="199"/>
        <v>0</v>
      </c>
      <c r="T473" s="40">
        <f t="shared" si="200"/>
        <v>0</v>
      </c>
      <c r="U473" s="40">
        <f t="shared" si="201"/>
        <v>0</v>
      </c>
      <c r="V473" s="40">
        <f t="shared" si="202"/>
        <v>0</v>
      </c>
      <c r="W473" s="40">
        <f t="shared" si="203"/>
        <v>0</v>
      </c>
      <c r="X473" s="40">
        <f t="shared" si="204"/>
        <v>1</v>
      </c>
      <c r="Y473" s="40">
        <f t="shared" si="205"/>
        <v>0</v>
      </c>
      <c r="Z473" s="40">
        <f t="shared" si="206"/>
        <v>0</v>
      </c>
      <c r="AA473" s="40">
        <f t="shared" si="207"/>
        <v>0</v>
      </c>
      <c r="AB473" s="40">
        <f t="shared" si="208"/>
        <v>1</v>
      </c>
      <c r="AC473" s="40">
        <f t="shared" si="209"/>
        <v>0</v>
      </c>
      <c r="AD473" s="40">
        <f t="shared" si="210"/>
        <v>0</v>
      </c>
      <c r="AE473" s="40">
        <f t="shared" si="211"/>
        <v>0</v>
      </c>
      <c r="AF473" s="40">
        <f t="shared" si="212"/>
        <v>0</v>
      </c>
      <c r="AG473" s="40">
        <f t="shared" si="213"/>
        <v>0</v>
      </c>
      <c r="AH473" s="40">
        <f t="shared" si="214"/>
        <v>0</v>
      </c>
      <c r="AI473" s="40">
        <f t="shared" si="215"/>
        <v>0</v>
      </c>
      <c r="AJ473" s="40">
        <f t="shared" si="216"/>
        <v>1</v>
      </c>
      <c r="AK473" s="40">
        <f t="shared" si="217"/>
        <v>0</v>
      </c>
      <c r="AL473" s="40">
        <f t="shared" si="218"/>
        <v>0</v>
      </c>
      <c r="AM473" s="40">
        <f t="shared" si="219"/>
        <v>0</v>
      </c>
      <c r="AN473" s="40">
        <f t="shared" si="220"/>
        <v>0</v>
      </c>
      <c r="AO473" s="40">
        <f t="shared" si="221"/>
        <v>0</v>
      </c>
      <c r="AP473" s="40">
        <f t="shared" si="222"/>
        <v>0</v>
      </c>
      <c r="AQ473" s="40">
        <f t="shared" si="223"/>
        <v>0</v>
      </c>
      <c r="AR473" s="40">
        <f t="shared" si="224"/>
        <v>0</v>
      </c>
      <c r="AS473" s="40">
        <f t="shared" si="225"/>
        <v>0</v>
      </c>
    </row>
    <row r="474" spans="2:45" s="2" customFormat="1" ht="14.4" customHeight="1" x14ac:dyDescent="0.25">
      <c r="B474" s="56" t="s">
        <v>43</v>
      </c>
      <c r="C474" s="57" t="s">
        <v>25</v>
      </c>
      <c r="D474" s="58" t="s">
        <v>37</v>
      </c>
      <c r="E474" s="62">
        <v>2.0979999999999995E-2</v>
      </c>
      <c r="F474" s="65">
        <f t="shared" si="226"/>
        <v>-3.8641856760139861</v>
      </c>
      <c r="S474" s="40">
        <f t="shared" si="199"/>
        <v>0</v>
      </c>
      <c r="T474" s="40">
        <f t="shared" si="200"/>
        <v>0</v>
      </c>
      <c r="U474" s="40">
        <f t="shared" si="201"/>
        <v>0</v>
      </c>
      <c r="V474" s="40">
        <f t="shared" si="202"/>
        <v>0</v>
      </c>
      <c r="W474" s="40">
        <f t="shared" si="203"/>
        <v>0</v>
      </c>
      <c r="X474" s="40">
        <f t="shared" si="204"/>
        <v>1</v>
      </c>
      <c r="Y474" s="40">
        <f t="shared" si="205"/>
        <v>0</v>
      </c>
      <c r="Z474" s="40">
        <f t="shared" si="206"/>
        <v>0</v>
      </c>
      <c r="AA474" s="40">
        <f t="shared" si="207"/>
        <v>0</v>
      </c>
      <c r="AB474" s="40">
        <f t="shared" si="208"/>
        <v>0</v>
      </c>
      <c r="AC474" s="40">
        <f t="shared" si="209"/>
        <v>0</v>
      </c>
      <c r="AD474" s="40">
        <f t="shared" si="210"/>
        <v>0</v>
      </c>
      <c r="AE474" s="40">
        <f t="shared" si="211"/>
        <v>1</v>
      </c>
      <c r="AF474" s="40">
        <f t="shared" si="212"/>
        <v>0</v>
      </c>
      <c r="AG474" s="40">
        <f t="shared" si="213"/>
        <v>0</v>
      </c>
      <c r="AH474" s="40">
        <f t="shared" si="214"/>
        <v>0</v>
      </c>
      <c r="AI474" s="40">
        <f t="shared" si="215"/>
        <v>0</v>
      </c>
      <c r="AJ474" s="40">
        <f t="shared" si="216"/>
        <v>0</v>
      </c>
      <c r="AK474" s="40">
        <f t="shared" si="217"/>
        <v>1</v>
      </c>
      <c r="AL474" s="40">
        <f t="shared" si="218"/>
        <v>0</v>
      </c>
      <c r="AM474" s="40">
        <f t="shared" si="219"/>
        <v>0</v>
      </c>
      <c r="AN474" s="40">
        <f t="shared" si="220"/>
        <v>0</v>
      </c>
      <c r="AO474" s="40">
        <f t="shared" si="221"/>
        <v>0</v>
      </c>
      <c r="AP474" s="40">
        <f t="shared" si="222"/>
        <v>0</v>
      </c>
      <c r="AQ474" s="40">
        <f t="shared" si="223"/>
        <v>0</v>
      </c>
      <c r="AR474" s="40">
        <f t="shared" si="224"/>
        <v>0</v>
      </c>
      <c r="AS474" s="40">
        <f t="shared" si="225"/>
        <v>0</v>
      </c>
    </row>
    <row r="475" spans="2:45" s="2" customFormat="1" ht="14.4" customHeight="1" x14ac:dyDescent="0.25">
      <c r="B475" s="56" t="s">
        <v>43</v>
      </c>
      <c r="C475" s="57" t="s">
        <v>34</v>
      </c>
      <c r="D475" s="58" t="s">
        <v>32</v>
      </c>
      <c r="E475" s="62">
        <v>6.1919999999999989E-2</v>
      </c>
      <c r="F475" s="65">
        <f t="shared" si="226"/>
        <v>-2.7819120497006655</v>
      </c>
      <c r="S475" s="40">
        <f t="shared" si="199"/>
        <v>0</v>
      </c>
      <c r="T475" s="40">
        <f t="shared" si="200"/>
        <v>0</v>
      </c>
      <c r="U475" s="40">
        <f t="shared" si="201"/>
        <v>0</v>
      </c>
      <c r="V475" s="40">
        <f t="shared" si="202"/>
        <v>0</v>
      </c>
      <c r="W475" s="40">
        <f t="shared" si="203"/>
        <v>0</v>
      </c>
      <c r="X475" s="40">
        <f t="shared" si="204"/>
        <v>1</v>
      </c>
      <c r="Y475" s="40">
        <f t="shared" si="205"/>
        <v>0</v>
      </c>
      <c r="Z475" s="40">
        <f t="shared" si="206"/>
        <v>0</v>
      </c>
      <c r="AA475" s="40">
        <f t="shared" si="207"/>
        <v>0</v>
      </c>
      <c r="AB475" s="40">
        <f t="shared" si="208"/>
        <v>1</v>
      </c>
      <c r="AC475" s="40">
        <f t="shared" si="209"/>
        <v>0</v>
      </c>
      <c r="AD475" s="40">
        <f t="shared" si="210"/>
        <v>0</v>
      </c>
      <c r="AE475" s="40">
        <f t="shared" si="211"/>
        <v>0</v>
      </c>
      <c r="AF475" s="40">
        <f t="shared" si="212"/>
        <v>0</v>
      </c>
      <c r="AG475" s="40">
        <f t="shared" si="213"/>
        <v>0</v>
      </c>
      <c r="AH475" s="40">
        <f t="shared" si="214"/>
        <v>0</v>
      </c>
      <c r="AI475" s="40">
        <f t="shared" si="215"/>
        <v>0</v>
      </c>
      <c r="AJ475" s="40">
        <f t="shared" si="216"/>
        <v>0</v>
      </c>
      <c r="AK475" s="40">
        <f t="shared" si="217"/>
        <v>0</v>
      </c>
      <c r="AL475" s="40">
        <f t="shared" si="218"/>
        <v>1</v>
      </c>
      <c r="AM475" s="40">
        <f t="shared" si="219"/>
        <v>0</v>
      </c>
      <c r="AN475" s="40">
        <f t="shared" si="220"/>
        <v>0</v>
      </c>
      <c r="AO475" s="40">
        <f t="shared" si="221"/>
        <v>0</v>
      </c>
      <c r="AP475" s="40">
        <f t="shared" si="222"/>
        <v>0</v>
      </c>
      <c r="AQ475" s="40">
        <f t="shared" si="223"/>
        <v>0</v>
      </c>
      <c r="AR475" s="40">
        <f t="shared" si="224"/>
        <v>0</v>
      </c>
      <c r="AS475" s="40">
        <f t="shared" si="225"/>
        <v>0</v>
      </c>
    </row>
    <row r="476" spans="2:45" s="2" customFormat="1" ht="14.4" customHeight="1" x14ac:dyDescent="0.25">
      <c r="B476" s="56" t="s">
        <v>43</v>
      </c>
      <c r="C476" s="57" t="s">
        <v>25</v>
      </c>
      <c r="D476" s="58" t="s">
        <v>24</v>
      </c>
      <c r="E476" s="62">
        <v>3.16E-3</v>
      </c>
      <c r="F476" s="65">
        <f t="shared" si="226"/>
        <v>-5.7571832513833163</v>
      </c>
      <c r="S476" s="40">
        <f t="shared" si="199"/>
        <v>0</v>
      </c>
      <c r="T476" s="40">
        <f t="shared" si="200"/>
        <v>0</v>
      </c>
      <c r="U476" s="40">
        <f t="shared" si="201"/>
        <v>0</v>
      </c>
      <c r="V476" s="40">
        <f t="shared" si="202"/>
        <v>0</v>
      </c>
      <c r="W476" s="40">
        <f t="shared" si="203"/>
        <v>0</v>
      </c>
      <c r="X476" s="40">
        <f t="shared" si="204"/>
        <v>1</v>
      </c>
      <c r="Y476" s="40">
        <f t="shared" si="205"/>
        <v>0</v>
      </c>
      <c r="Z476" s="40">
        <f t="shared" si="206"/>
        <v>0</v>
      </c>
      <c r="AA476" s="40">
        <f t="shared" si="207"/>
        <v>0</v>
      </c>
      <c r="AB476" s="40">
        <f t="shared" si="208"/>
        <v>1</v>
      </c>
      <c r="AC476" s="40">
        <f t="shared" si="209"/>
        <v>0</v>
      </c>
      <c r="AD476" s="40">
        <f t="shared" si="210"/>
        <v>0</v>
      </c>
      <c r="AE476" s="40">
        <f t="shared" si="211"/>
        <v>0</v>
      </c>
      <c r="AF476" s="40">
        <f t="shared" si="212"/>
        <v>0</v>
      </c>
      <c r="AG476" s="40">
        <f t="shared" si="213"/>
        <v>0</v>
      </c>
      <c r="AH476" s="40">
        <f t="shared" si="214"/>
        <v>0</v>
      </c>
      <c r="AI476" s="40">
        <f t="shared" si="215"/>
        <v>0</v>
      </c>
      <c r="AJ476" s="40">
        <f t="shared" si="216"/>
        <v>0</v>
      </c>
      <c r="AK476" s="40">
        <f t="shared" si="217"/>
        <v>0</v>
      </c>
      <c r="AL476" s="40">
        <f t="shared" si="218"/>
        <v>1</v>
      </c>
      <c r="AM476" s="40">
        <f t="shared" si="219"/>
        <v>0</v>
      </c>
      <c r="AN476" s="40">
        <f t="shared" si="220"/>
        <v>0</v>
      </c>
      <c r="AO476" s="40">
        <f t="shared" si="221"/>
        <v>0</v>
      </c>
      <c r="AP476" s="40">
        <f t="shared" si="222"/>
        <v>0</v>
      </c>
      <c r="AQ476" s="40">
        <f t="shared" si="223"/>
        <v>0</v>
      </c>
      <c r="AR476" s="40">
        <f t="shared" si="224"/>
        <v>0</v>
      </c>
      <c r="AS476" s="40">
        <f t="shared" si="225"/>
        <v>0</v>
      </c>
    </row>
    <row r="477" spans="2:45" s="2" customFormat="1" ht="14.4" customHeight="1" x14ac:dyDescent="0.25">
      <c r="B477" s="56" t="s">
        <v>43</v>
      </c>
      <c r="C477" s="57" t="s">
        <v>25</v>
      </c>
      <c r="D477" s="58" t="s">
        <v>24</v>
      </c>
      <c r="E477" s="62">
        <v>4.0430000000000001E-2</v>
      </c>
      <c r="F477" s="65">
        <f t="shared" si="226"/>
        <v>-3.2081831953294575</v>
      </c>
      <c r="S477" s="40">
        <f t="shared" si="199"/>
        <v>0</v>
      </c>
      <c r="T477" s="40">
        <f t="shared" si="200"/>
        <v>0</v>
      </c>
      <c r="U477" s="40">
        <f t="shared" si="201"/>
        <v>0</v>
      </c>
      <c r="V477" s="40">
        <f t="shared" si="202"/>
        <v>0</v>
      </c>
      <c r="W477" s="40">
        <f t="shared" si="203"/>
        <v>0</v>
      </c>
      <c r="X477" s="40">
        <f t="shared" si="204"/>
        <v>1</v>
      </c>
      <c r="Y477" s="40">
        <f t="shared" si="205"/>
        <v>0</v>
      </c>
      <c r="Z477" s="40">
        <f t="shared" si="206"/>
        <v>0</v>
      </c>
      <c r="AA477" s="40">
        <f t="shared" si="207"/>
        <v>0</v>
      </c>
      <c r="AB477" s="40">
        <f t="shared" si="208"/>
        <v>0</v>
      </c>
      <c r="AC477" s="40">
        <f t="shared" si="209"/>
        <v>0</v>
      </c>
      <c r="AD477" s="40">
        <f t="shared" si="210"/>
        <v>0</v>
      </c>
      <c r="AE477" s="40">
        <f t="shared" si="211"/>
        <v>0</v>
      </c>
      <c r="AF477" s="40">
        <f t="shared" si="212"/>
        <v>1</v>
      </c>
      <c r="AG477" s="40">
        <f t="shared" si="213"/>
        <v>0</v>
      </c>
      <c r="AH477" s="40">
        <f t="shared" si="214"/>
        <v>0</v>
      </c>
      <c r="AI477" s="40">
        <f t="shared" si="215"/>
        <v>1</v>
      </c>
      <c r="AJ477" s="40">
        <f t="shared" si="216"/>
        <v>0</v>
      </c>
      <c r="AK477" s="40">
        <f t="shared" si="217"/>
        <v>0</v>
      </c>
      <c r="AL477" s="40">
        <f t="shared" si="218"/>
        <v>0</v>
      </c>
      <c r="AM477" s="40">
        <f t="shared" si="219"/>
        <v>0</v>
      </c>
      <c r="AN477" s="40">
        <f t="shared" si="220"/>
        <v>0</v>
      </c>
      <c r="AO477" s="40">
        <f t="shared" si="221"/>
        <v>0</v>
      </c>
      <c r="AP477" s="40">
        <f t="shared" si="222"/>
        <v>0</v>
      </c>
      <c r="AQ477" s="40">
        <f t="shared" si="223"/>
        <v>0</v>
      </c>
      <c r="AR477" s="40">
        <f t="shared" si="224"/>
        <v>0</v>
      </c>
      <c r="AS477" s="40">
        <f t="shared" si="225"/>
        <v>0</v>
      </c>
    </row>
    <row r="478" spans="2:45" s="2" customFormat="1" ht="14.4" customHeight="1" x14ac:dyDescent="0.25">
      <c r="B478" s="56" t="s">
        <v>43</v>
      </c>
      <c r="C478" s="57" t="s">
        <v>26</v>
      </c>
      <c r="D478" s="58" t="s">
        <v>28</v>
      </c>
      <c r="E478" s="62">
        <v>5.7009999999999998E-2</v>
      </c>
      <c r="F478" s="65">
        <f t="shared" si="226"/>
        <v>-2.8645285879386466</v>
      </c>
      <c r="S478" s="40">
        <f t="shared" si="199"/>
        <v>0</v>
      </c>
      <c r="T478" s="40">
        <f t="shared" si="200"/>
        <v>0</v>
      </c>
      <c r="U478" s="40">
        <f t="shared" si="201"/>
        <v>0</v>
      </c>
      <c r="V478" s="40">
        <f t="shared" si="202"/>
        <v>0</v>
      </c>
      <c r="W478" s="40">
        <f t="shared" si="203"/>
        <v>0</v>
      </c>
      <c r="X478" s="40">
        <f t="shared" si="204"/>
        <v>1</v>
      </c>
      <c r="Y478" s="40">
        <f t="shared" si="205"/>
        <v>0</v>
      </c>
      <c r="Z478" s="40">
        <f t="shared" si="206"/>
        <v>0</v>
      </c>
      <c r="AA478" s="40">
        <f t="shared" si="207"/>
        <v>0</v>
      </c>
      <c r="AB478" s="40">
        <f t="shared" si="208"/>
        <v>0</v>
      </c>
      <c r="AC478" s="40">
        <f t="shared" si="209"/>
        <v>0</v>
      </c>
      <c r="AD478" s="40">
        <f t="shared" si="210"/>
        <v>0</v>
      </c>
      <c r="AE478" s="40">
        <f t="shared" si="211"/>
        <v>0</v>
      </c>
      <c r="AF478" s="40">
        <f t="shared" si="212"/>
        <v>1</v>
      </c>
      <c r="AG478" s="40">
        <f t="shared" si="213"/>
        <v>0</v>
      </c>
      <c r="AH478" s="40">
        <f t="shared" si="214"/>
        <v>0</v>
      </c>
      <c r="AI478" s="40">
        <f t="shared" si="215"/>
        <v>1</v>
      </c>
      <c r="AJ478" s="40">
        <f t="shared" si="216"/>
        <v>0</v>
      </c>
      <c r="AK478" s="40">
        <f t="shared" si="217"/>
        <v>0</v>
      </c>
      <c r="AL478" s="40">
        <f t="shared" si="218"/>
        <v>0</v>
      </c>
      <c r="AM478" s="40">
        <f t="shared" si="219"/>
        <v>0</v>
      </c>
      <c r="AN478" s="40">
        <f t="shared" si="220"/>
        <v>0</v>
      </c>
      <c r="AO478" s="40">
        <f t="shared" si="221"/>
        <v>0</v>
      </c>
      <c r="AP478" s="40">
        <f t="shared" si="222"/>
        <v>0</v>
      </c>
      <c r="AQ478" s="40">
        <f t="shared" si="223"/>
        <v>0</v>
      </c>
      <c r="AR478" s="40">
        <f t="shared" si="224"/>
        <v>0</v>
      </c>
      <c r="AS478" s="40">
        <f t="shared" si="225"/>
        <v>0</v>
      </c>
    </row>
    <row r="479" spans="2:45" s="2" customFormat="1" ht="14.4" customHeight="1" x14ac:dyDescent="0.25">
      <c r="B479" s="56" t="s">
        <v>43</v>
      </c>
      <c r="C479" s="57" t="s">
        <v>26</v>
      </c>
      <c r="D479" s="58" t="s">
        <v>28</v>
      </c>
      <c r="E479" s="62">
        <v>4.4790000000000003E-2</v>
      </c>
      <c r="F479" s="65">
        <f t="shared" si="226"/>
        <v>-3.1057703787629283</v>
      </c>
      <c r="S479" s="40">
        <f t="shared" si="199"/>
        <v>0</v>
      </c>
      <c r="T479" s="40">
        <f t="shared" si="200"/>
        <v>0</v>
      </c>
      <c r="U479" s="40">
        <f t="shared" si="201"/>
        <v>0</v>
      </c>
      <c r="V479" s="40">
        <f t="shared" si="202"/>
        <v>0</v>
      </c>
      <c r="W479" s="40">
        <f t="shared" si="203"/>
        <v>0</v>
      </c>
      <c r="X479" s="40">
        <f t="shared" si="204"/>
        <v>1</v>
      </c>
      <c r="Y479" s="40">
        <f t="shared" si="205"/>
        <v>0</v>
      </c>
      <c r="Z479" s="40">
        <f t="shared" si="206"/>
        <v>0</v>
      </c>
      <c r="AA479" s="40">
        <f t="shared" si="207"/>
        <v>0</v>
      </c>
      <c r="AB479" s="40">
        <f t="shared" si="208"/>
        <v>0</v>
      </c>
      <c r="AC479" s="40">
        <f t="shared" si="209"/>
        <v>0</v>
      </c>
      <c r="AD479" s="40">
        <f t="shared" si="210"/>
        <v>0</v>
      </c>
      <c r="AE479" s="40">
        <f t="shared" si="211"/>
        <v>0</v>
      </c>
      <c r="AF479" s="40">
        <f t="shared" si="212"/>
        <v>1</v>
      </c>
      <c r="AG479" s="40">
        <f t="shared" si="213"/>
        <v>0</v>
      </c>
      <c r="AH479" s="40">
        <f t="shared" si="214"/>
        <v>0</v>
      </c>
      <c r="AI479" s="40">
        <f t="shared" si="215"/>
        <v>0</v>
      </c>
      <c r="AJ479" s="40">
        <f t="shared" si="216"/>
        <v>1</v>
      </c>
      <c r="AK479" s="40">
        <f t="shared" si="217"/>
        <v>0</v>
      </c>
      <c r="AL479" s="40">
        <f t="shared" si="218"/>
        <v>0</v>
      </c>
      <c r="AM479" s="40">
        <f t="shared" si="219"/>
        <v>0</v>
      </c>
      <c r="AN479" s="40">
        <f t="shared" si="220"/>
        <v>0</v>
      </c>
      <c r="AO479" s="40">
        <f t="shared" si="221"/>
        <v>0</v>
      </c>
      <c r="AP479" s="40">
        <f t="shared" si="222"/>
        <v>0</v>
      </c>
      <c r="AQ479" s="40">
        <f t="shared" si="223"/>
        <v>0</v>
      </c>
      <c r="AR479" s="40">
        <f t="shared" si="224"/>
        <v>0</v>
      </c>
      <c r="AS479" s="40">
        <f t="shared" si="225"/>
        <v>0</v>
      </c>
    </row>
    <row r="480" spans="2:45" s="2" customFormat="1" ht="14.4" customHeight="1" x14ac:dyDescent="0.25">
      <c r="B480" s="56" t="s">
        <v>43</v>
      </c>
      <c r="C480" s="57" t="s">
        <v>26</v>
      </c>
      <c r="D480" s="58" t="s">
        <v>37</v>
      </c>
      <c r="E480" s="62">
        <v>2.0709999999999996E-2</v>
      </c>
      <c r="F480" s="65">
        <f t="shared" si="226"/>
        <v>-3.8771386035746445</v>
      </c>
      <c r="S480" s="40">
        <f t="shared" si="199"/>
        <v>0</v>
      </c>
      <c r="T480" s="40">
        <f t="shared" si="200"/>
        <v>0</v>
      </c>
      <c r="U480" s="40">
        <f t="shared" si="201"/>
        <v>0</v>
      </c>
      <c r="V480" s="40">
        <f t="shared" si="202"/>
        <v>0</v>
      </c>
      <c r="W480" s="40">
        <f t="shared" si="203"/>
        <v>0</v>
      </c>
      <c r="X480" s="40">
        <f t="shared" si="204"/>
        <v>1</v>
      </c>
      <c r="Y480" s="40">
        <f t="shared" si="205"/>
        <v>0</v>
      </c>
      <c r="Z480" s="40">
        <f t="shared" si="206"/>
        <v>0</v>
      </c>
      <c r="AA480" s="40">
        <f t="shared" si="207"/>
        <v>0</v>
      </c>
      <c r="AB480" s="40">
        <f t="shared" si="208"/>
        <v>1</v>
      </c>
      <c r="AC480" s="40">
        <f t="shared" si="209"/>
        <v>0</v>
      </c>
      <c r="AD480" s="40">
        <f t="shared" si="210"/>
        <v>0</v>
      </c>
      <c r="AE480" s="40">
        <f t="shared" si="211"/>
        <v>0</v>
      </c>
      <c r="AF480" s="40">
        <f t="shared" si="212"/>
        <v>0</v>
      </c>
      <c r="AG480" s="40">
        <f t="shared" si="213"/>
        <v>0</v>
      </c>
      <c r="AH480" s="40">
        <f t="shared" si="214"/>
        <v>0</v>
      </c>
      <c r="AI480" s="40">
        <f t="shared" si="215"/>
        <v>0</v>
      </c>
      <c r="AJ480" s="40">
        <f t="shared" si="216"/>
        <v>0</v>
      </c>
      <c r="AK480" s="40">
        <f t="shared" si="217"/>
        <v>0</v>
      </c>
      <c r="AL480" s="40">
        <f t="shared" si="218"/>
        <v>0</v>
      </c>
      <c r="AM480" s="40">
        <f t="shared" si="219"/>
        <v>0</v>
      </c>
      <c r="AN480" s="40">
        <f t="shared" si="220"/>
        <v>0</v>
      </c>
      <c r="AO480" s="40">
        <f t="shared" si="221"/>
        <v>1</v>
      </c>
      <c r="AP480" s="40">
        <f t="shared" si="222"/>
        <v>0</v>
      </c>
      <c r="AQ480" s="40">
        <f t="shared" si="223"/>
        <v>0</v>
      </c>
      <c r="AR480" s="40">
        <f t="shared" si="224"/>
        <v>0</v>
      </c>
      <c r="AS480" s="40">
        <f t="shared" si="225"/>
        <v>0</v>
      </c>
    </row>
    <row r="481" spans="2:45" s="2" customFormat="1" ht="14.4" customHeight="1" x14ac:dyDescent="0.25">
      <c r="B481" s="56" t="s">
        <v>43</v>
      </c>
      <c r="C481" s="57" t="s">
        <v>25</v>
      </c>
      <c r="D481" s="58" t="s">
        <v>31</v>
      </c>
      <c r="E481" s="62">
        <v>5.9749999999999998E-2</v>
      </c>
      <c r="F481" s="65">
        <f t="shared" si="226"/>
        <v>-2.817586088170517</v>
      </c>
      <c r="S481" s="40">
        <f t="shared" si="199"/>
        <v>0</v>
      </c>
      <c r="T481" s="40">
        <f t="shared" si="200"/>
        <v>0</v>
      </c>
      <c r="U481" s="40">
        <f t="shared" si="201"/>
        <v>0</v>
      </c>
      <c r="V481" s="40">
        <f t="shared" si="202"/>
        <v>0</v>
      </c>
      <c r="W481" s="40">
        <f t="shared" si="203"/>
        <v>0</v>
      </c>
      <c r="X481" s="40">
        <f t="shared" si="204"/>
        <v>1</v>
      </c>
      <c r="Y481" s="40">
        <f t="shared" si="205"/>
        <v>0</v>
      </c>
      <c r="Z481" s="40">
        <f t="shared" si="206"/>
        <v>0</v>
      </c>
      <c r="AA481" s="40">
        <f t="shared" si="207"/>
        <v>0</v>
      </c>
      <c r="AB481" s="40">
        <f t="shared" si="208"/>
        <v>1</v>
      </c>
      <c r="AC481" s="40">
        <f t="shared" si="209"/>
        <v>0</v>
      </c>
      <c r="AD481" s="40">
        <f t="shared" si="210"/>
        <v>0</v>
      </c>
      <c r="AE481" s="40">
        <f t="shared" si="211"/>
        <v>0</v>
      </c>
      <c r="AF481" s="40">
        <f t="shared" si="212"/>
        <v>0</v>
      </c>
      <c r="AG481" s="40">
        <f t="shared" si="213"/>
        <v>0</v>
      </c>
      <c r="AH481" s="40">
        <f t="shared" si="214"/>
        <v>0</v>
      </c>
      <c r="AI481" s="40">
        <f t="shared" si="215"/>
        <v>0</v>
      </c>
      <c r="AJ481" s="40">
        <f t="shared" si="216"/>
        <v>0</v>
      </c>
      <c r="AK481" s="40">
        <f t="shared" si="217"/>
        <v>0</v>
      </c>
      <c r="AL481" s="40">
        <f t="shared" si="218"/>
        <v>0</v>
      </c>
      <c r="AM481" s="40">
        <f t="shared" si="219"/>
        <v>0</v>
      </c>
      <c r="AN481" s="40">
        <f t="shared" si="220"/>
        <v>1</v>
      </c>
      <c r="AO481" s="40">
        <f t="shared" si="221"/>
        <v>0</v>
      </c>
      <c r="AP481" s="40">
        <f t="shared" si="222"/>
        <v>0</v>
      </c>
      <c r="AQ481" s="40">
        <f t="shared" si="223"/>
        <v>0</v>
      </c>
      <c r="AR481" s="40">
        <f t="shared" si="224"/>
        <v>0</v>
      </c>
      <c r="AS481" s="40">
        <f t="shared" si="225"/>
        <v>0</v>
      </c>
    </row>
    <row r="482" spans="2:45" s="2" customFormat="1" ht="14.4" customHeight="1" x14ac:dyDescent="0.25">
      <c r="B482" s="56" t="s">
        <v>43</v>
      </c>
      <c r="C482" s="57" t="s">
        <v>25</v>
      </c>
      <c r="D482" s="58" t="s">
        <v>29</v>
      </c>
      <c r="E482" s="62">
        <v>2.3849999999999996E-2</v>
      </c>
      <c r="F482" s="65">
        <f t="shared" si="226"/>
        <v>-3.735971061647787</v>
      </c>
      <c r="S482" s="40">
        <f t="shared" si="199"/>
        <v>0</v>
      </c>
      <c r="T482" s="40">
        <f t="shared" si="200"/>
        <v>0</v>
      </c>
      <c r="U482" s="40">
        <f t="shared" si="201"/>
        <v>0</v>
      </c>
      <c r="V482" s="40">
        <f t="shared" si="202"/>
        <v>0</v>
      </c>
      <c r="W482" s="40">
        <f t="shared" si="203"/>
        <v>0</v>
      </c>
      <c r="X482" s="40">
        <f t="shared" si="204"/>
        <v>1</v>
      </c>
      <c r="Y482" s="40">
        <f t="shared" si="205"/>
        <v>0</v>
      </c>
      <c r="Z482" s="40">
        <f t="shared" si="206"/>
        <v>0</v>
      </c>
      <c r="AA482" s="40">
        <f t="shared" si="207"/>
        <v>0</v>
      </c>
      <c r="AB482" s="40">
        <f t="shared" si="208"/>
        <v>1</v>
      </c>
      <c r="AC482" s="40">
        <f t="shared" si="209"/>
        <v>0</v>
      </c>
      <c r="AD482" s="40">
        <f t="shared" si="210"/>
        <v>0</v>
      </c>
      <c r="AE482" s="40">
        <f t="shared" si="211"/>
        <v>0</v>
      </c>
      <c r="AF482" s="40">
        <f t="shared" si="212"/>
        <v>0</v>
      </c>
      <c r="AG482" s="40">
        <f t="shared" si="213"/>
        <v>0</v>
      </c>
      <c r="AH482" s="40">
        <f t="shared" si="214"/>
        <v>0</v>
      </c>
      <c r="AI482" s="40">
        <f t="shared" si="215"/>
        <v>0</v>
      </c>
      <c r="AJ482" s="40">
        <f t="shared" si="216"/>
        <v>0</v>
      </c>
      <c r="AK482" s="40">
        <f t="shared" si="217"/>
        <v>0</v>
      </c>
      <c r="AL482" s="40">
        <f t="shared" si="218"/>
        <v>0</v>
      </c>
      <c r="AM482" s="40">
        <f t="shared" si="219"/>
        <v>0</v>
      </c>
      <c r="AN482" s="40">
        <f t="shared" si="220"/>
        <v>0</v>
      </c>
      <c r="AO482" s="40">
        <f t="shared" si="221"/>
        <v>1</v>
      </c>
      <c r="AP482" s="40">
        <f t="shared" si="222"/>
        <v>0</v>
      </c>
      <c r="AQ482" s="40">
        <f t="shared" si="223"/>
        <v>0</v>
      </c>
      <c r="AR482" s="40">
        <f t="shared" si="224"/>
        <v>0</v>
      </c>
      <c r="AS482" s="40">
        <f t="shared" si="225"/>
        <v>0</v>
      </c>
    </row>
    <row r="483" spans="2:45" s="2" customFormat="1" ht="14.4" customHeight="1" x14ac:dyDescent="0.25">
      <c r="B483" s="56" t="s">
        <v>43</v>
      </c>
      <c r="C483" s="57" t="s">
        <v>25</v>
      </c>
      <c r="D483" s="58" t="s">
        <v>31</v>
      </c>
      <c r="E483" s="62">
        <v>1.8939999999999999E-2</v>
      </c>
      <c r="F483" s="65">
        <f t="shared" si="226"/>
        <v>-3.966479191224205</v>
      </c>
      <c r="S483" s="40">
        <f t="shared" si="199"/>
        <v>0</v>
      </c>
      <c r="T483" s="40">
        <f t="shared" si="200"/>
        <v>0</v>
      </c>
      <c r="U483" s="40">
        <f t="shared" si="201"/>
        <v>0</v>
      </c>
      <c r="V483" s="40">
        <f t="shared" si="202"/>
        <v>0</v>
      </c>
      <c r="W483" s="40">
        <f t="shared" si="203"/>
        <v>0</v>
      </c>
      <c r="X483" s="40">
        <f t="shared" si="204"/>
        <v>1</v>
      </c>
      <c r="Y483" s="40">
        <f t="shared" si="205"/>
        <v>0</v>
      </c>
      <c r="Z483" s="40">
        <f t="shared" si="206"/>
        <v>0</v>
      </c>
      <c r="AA483" s="40">
        <f t="shared" si="207"/>
        <v>0</v>
      </c>
      <c r="AB483" s="40">
        <f t="shared" si="208"/>
        <v>0</v>
      </c>
      <c r="AC483" s="40">
        <f t="shared" si="209"/>
        <v>0</v>
      </c>
      <c r="AD483" s="40">
        <f t="shared" si="210"/>
        <v>0</v>
      </c>
      <c r="AE483" s="40">
        <f t="shared" si="211"/>
        <v>0</v>
      </c>
      <c r="AF483" s="40">
        <f t="shared" si="212"/>
        <v>1</v>
      </c>
      <c r="AG483" s="40">
        <f t="shared" si="213"/>
        <v>0</v>
      </c>
      <c r="AH483" s="40">
        <f t="shared" si="214"/>
        <v>0</v>
      </c>
      <c r="AI483" s="40">
        <f t="shared" si="215"/>
        <v>0</v>
      </c>
      <c r="AJ483" s="40">
        <f t="shared" si="216"/>
        <v>0</v>
      </c>
      <c r="AK483" s="40">
        <f t="shared" si="217"/>
        <v>0</v>
      </c>
      <c r="AL483" s="40">
        <f t="shared" si="218"/>
        <v>0</v>
      </c>
      <c r="AM483" s="40">
        <f t="shared" si="219"/>
        <v>0</v>
      </c>
      <c r="AN483" s="40">
        <f t="shared" si="220"/>
        <v>0</v>
      </c>
      <c r="AO483" s="40">
        <f t="shared" si="221"/>
        <v>0</v>
      </c>
      <c r="AP483" s="40">
        <f t="shared" si="222"/>
        <v>1</v>
      </c>
      <c r="AQ483" s="40">
        <f t="shared" si="223"/>
        <v>0</v>
      </c>
      <c r="AR483" s="40">
        <f t="shared" si="224"/>
        <v>0</v>
      </c>
      <c r="AS483" s="40">
        <f t="shared" si="225"/>
        <v>0</v>
      </c>
    </row>
    <row r="484" spans="2:45" s="2" customFormat="1" ht="14.4" customHeight="1" x14ac:dyDescent="0.25">
      <c r="B484" s="56" t="s">
        <v>43</v>
      </c>
      <c r="C484" s="57" t="s">
        <v>26</v>
      </c>
      <c r="D484" s="58" t="s">
        <v>40</v>
      </c>
      <c r="E484" s="62">
        <v>4.0529999999999997E-2</v>
      </c>
      <c r="F484" s="65">
        <f t="shared" si="226"/>
        <v>-3.20571283834192</v>
      </c>
      <c r="S484" s="40">
        <f t="shared" si="199"/>
        <v>0</v>
      </c>
      <c r="T484" s="40">
        <f t="shared" si="200"/>
        <v>0</v>
      </c>
      <c r="U484" s="40">
        <f t="shared" si="201"/>
        <v>0</v>
      </c>
      <c r="V484" s="40">
        <f t="shared" si="202"/>
        <v>0</v>
      </c>
      <c r="W484" s="40">
        <f t="shared" si="203"/>
        <v>0</v>
      </c>
      <c r="X484" s="40">
        <f t="shared" si="204"/>
        <v>1</v>
      </c>
      <c r="Y484" s="40">
        <f t="shared" si="205"/>
        <v>0</v>
      </c>
      <c r="Z484" s="40">
        <f t="shared" si="206"/>
        <v>0</v>
      </c>
      <c r="AA484" s="40">
        <f t="shared" si="207"/>
        <v>0</v>
      </c>
      <c r="AB484" s="40">
        <f t="shared" si="208"/>
        <v>0</v>
      </c>
      <c r="AC484" s="40">
        <f t="shared" si="209"/>
        <v>0</v>
      </c>
      <c r="AD484" s="40">
        <f t="shared" si="210"/>
        <v>0</v>
      </c>
      <c r="AE484" s="40">
        <f t="shared" si="211"/>
        <v>0</v>
      </c>
      <c r="AF484" s="40">
        <f t="shared" si="212"/>
        <v>1</v>
      </c>
      <c r="AG484" s="40">
        <f t="shared" si="213"/>
        <v>0</v>
      </c>
      <c r="AH484" s="40">
        <f t="shared" si="214"/>
        <v>0</v>
      </c>
      <c r="AI484" s="40">
        <f t="shared" si="215"/>
        <v>0</v>
      </c>
      <c r="AJ484" s="40">
        <f t="shared" si="216"/>
        <v>0</v>
      </c>
      <c r="AK484" s="40">
        <f t="shared" si="217"/>
        <v>0</v>
      </c>
      <c r="AL484" s="40">
        <f t="shared" si="218"/>
        <v>0</v>
      </c>
      <c r="AM484" s="40">
        <f t="shared" si="219"/>
        <v>0</v>
      </c>
      <c r="AN484" s="40">
        <f t="shared" si="220"/>
        <v>0</v>
      </c>
      <c r="AO484" s="40">
        <f t="shared" si="221"/>
        <v>0</v>
      </c>
      <c r="AP484" s="40">
        <f t="shared" si="222"/>
        <v>1</v>
      </c>
      <c r="AQ484" s="40">
        <f t="shared" si="223"/>
        <v>0</v>
      </c>
      <c r="AR484" s="40">
        <f t="shared" si="224"/>
        <v>0</v>
      </c>
      <c r="AS484" s="40">
        <f t="shared" si="225"/>
        <v>0</v>
      </c>
    </row>
    <row r="485" spans="2:45" s="2" customFormat="1" ht="14.4" customHeight="1" x14ac:dyDescent="0.25">
      <c r="B485" s="56" t="s">
        <v>43</v>
      </c>
      <c r="C485" s="57" t="s">
        <v>26</v>
      </c>
      <c r="D485" s="58" t="s">
        <v>40</v>
      </c>
      <c r="E485" s="62">
        <v>4.5099999999999994E-2</v>
      </c>
      <c r="F485" s="65">
        <f t="shared" si="226"/>
        <v>-3.0988730324735045</v>
      </c>
      <c r="S485" s="40">
        <f t="shared" si="199"/>
        <v>0</v>
      </c>
      <c r="T485" s="40">
        <f t="shared" si="200"/>
        <v>0</v>
      </c>
      <c r="U485" s="40">
        <f t="shared" si="201"/>
        <v>0</v>
      </c>
      <c r="V485" s="40">
        <f t="shared" si="202"/>
        <v>0</v>
      </c>
      <c r="W485" s="40">
        <f t="shared" si="203"/>
        <v>0</v>
      </c>
      <c r="X485" s="40">
        <f t="shared" si="204"/>
        <v>1</v>
      </c>
      <c r="Y485" s="40">
        <f t="shared" si="205"/>
        <v>0</v>
      </c>
      <c r="Z485" s="40">
        <f t="shared" si="206"/>
        <v>0</v>
      </c>
      <c r="AA485" s="40">
        <f t="shared" si="207"/>
        <v>0</v>
      </c>
      <c r="AB485" s="40">
        <f t="shared" si="208"/>
        <v>0</v>
      </c>
      <c r="AC485" s="40">
        <f t="shared" si="209"/>
        <v>0</v>
      </c>
      <c r="AD485" s="40">
        <f t="shared" si="210"/>
        <v>0</v>
      </c>
      <c r="AE485" s="40">
        <f t="shared" si="211"/>
        <v>0</v>
      </c>
      <c r="AF485" s="40">
        <f t="shared" si="212"/>
        <v>1</v>
      </c>
      <c r="AG485" s="40">
        <f t="shared" si="213"/>
        <v>0</v>
      </c>
      <c r="AH485" s="40">
        <f t="shared" si="214"/>
        <v>0</v>
      </c>
      <c r="AI485" s="40">
        <f t="shared" si="215"/>
        <v>0</v>
      </c>
      <c r="AJ485" s="40">
        <f t="shared" si="216"/>
        <v>0</v>
      </c>
      <c r="AK485" s="40">
        <f t="shared" si="217"/>
        <v>0</v>
      </c>
      <c r="AL485" s="40">
        <f t="shared" si="218"/>
        <v>0</v>
      </c>
      <c r="AM485" s="40">
        <f t="shared" si="219"/>
        <v>0</v>
      </c>
      <c r="AN485" s="40">
        <f t="shared" si="220"/>
        <v>0</v>
      </c>
      <c r="AO485" s="40">
        <f t="shared" si="221"/>
        <v>0</v>
      </c>
      <c r="AP485" s="40">
        <f t="shared" si="222"/>
        <v>1</v>
      </c>
      <c r="AQ485" s="40">
        <f t="shared" si="223"/>
        <v>0</v>
      </c>
      <c r="AR485" s="40">
        <f t="shared" si="224"/>
        <v>0</v>
      </c>
      <c r="AS485" s="40">
        <f t="shared" si="225"/>
        <v>0</v>
      </c>
    </row>
    <row r="486" spans="2:45" ht="14.4" customHeight="1" x14ac:dyDescent="0.25">
      <c r="B486" s="56" t="s">
        <v>43</v>
      </c>
      <c r="C486" s="57" t="s">
        <v>26</v>
      </c>
      <c r="D486" s="58" t="s">
        <v>40</v>
      </c>
      <c r="E486" s="62">
        <v>2.5699999999999997E-2</v>
      </c>
      <c r="F486" s="65">
        <f t="shared" si="226"/>
        <v>-3.6612642870809631</v>
      </c>
      <c r="S486" s="40">
        <f t="shared" si="199"/>
        <v>0</v>
      </c>
      <c r="T486" s="40">
        <f t="shared" si="200"/>
        <v>0</v>
      </c>
      <c r="U486" s="40">
        <f t="shared" si="201"/>
        <v>0</v>
      </c>
      <c r="V486" s="40">
        <f t="shared" si="202"/>
        <v>0</v>
      </c>
      <c r="W486" s="40">
        <f t="shared" si="203"/>
        <v>0</v>
      </c>
      <c r="X486" s="40">
        <f t="shared" si="204"/>
        <v>1</v>
      </c>
      <c r="Y486" s="40">
        <f t="shared" si="205"/>
        <v>0</v>
      </c>
      <c r="Z486" s="40">
        <f t="shared" si="206"/>
        <v>0</v>
      </c>
      <c r="AA486" s="40">
        <f t="shared" si="207"/>
        <v>0</v>
      </c>
      <c r="AB486" s="40">
        <f t="shared" si="208"/>
        <v>0</v>
      </c>
      <c r="AC486" s="40">
        <f t="shared" si="209"/>
        <v>0</v>
      </c>
      <c r="AD486" s="40">
        <f t="shared" si="210"/>
        <v>0</v>
      </c>
      <c r="AE486" s="40">
        <f t="shared" si="211"/>
        <v>0</v>
      </c>
      <c r="AF486" s="40">
        <f t="shared" si="212"/>
        <v>1</v>
      </c>
      <c r="AG486" s="40">
        <f t="shared" si="213"/>
        <v>0</v>
      </c>
      <c r="AH486" s="40">
        <f t="shared" si="214"/>
        <v>0</v>
      </c>
      <c r="AI486" s="40">
        <f t="shared" si="215"/>
        <v>0</v>
      </c>
      <c r="AJ486" s="40">
        <f t="shared" si="216"/>
        <v>0</v>
      </c>
      <c r="AK486" s="40">
        <f t="shared" si="217"/>
        <v>0</v>
      </c>
      <c r="AL486" s="40">
        <f t="shared" si="218"/>
        <v>0</v>
      </c>
      <c r="AM486" s="40">
        <f t="shared" si="219"/>
        <v>0</v>
      </c>
      <c r="AN486" s="40">
        <f t="shared" si="220"/>
        <v>0</v>
      </c>
      <c r="AO486" s="40">
        <f t="shared" si="221"/>
        <v>0</v>
      </c>
      <c r="AP486" s="40">
        <f t="shared" si="222"/>
        <v>1</v>
      </c>
      <c r="AQ486" s="40">
        <f t="shared" si="223"/>
        <v>0</v>
      </c>
      <c r="AR486" s="40">
        <f t="shared" si="224"/>
        <v>0</v>
      </c>
      <c r="AS486" s="40">
        <f t="shared" si="225"/>
        <v>0</v>
      </c>
    </row>
    <row r="487" spans="2:45" ht="14.4" customHeight="1" x14ac:dyDescent="0.25">
      <c r="B487" s="56" t="s">
        <v>43</v>
      </c>
      <c r="C487" s="57" t="s">
        <v>26</v>
      </c>
      <c r="D487" s="58" t="s">
        <v>40</v>
      </c>
      <c r="E487" s="62">
        <v>3.8529999999999995E-2</v>
      </c>
      <c r="F487" s="65">
        <f t="shared" si="226"/>
        <v>-3.256318120344071</v>
      </c>
      <c r="S487" s="40">
        <f t="shared" si="199"/>
        <v>0</v>
      </c>
      <c r="T487" s="40">
        <f t="shared" si="200"/>
        <v>0</v>
      </c>
      <c r="U487" s="40">
        <f t="shared" si="201"/>
        <v>0</v>
      </c>
      <c r="V487" s="40">
        <f t="shared" si="202"/>
        <v>0</v>
      </c>
      <c r="W487" s="40">
        <f t="shared" si="203"/>
        <v>1</v>
      </c>
      <c r="X487" s="40">
        <f t="shared" si="204"/>
        <v>0</v>
      </c>
      <c r="Y487" s="40">
        <f t="shared" si="205"/>
        <v>0</v>
      </c>
      <c r="Z487" s="40">
        <f t="shared" si="206"/>
        <v>0</v>
      </c>
      <c r="AA487" s="40">
        <f t="shared" si="207"/>
        <v>0</v>
      </c>
      <c r="AB487" s="40">
        <f t="shared" si="208"/>
        <v>0</v>
      </c>
      <c r="AC487" s="40">
        <f t="shared" si="209"/>
        <v>0</v>
      </c>
      <c r="AD487" s="40">
        <f t="shared" si="210"/>
        <v>0</v>
      </c>
      <c r="AE487" s="40">
        <f t="shared" si="211"/>
        <v>0</v>
      </c>
      <c r="AF487" s="40">
        <f t="shared" si="212"/>
        <v>1</v>
      </c>
      <c r="AG487" s="40">
        <f t="shared" si="213"/>
        <v>0</v>
      </c>
      <c r="AH487" s="40">
        <f t="shared" si="214"/>
        <v>0</v>
      </c>
      <c r="AI487" s="40">
        <f t="shared" si="215"/>
        <v>0</v>
      </c>
      <c r="AJ487" s="40">
        <f t="shared" si="216"/>
        <v>0</v>
      </c>
      <c r="AK487" s="40">
        <f t="shared" si="217"/>
        <v>0</v>
      </c>
      <c r="AL487" s="40">
        <f t="shared" si="218"/>
        <v>0</v>
      </c>
      <c r="AM487" s="40">
        <f t="shared" si="219"/>
        <v>0</v>
      </c>
      <c r="AN487" s="40">
        <f t="shared" si="220"/>
        <v>0</v>
      </c>
      <c r="AO487" s="40">
        <f t="shared" si="221"/>
        <v>0</v>
      </c>
      <c r="AP487" s="40">
        <f t="shared" si="222"/>
        <v>0</v>
      </c>
      <c r="AQ487" s="40">
        <f t="shared" si="223"/>
        <v>1</v>
      </c>
      <c r="AR487" s="40">
        <f t="shared" si="224"/>
        <v>0</v>
      </c>
      <c r="AS487" s="40">
        <f t="shared" si="225"/>
        <v>0</v>
      </c>
    </row>
    <row r="488" spans="2:45" ht="14.4" customHeight="1" x14ac:dyDescent="0.25">
      <c r="B488" s="56" t="s">
        <v>44</v>
      </c>
      <c r="C488" s="57" t="s">
        <v>26</v>
      </c>
      <c r="D488" s="58" t="s">
        <v>30</v>
      </c>
      <c r="E488" s="62">
        <v>7.9999999999999967E-3</v>
      </c>
      <c r="F488" s="65">
        <f t="shared" si="226"/>
        <v>-4.8283137373023015</v>
      </c>
      <c r="S488" s="40">
        <f t="shared" si="199"/>
        <v>0</v>
      </c>
      <c r="T488" s="40">
        <f t="shared" si="200"/>
        <v>0</v>
      </c>
      <c r="U488" s="40">
        <f t="shared" si="201"/>
        <v>0</v>
      </c>
      <c r="V488" s="40">
        <f t="shared" si="202"/>
        <v>0</v>
      </c>
      <c r="W488" s="40">
        <f t="shared" si="203"/>
        <v>1</v>
      </c>
      <c r="X488" s="40">
        <f t="shared" si="204"/>
        <v>0</v>
      </c>
      <c r="Y488" s="40">
        <f t="shared" si="205"/>
        <v>0</v>
      </c>
      <c r="Z488" s="40">
        <f t="shared" si="206"/>
        <v>0</v>
      </c>
      <c r="AA488" s="40">
        <f t="shared" si="207"/>
        <v>0</v>
      </c>
      <c r="AB488" s="40">
        <f t="shared" si="208"/>
        <v>0</v>
      </c>
      <c r="AC488" s="40">
        <f t="shared" si="209"/>
        <v>0</v>
      </c>
      <c r="AD488" s="40">
        <f t="shared" si="210"/>
        <v>0</v>
      </c>
      <c r="AE488" s="40">
        <f t="shared" si="211"/>
        <v>0</v>
      </c>
      <c r="AF488" s="40">
        <f t="shared" si="212"/>
        <v>1</v>
      </c>
      <c r="AG488" s="40">
        <f t="shared" si="213"/>
        <v>0</v>
      </c>
      <c r="AH488" s="40">
        <f t="shared" si="214"/>
        <v>0</v>
      </c>
      <c r="AI488" s="40">
        <f t="shared" si="215"/>
        <v>0</v>
      </c>
      <c r="AJ488" s="40">
        <f t="shared" si="216"/>
        <v>0</v>
      </c>
      <c r="AK488" s="40">
        <f t="shared" si="217"/>
        <v>0</v>
      </c>
      <c r="AL488" s="40">
        <f t="shared" si="218"/>
        <v>0</v>
      </c>
      <c r="AM488" s="40">
        <f t="shared" si="219"/>
        <v>0</v>
      </c>
      <c r="AN488" s="40">
        <f t="shared" si="220"/>
        <v>0</v>
      </c>
      <c r="AO488" s="40">
        <f t="shared" si="221"/>
        <v>1</v>
      </c>
      <c r="AP488" s="40">
        <f t="shared" si="222"/>
        <v>0</v>
      </c>
      <c r="AQ488" s="40">
        <f t="shared" si="223"/>
        <v>0</v>
      </c>
      <c r="AR488" s="40">
        <f t="shared" si="224"/>
        <v>0</v>
      </c>
      <c r="AS488" s="40">
        <f t="shared" si="225"/>
        <v>0</v>
      </c>
    </row>
    <row r="489" spans="2:45" ht="14.4" customHeight="1" x14ac:dyDescent="0.25">
      <c r="B489" s="56" t="s">
        <v>44</v>
      </c>
      <c r="C489" s="57" t="s">
        <v>26</v>
      </c>
      <c r="D489" s="58" t="s">
        <v>31</v>
      </c>
      <c r="E489" s="62">
        <v>1.9879999999999995E-2</v>
      </c>
      <c r="F489" s="65">
        <f t="shared" si="226"/>
        <v>-3.9180410777537094</v>
      </c>
      <c r="S489" s="40">
        <f t="shared" si="199"/>
        <v>0</v>
      </c>
      <c r="T489" s="40">
        <f t="shared" si="200"/>
        <v>0</v>
      </c>
      <c r="U489" s="40">
        <f t="shared" si="201"/>
        <v>0</v>
      </c>
      <c r="V489" s="40">
        <f t="shared" si="202"/>
        <v>0</v>
      </c>
      <c r="W489" s="40">
        <f t="shared" si="203"/>
        <v>1</v>
      </c>
      <c r="X489" s="40">
        <f t="shared" si="204"/>
        <v>0</v>
      </c>
      <c r="Y489" s="40">
        <f t="shared" si="205"/>
        <v>0</v>
      </c>
      <c r="Z489" s="40">
        <f t="shared" si="206"/>
        <v>0</v>
      </c>
      <c r="AA489" s="40">
        <f t="shared" si="207"/>
        <v>0</v>
      </c>
      <c r="AB489" s="40">
        <f t="shared" si="208"/>
        <v>0</v>
      </c>
      <c r="AC489" s="40">
        <f t="shared" si="209"/>
        <v>0</v>
      </c>
      <c r="AD489" s="40">
        <f t="shared" si="210"/>
        <v>0</v>
      </c>
      <c r="AE489" s="40">
        <f t="shared" si="211"/>
        <v>0</v>
      </c>
      <c r="AF489" s="40">
        <f t="shared" si="212"/>
        <v>1</v>
      </c>
      <c r="AG489" s="40">
        <f t="shared" si="213"/>
        <v>0</v>
      </c>
      <c r="AH489" s="40">
        <f t="shared" si="214"/>
        <v>0</v>
      </c>
      <c r="AI489" s="40">
        <f t="shared" si="215"/>
        <v>0</v>
      </c>
      <c r="AJ489" s="40">
        <f t="shared" si="216"/>
        <v>1</v>
      </c>
      <c r="AK489" s="40">
        <f t="shared" si="217"/>
        <v>0</v>
      </c>
      <c r="AL489" s="40">
        <f t="shared" si="218"/>
        <v>0</v>
      </c>
      <c r="AM489" s="40">
        <f t="shared" si="219"/>
        <v>0</v>
      </c>
      <c r="AN489" s="40">
        <f t="shared" si="220"/>
        <v>0</v>
      </c>
      <c r="AO489" s="40">
        <f t="shared" si="221"/>
        <v>0</v>
      </c>
      <c r="AP489" s="40">
        <f t="shared" si="222"/>
        <v>0</v>
      </c>
      <c r="AQ489" s="40">
        <f t="shared" si="223"/>
        <v>0</v>
      </c>
      <c r="AR489" s="40">
        <f t="shared" si="224"/>
        <v>0</v>
      </c>
      <c r="AS489" s="40">
        <f t="shared" si="225"/>
        <v>0</v>
      </c>
    </row>
    <row r="490" spans="2:45" ht="14.4" customHeight="1" x14ac:dyDescent="0.25">
      <c r="B490" s="56" t="s">
        <v>44</v>
      </c>
      <c r="C490" s="57" t="s">
        <v>26</v>
      </c>
      <c r="D490" s="58" t="s">
        <v>37</v>
      </c>
      <c r="E490" s="62">
        <v>1.2550000000000006E-2</v>
      </c>
      <c r="F490" s="65">
        <f t="shared" si="226"/>
        <v>-4.3780346134043437</v>
      </c>
      <c r="S490" s="40">
        <f t="shared" si="199"/>
        <v>0</v>
      </c>
      <c r="T490" s="40">
        <f t="shared" si="200"/>
        <v>0</v>
      </c>
      <c r="U490" s="40">
        <f t="shared" si="201"/>
        <v>0</v>
      </c>
      <c r="V490" s="40">
        <f t="shared" si="202"/>
        <v>0</v>
      </c>
      <c r="W490" s="40">
        <f t="shared" si="203"/>
        <v>1</v>
      </c>
      <c r="X490" s="40">
        <f t="shared" si="204"/>
        <v>0</v>
      </c>
      <c r="Y490" s="40">
        <f t="shared" si="205"/>
        <v>0</v>
      </c>
      <c r="Z490" s="40">
        <f t="shared" si="206"/>
        <v>0</v>
      </c>
      <c r="AA490" s="40">
        <f t="shared" si="207"/>
        <v>0</v>
      </c>
      <c r="AB490" s="40">
        <f t="shared" si="208"/>
        <v>0</v>
      </c>
      <c r="AC490" s="40">
        <f t="shared" si="209"/>
        <v>0</v>
      </c>
      <c r="AD490" s="40">
        <f t="shared" si="210"/>
        <v>0</v>
      </c>
      <c r="AE490" s="40">
        <f t="shared" si="211"/>
        <v>0</v>
      </c>
      <c r="AF490" s="40">
        <f t="shared" si="212"/>
        <v>1</v>
      </c>
      <c r="AG490" s="40">
        <f t="shared" si="213"/>
        <v>0</v>
      </c>
      <c r="AH490" s="40">
        <f t="shared" si="214"/>
        <v>1</v>
      </c>
      <c r="AI490" s="40">
        <f t="shared" si="215"/>
        <v>0</v>
      </c>
      <c r="AJ490" s="40">
        <f t="shared" si="216"/>
        <v>0</v>
      </c>
      <c r="AK490" s="40">
        <f t="shared" si="217"/>
        <v>0</v>
      </c>
      <c r="AL490" s="40">
        <f t="shared" si="218"/>
        <v>0</v>
      </c>
      <c r="AM490" s="40">
        <f t="shared" si="219"/>
        <v>0</v>
      </c>
      <c r="AN490" s="40">
        <f t="shared" si="220"/>
        <v>0</v>
      </c>
      <c r="AO490" s="40">
        <f t="shared" si="221"/>
        <v>0</v>
      </c>
      <c r="AP490" s="40">
        <f t="shared" si="222"/>
        <v>0</v>
      </c>
      <c r="AQ490" s="40">
        <f t="shared" si="223"/>
        <v>0</v>
      </c>
      <c r="AR490" s="40">
        <f t="shared" si="224"/>
        <v>0</v>
      </c>
      <c r="AS490" s="40">
        <f t="shared" si="225"/>
        <v>0</v>
      </c>
    </row>
    <row r="491" spans="2:45" ht="14.4" customHeight="1" x14ac:dyDescent="0.25">
      <c r="B491" s="56" t="s">
        <v>44</v>
      </c>
      <c r="C491" s="57" t="s">
        <v>26</v>
      </c>
      <c r="D491" s="58" t="s">
        <v>27</v>
      </c>
      <c r="E491" s="62">
        <v>1.4850000000000002E-2</v>
      </c>
      <c r="F491" s="65">
        <f t="shared" si="226"/>
        <v>-4.2097554137334283</v>
      </c>
      <c r="S491" s="40">
        <f t="shared" si="199"/>
        <v>0</v>
      </c>
      <c r="T491" s="40">
        <f t="shared" si="200"/>
        <v>0</v>
      </c>
      <c r="U491" s="40">
        <f t="shared" si="201"/>
        <v>0</v>
      </c>
      <c r="V491" s="40">
        <f t="shared" si="202"/>
        <v>0</v>
      </c>
      <c r="W491" s="40">
        <f t="shared" si="203"/>
        <v>1</v>
      </c>
      <c r="X491" s="40">
        <f t="shared" si="204"/>
        <v>0</v>
      </c>
      <c r="Y491" s="40">
        <f t="shared" si="205"/>
        <v>0</v>
      </c>
      <c r="Z491" s="40">
        <f t="shared" si="206"/>
        <v>0</v>
      </c>
      <c r="AA491" s="40">
        <f t="shared" si="207"/>
        <v>0</v>
      </c>
      <c r="AB491" s="40">
        <f t="shared" si="208"/>
        <v>0</v>
      </c>
      <c r="AC491" s="40">
        <f t="shared" si="209"/>
        <v>0</v>
      </c>
      <c r="AD491" s="40">
        <f t="shared" si="210"/>
        <v>0</v>
      </c>
      <c r="AE491" s="40">
        <f t="shared" si="211"/>
        <v>0</v>
      </c>
      <c r="AF491" s="40">
        <f t="shared" si="212"/>
        <v>1</v>
      </c>
      <c r="AG491" s="40">
        <f t="shared" si="213"/>
        <v>0</v>
      </c>
      <c r="AH491" s="40">
        <f t="shared" si="214"/>
        <v>0</v>
      </c>
      <c r="AI491" s="40">
        <f t="shared" si="215"/>
        <v>0</v>
      </c>
      <c r="AJ491" s="40">
        <f t="shared" si="216"/>
        <v>1</v>
      </c>
      <c r="AK491" s="40">
        <f t="shared" si="217"/>
        <v>0</v>
      </c>
      <c r="AL491" s="40">
        <f t="shared" si="218"/>
        <v>0</v>
      </c>
      <c r="AM491" s="40">
        <f t="shared" si="219"/>
        <v>0</v>
      </c>
      <c r="AN491" s="40">
        <f t="shared" si="220"/>
        <v>0</v>
      </c>
      <c r="AO491" s="40">
        <f t="shared" si="221"/>
        <v>0</v>
      </c>
      <c r="AP491" s="40">
        <f t="shared" si="222"/>
        <v>0</v>
      </c>
      <c r="AQ491" s="40">
        <f t="shared" si="223"/>
        <v>0</v>
      </c>
      <c r="AR491" s="40">
        <f t="shared" si="224"/>
        <v>0</v>
      </c>
      <c r="AS491" s="40">
        <f t="shared" si="225"/>
        <v>0</v>
      </c>
    </row>
    <row r="492" spans="2:45" ht="14.4" customHeight="1" x14ac:dyDescent="0.25">
      <c r="B492" s="56" t="s">
        <v>44</v>
      </c>
      <c r="C492" s="57" t="s">
        <v>26</v>
      </c>
      <c r="D492" s="58" t="s">
        <v>37</v>
      </c>
      <c r="E492" s="62">
        <v>2.4819999999999995E-2</v>
      </c>
      <c r="F492" s="65">
        <f t="shared" si="226"/>
        <v>-3.6961054992056761</v>
      </c>
      <c r="S492" s="40">
        <f t="shared" si="199"/>
        <v>0</v>
      </c>
      <c r="T492" s="40">
        <f t="shared" si="200"/>
        <v>0</v>
      </c>
      <c r="U492" s="40">
        <f t="shared" si="201"/>
        <v>0</v>
      </c>
      <c r="V492" s="40">
        <f t="shared" si="202"/>
        <v>0</v>
      </c>
      <c r="W492" s="40">
        <f t="shared" si="203"/>
        <v>1</v>
      </c>
      <c r="X492" s="40">
        <f t="shared" si="204"/>
        <v>0</v>
      </c>
      <c r="Y492" s="40">
        <f t="shared" si="205"/>
        <v>0</v>
      </c>
      <c r="Z492" s="40">
        <f t="shared" si="206"/>
        <v>0</v>
      </c>
      <c r="AA492" s="40">
        <f t="shared" si="207"/>
        <v>0</v>
      </c>
      <c r="AB492" s="40">
        <f t="shared" si="208"/>
        <v>0</v>
      </c>
      <c r="AC492" s="40">
        <f t="shared" si="209"/>
        <v>0</v>
      </c>
      <c r="AD492" s="40">
        <f t="shared" si="210"/>
        <v>0</v>
      </c>
      <c r="AE492" s="40">
        <f t="shared" si="211"/>
        <v>0</v>
      </c>
      <c r="AF492" s="40">
        <f t="shared" si="212"/>
        <v>1</v>
      </c>
      <c r="AG492" s="40">
        <f t="shared" si="213"/>
        <v>0</v>
      </c>
      <c r="AH492" s="40">
        <f t="shared" si="214"/>
        <v>0</v>
      </c>
      <c r="AI492" s="40">
        <f t="shared" si="215"/>
        <v>0</v>
      </c>
      <c r="AJ492" s="40">
        <f t="shared" si="216"/>
        <v>1</v>
      </c>
      <c r="AK492" s="40">
        <f t="shared" si="217"/>
        <v>0</v>
      </c>
      <c r="AL492" s="40">
        <f t="shared" si="218"/>
        <v>0</v>
      </c>
      <c r="AM492" s="40">
        <f t="shared" si="219"/>
        <v>0</v>
      </c>
      <c r="AN492" s="40">
        <f t="shared" si="220"/>
        <v>0</v>
      </c>
      <c r="AO492" s="40">
        <f t="shared" si="221"/>
        <v>0</v>
      </c>
      <c r="AP492" s="40">
        <f t="shared" si="222"/>
        <v>0</v>
      </c>
      <c r="AQ492" s="40">
        <f t="shared" si="223"/>
        <v>0</v>
      </c>
      <c r="AR492" s="40">
        <f t="shared" si="224"/>
        <v>0</v>
      </c>
      <c r="AS492" s="40">
        <f t="shared" si="225"/>
        <v>0</v>
      </c>
    </row>
    <row r="493" spans="2:45" ht="14.4" customHeight="1" x14ac:dyDescent="0.25">
      <c r="B493" s="56" t="s">
        <v>44</v>
      </c>
      <c r="C493" s="57" t="s">
        <v>26</v>
      </c>
      <c r="D493" s="58" t="s">
        <v>37</v>
      </c>
      <c r="E493" s="62">
        <v>2.4410000000000001E-2</v>
      </c>
      <c r="F493" s="65">
        <f t="shared" si="226"/>
        <v>-3.7127623945772683</v>
      </c>
      <c r="S493" s="40">
        <f t="shared" si="199"/>
        <v>0</v>
      </c>
      <c r="T493" s="40">
        <f t="shared" si="200"/>
        <v>0</v>
      </c>
      <c r="U493" s="40">
        <f t="shared" si="201"/>
        <v>0</v>
      </c>
      <c r="V493" s="40">
        <f t="shared" si="202"/>
        <v>0</v>
      </c>
      <c r="W493" s="40">
        <f t="shared" si="203"/>
        <v>1</v>
      </c>
      <c r="X493" s="40">
        <f t="shared" si="204"/>
        <v>0</v>
      </c>
      <c r="Y493" s="40">
        <f t="shared" si="205"/>
        <v>0</v>
      </c>
      <c r="Z493" s="40">
        <f t="shared" si="206"/>
        <v>0</v>
      </c>
      <c r="AA493" s="40">
        <f t="shared" si="207"/>
        <v>0</v>
      </c>
      <c r="AB493" s="40">
        <f t="shared" si="208"/>
        <v>0</v>
      </c>
      <c r="AC493" s="40">
        <f t="shared" si="209"/>
        <v>0</v>
      </c>
      <c r="AD493" s="40">
        <f t="shared" si="210"/>
        <v>0</v>
      </c>
      <c r="AE493" s="40">
        <f t="shared" si="211"/>
        <v>0</v>
      </c>
      <c r="AF493" s="40">
        <f t="shared" si="212"/>
        <v>1</v>
      </c>
      <c r="AG493" s="40">
        <f t="shared" si="213"/>
        <v>0</v>
      </c>
      <c r="AH493" s="40">
        <f t="shared" si="214"/>
        <v>0</v>
      </c>
      <c r="AI493" s="40">
        <f t="shared" si="215"/>
        <v>0</v>
      </c>
      <c r="AJ493" s="40">
        <f t="shared" si="216"/>
        <v>0</v>
      </c>
      <c r="AK493" s="40">
        <f t="shared" si="217"/>
        <v>0</v>
      </c>
      <c r="AL493" s="40">
        <f t="shared" si="218"/>
        <v>0</v>
      </c>
      <c r="AM493" s="40">
        <f t="shared" si="219"/>
        <v>0</v>
      </c>
      <c r="AN493" s="40">
        <f t="shared" si="220"/>
        <v>0</v>
      </c>
      <c r="AO493" s="40">
        <f t="shared" si="221"/>
        <v>1</v>
      </c>
      <c r="AP493" s="40">
        <f t="shared" si="222"/>
        <v>0</v>
      </c>
      <c r="AQ493" s="40">
        <f t="shared" si="223"/>
        <v>0</v>
      </c>
      <c r="AR493" s="40">
        <f t="shared" si="224"/>
        <v>0</v>
      </c>
      <c r="AS493" s="40">
        <f t="shared" si="225"/>
        <v>0</v>
      </c>
    </row>
    <row r="494" spans="2:45" ht="14.4" customHeight="1" x14ac:dyDescent="0.25">
      <c r="B494" s="56" t="s">
        <v>44</v>
      </c>
      <c r="C494" s="57" t="s">
        <v>26</v>
      </c>
      <c r="D494" s="58" t="s">
        <v>31</v>
      </c>
      <c r="E494" s="62">
        <v>5.4800000000000005E-3</v>
      </c>
      <c r="F494" s="65">
        <f t="shared" si="226"/>
        <v>-5.2066501780222127</v>
      </c>
      <c r="S494" s="40">
        <f t="shared" si="199"/>
        <v>0</v>
      </c>
      <c r="T494" s="40">
        <f t="shared" si="200"/>
        <v>0</v>
      </c>
      <c r="U494" s="40">
        <f t="shared" si="201"/>
        <v>0</v>
      </c>
      <c r="V494" s="40">
        <f t="shared" si="202"/>
        <v>0</v>
      </c>
      <c r="W494" s="40">
        <f t="shared" si="203"/>
        <v>1</v>
      </c>
      <c r="X494" s="40">
        <f t="shared" si="204"/>
        <v>0</v>
      </c>
      <c r="Y494" s="40">
        <f t="shared" si="205"/>
        <v>0</v>
      </c>
      <c r="Z494" s="40">
        <f t="shared" si="206"/>
        <v>0</v>
      </c>
      <c r="AA494" s="40">
        <f t="shared" si="207"/>
        <v>0</v>
      </c>
      <c r="AB494" s="40">
        <f t="shared" si="208"/>
        <v>1</v>
      </c>
      <c r="AC494" s="40">
        <f t="shared" si="209"/>
        <v>0</v>
      </c>
      <c r="AD494" s="40">
        <f t="shared" si="210"/>
        <v>0</v>
      </c>
      <c r="AE494" s="40">
        <f t="shared" si="211"/>
        <v>0</v>
      </c>
      <c r="AF494" s="40">
        <f t="shared" si="212"/>
        <v>0</v>
      </c>
      <c r="AG494" s="40">
        <f t="shared" si="213"/>
        <v>0</v>
      </c>
      <c r="AH494" s="40">
        <f t="shared" si="214"/>
        <v>0</v>
      </c>
      <c r="AI494" s="40">
        <f t="shared" si="215"/>
        <v>0</v>
      </c>
      <c r="AJ494" s="40">
        <f t="shared" si="216"/>
        <v>0</v>
      </c>
      <c r="AK494" s="40">
        <f t="shared" si="217"/>
        <v>0</v>
      </c>
      <c r="AL494" s="40">
        <f t="shared" si="218"/>
        <v>1</v>
      </c>
      <c r="AM494" s="40">
        <f t="shared" si="219"/>
        <v>0</v>
      </c>
      <c r="AN494" s="40">
        <f t="shared" si="220"/>
        <v>0</v>
      </c>
      <c r="AO494" s="40">
        <f t="shared" si="221"/>
        <v>0</v>
      </c>
      <c r="AP494" s="40">
        <f t="shared" si="222"/>
        <v>0</v>
      </c>
      <c r="AQ494" s="40">
        <f t="shared" si="223"/>
        <v>0</v>
      </c>
      <c r="AR494" s="40">
        <f t="shared" si="224"/>
        <v>0</v>
      </c>
      <c r="AS494" s="40">
        <f t="shared" si="225"/>
        <v>0</v>
      </c>
    </row>
    <row r="495" spans="2:45" ht="14.4" customHeight="1" x14ac:dyDescent="0.25">
      <c r="B495" s="56" t="s">
        <v>44</v>
      </c>
      <c r="C495" s="57" t="s">
        <v>25</v>
      </c>
      <c r="D495" s="58" t="s">
        <v>24</v>
      </c>
      <c r="E495" s="62">
        <v>1.6020000000000006E-2</v>
      </c>
      <c r="F495" s="65">
        <f t="shared" si="226"/>
        <v>-4.1339173373419236</v>
      </c>
      <c r="S495" s="40">
        <f t="shared" si="199"/>
        <v>0</v>
      </c>
      <c r="T495" s="40">
        <f t="shared" si="200"/>
        <v>0</v>
      </c>
      <c r="U495" s="40">
        <f t="shared" si="201"/>
        <v>0</v>
      </c>
      <c r="V495" s="40">
        <f t="shared" si="202"/>
        <v>0</v>
      </c>
      <c r="W495" s="40">
        <f t="shared" si="203"/>
        <v>1</v>
      </c>
      <c r="X495" s="40">
        <f t="shared" si="204"/>
        <v>0</v>
      </c>
      <c r="Y495" s="40">
        <f t="shared" si="205"/>
        <v>0</v>
      </c>
      <c r="Z495" s="40">
        <f t="shared" si="206"/>
        <v>0</v>
      </c>
      <c r="AA495" s="40">
        <f t="shared" si="207"/>
        <v>0</v>
      </c>
      <c r="AB495" s="40">
        <f t="shared" si="208"/>
        <v>0</v>
      </c>
      <c r="AC495" s="40">
        <f t="shared" si="209"/>
        <v>0</v>
      </c>
      <c r="AD495" s="40">
        <f t="shared" si="210"/>
        <v>0</v>
      </c>
      <c r="AE495" s="40">
        <f t="shared" si="211"/>
        <v>1</v>
      </c>
      <c r="AF495" s="40">
        <f t="shared" si="212"/>
        <v>0</v>
      </c>
      <c r="AG495" s="40">
        <f t="shared" si="213"/>
        <v>0</v>
      </c>
      <c r="AH495" s="40">
        <f t="shared" si="214"/>
        <v>0</v>
      </c>
      <c r="AI495" s="40">
        <f t="shared" si="215"/>
        <v>0</v>
      </c>
      <c r="AJ495" s="40">
        <f t="shared" si="216"/>
        <v>0</v>
      </c>
      <c r="AK495" s="40">
        <f t="shared" si="217"/>
        <v>0</v>
      </c>
      <c r="AL495" s="40">
        <f t="shared" si="218"/>
        <v>0</v>
      </c>
      <c r="AM495" s="40">
        <f t="shared" si="219"/>
        <v>1</v>
      </c>
      <c r="AN495" s="40">
        <f t="shared" si="220"/>
        <v>0</v>
      </c>
      <c r="AO495" s="40">
        <f t="shared" si="221"/>
        <v>0</v>
      </c>
      <c r="AP495" s="40">
        <f t="shared" si="222"/>
        <v>0</v>
      </c>
      <c r="AQ495" s="40">
        <f t="shared" si="223"/>
        <v>0</v>
      </c>
      <c r="AR495" s="40">
        <f t="shared" si="224"/>
        <v>0</v>
      </c>
      <c r="AS495" s="40">
        <f t="shared" si="225"/>
        <v>0</v>
      </c>
    </row>
    <row r="496" spans="2:45" ht="14.4" customHeight="1" x14ac:dyDescent="0.25">
      <c r="B496" s="56" t="s">
        <v>44</v>
      </c>
      <c r="C496" s="57" t="s">
        <v>34</v>
      </c>
      <c r="D496" s="58" t="s">
        <v>35</v>
      </c>
      <c r="E496" s="62">
        <v>1.6400000000000005E-2</v>
      </c>
      <c r="F496" s="65">
        <f t="shared" si="226"/>
        <v>-4.110473944151984</v>
      </c>
      <c r="S496" s="40">
        <f t="shared" si="199"/>
        <v>0</v>
      </c>
      <c r="T496" s="40">
        <f t="shared" si="200"/>
        <v>0</v>
      </c>
      <c r="U496" s="40">
        <f t="shared" si="201"/>
        <v>0</v>
      </c>
      <c r="V496" s="40">
        <f t="shared" si="202"/>
        <v>0</v>
      </c>
      <c r="W496" s="40">
        <f t="shared" si="203"/>
        <v>1</v>
      </c>
      <c r="X496" s="40">
        <f t="shared" si="204"/>
        <v>0</v>
      </c>
      <c r="Y496" s="40">
        <f t="shared" si="205"/>
        <v>0</v>
      </c>
      <c r="Z496" s="40">
        <f t="shared" si="206"/>
        <v>0</v>
      </c>
      <c r="AA496" s="40">
        <f t="shared" si="207"/>
        <v>0</v>
      </c>
      <c r="AB496" s="40">
        <f t="shared" si="208"/>
        <v>0</v>
      </c>
      <c r="AC496" s="40">
        <f t="shared" si="209"/>
        <v>0</v>
      </c>
      <c r="AD496" s="40">
        <f t="shared" si="210"/>
        <v>0</v>
      </c>
      <c r="AE496" s="40">
        <f t="shared" si="211"/>
        <v>0</v>
      </c>
      <c r="AF496" s="40">
        <f t="shared" si="212"/>
        <v>1</v>
      </c>
      <c r="AG496" s="40">
        <f t="shared" si="213"/>
        <v>0</v>
      </c>
      <c r="AH496" s="40">
        <f t="shared" si="214"/>
        <v>0</v>
      </c>
      <c r="AI496" s="40">
        <f t="shared" si="215"/>
        <v>0</v>
      </c>
      <c r="AJ496" s="40">
        <f t="shared" si="216"/>
        <v>0</v>
      </c>
      <c r="AK496" s="40">
        <f t="shared" si="217"/>
        <v>0</v>
      </c>
      <c r="AL496" s="40">
        <f t="shared" si="218"/>
        <v>0</v>
      </c>
      <c r="AM496" s="40">
        <f t="shared" si="219"/>
        <v>0</v>
      </c>
      <c r="AN496" s="40">
        <f t="shared" si="220"/>
        <v>0</v>
      </c>
      <c r="AO496" s="40">
        <f t="shared" si="221"/>
        <v>1</v>
      </c>
      <c r="AP496" s="40">
        <f t="shared" si="222"/>
        <v>0</v>
      </c>
      <c r="AQ496" s="40">
        <f t="shared" si="223"/>
        <v>0</v>
      </c>
      <c r="AR496" s="40">
        <f t="shared" si="224"/>
        <v>0</v>
      </c>
      <c r="AS496" s="40">
        <f t="shared" si="225"/>
        <v>0</v>
      </c>
    </row>
    <row r="497" spans="2:45" ht="14.4" customHeight="1" x14ac:dyDescent="0.25">
      <c r="B497" s="56" t="s">
        <v>44</v>
      </c>
      <c r="C497" s="57" t="s">
        <v>26</v>
      </c>
      <c r="D497" s="58" t="s">
        <v>31</v>
      </c>
      <c r="E497" s="62">
        <v>2.4129999999999999E-2</v>
      </c>
      <c r="F497" s="65">
        <f t="shared" si="226"/>
        <v>-3.7242993993451967</v>
      </c>
      <c r="S497" s="40">
        <f t="shared" si="199"/>
        <v>0</v>
      </c>
      <c r="T497" s="40">
        <f t="shared" si="200"/>
        <v>0</v>
      </c>
      <c r="U497" s="40">
        <f t="shared" si="201"/>
        <v>0</v>
      </c>
      <c r="V497" s="40">
        <f t="shared" si="202"/>
        <v>0</v>
      </c>
      <c r="W497" s="40">
        <f t="shared" si="203"/>
        <v>1</v>
      </c>
      <c r="X497" s="40">
        <f t="shared" si="204"/>
        <v>0</v>
      </c>
      <c r="Y497" s="40">
        <f t="shared" si="205"/>
        <v>0</v>
      </c>
      <c r="Z497" s="40">
        <f t="shared" si="206"/>
        <v>0</v>
      </c>
      <c r="AA497" s="40">
        <f t="shared" si="207"/>
        <v>0</v>
      </c>
      <c r="AB497" s="40">
        <f t="shared" si="208"/>
        <v>0</v>
      </c>
      <c r="AC497" s="40">
        <f t="shared" si="209"/>
        <v>0</v>
      </c>
      <c r="AD497" s="40">
        <f t="shared" si="210"/>
        <v>0</v>
      </c>
      <c r="AE497" s="40">
        <f t="shared" si="211"/>
        <v>0</v>
      </c>
      <c r="AF497" s="40">
        <f t="shared" si="212"/>
        <v>1</v>
      </c>
      <c r="AG497" s="40">
        <f t="shared" si="213"/>
        <v>0</v>
      </c>
      <c r="AH497" s="40">
        <f t="shared" si="214"/>
        <v>0</v>
      </c>
      <c r="AI497" s="40">
        <f t="shared" si="215"/>
        <v>0</v>
      </c>
      <c r="AJ497" s="40">
        <f t="shared" si="216"/>
        <v>0</v>
      </c>
      <c r="AK497" s="40">
        <f t="shared" si="217"/>
        <v>0</v>
      </c>
      <c r="AL497" s="40">
        <f t="shared" si="218"/>
        <v>0</v>
      </c>
      <c r="AM497" s="40">
        <f t="shared" si="219"/>
        <v>0</v>
      </c>
      <c r="AN497" s="40">
        <f t="shared" si="220"/>
        <v>0</v>
      </c>
      <c r="AO497" s="40">
        <f t="shared" si="221"/>
        <v>0</v>
      </c>
      <c r="AP497" s="40">
        <f t="shared" si="222"/>
        <v>0</v>
      </c>
      <c r="AQ497" s="40">
        <f t="shared" si="223"/>
        <v>0</v>
      </c>
      <c r="AR497" s="40">
        <f t="shared" si="224"/>
        <v>0</v>
      </c>
      <c r="AS497" s="40">
        <f t="shared" si="225"/>
        <v>1</v>
      </c>
    </row>
    <row r="498" spans="2:45" ht="14.4" customHeight="1" x14ac:dyDescent="0.25">
      <c r="B498" s="56" t="s">
        <v>44</v>
      </c>
      <c r="C498" s="57" t="s">
        <v>26</v>
      </c>
      <c r="D498" s="58" t="s">
        <v>22</v>
      </c>
      <c r="E498" s="62">
        <v>8.2499999999999969E-3</v>
      </c>
      <c r="F498" s="65">
        <f t="shared" si="226"/>
        <v>-4.7975420786355478</v>
      </c>
      <c r="S498" s="40">
        <f t="shared" si="199"/>
        <v>0</v>
      </c>
      <c r="T498" s="40">
        <f t="shared" si="200"/>
        <v>0</v>
      </c>
      <c r="U498" s="40">
        <f t="shared" si="201"/>
        <v>0</v>
      </c>
      <c r="V498" s="40">
        <f t="shared" si="202"/>
        <v>0</v>
      </c>
      <c r="W498" s="40">
        <f t="shared" si="203"/>
        <v>1</v>
      </c>
      <c r="X498" s="40">
        <f t="shared" si="204"/>
        <v>0</v>
      </c>
      <c r="Y498" s="40">
        <f t="shared" si="205"/>
        <v>0</v>
      </c>
      <c r="Z498" s="40">
        <f t="shared" si="206"/>
        <v>0</v>
      </c>
      <c r="AA498" s="40">
        <f t="shared" si="207"/>
        <v>0</v>
      </c>
      <c r="AB498" s="40">
        <f t="shared" si="208"/>
        <v>0</v>
      </c>
      <c r="AC498" s="40">
        <f t="shared" si="209"/>
        <v>0</v>
      </c>
      <c r="AD498" s="40">
        <f t="shared" si="210"/>
        <v>0</v>
      </c>
      <c r="AE498" s="40">
        <f t="shared" si="211"/>
        <v>0</v>
      </c>
      <c r="AF498" s="40">
        <f t="shared" si="212"/>
        <v>1</v>
      </c>
      <c r="AG498" s="40">
        <f t="shared" si="213"/>
        <v>0</v>
      </c>
      <c r="AH498" s="40">
        <f t="shared" si="214"/>
        <v>0</v>
      </c>
      <c r="AI498" s="40">
        <f t="shared" si="215"/>
        <v>0</v>
      </c>
      <c r="AJ498" s="40">
        <f t="shared" si="216"/>
        <v>0</v>
      </c>
      <c r="AK498" s="40">
        <f t="shared" si="217"/>
        <v>0</v>
      </c>
      <c r="AL498" s="40">
        <f t="shared" si="218"/>
        <v>1</v>
      </c>
      <c r="AM498" s="40">
        <f t="shared" si="219"/>
        <v>0</v>
      </c>
      <c r="AN498" s="40">
        <f t="shared" si="220"/>
        <v>0</v>
      </c>
      <c r="AO498" s="40">
        <f t="shared" si="221"/>
        <v>0</v>
      </c>
      <c r="AP498" s="40">
        <f t="shared" si="222"/>
        <v>0</v>
      </c>
      <c r="AQ498" s="40">
        <f t="shared" si="223"/>
        <v>0</v>
      </c>
      <c r="AR498" s="40">
        <f t="shared" si="224"/>
        <v>0</v>
      </c>
      <c r="AS498" s="40">
        <f t="shared" si="225"/>
        <v>0</v>
      </c>
    </row>
    <row r="499" spans="2:45" ht="14.4" customHeight="1" x14ac:dyDescent="0.25">
      <c r="B499" s="56" t="s">
        <v>44</v>
      </c>
      <c r="C499" s="57" t="s">
        <v>26</v>
      </c>
      <c r="D499" s="58" t="s">
        <v>24</v>
      </c>
      <c r="E499" s="62">
        <v>1.1339999999999994E-2</v>
      </c>
      <c r="F499" s="65">
        <f t="shared" si="226"/>
        <v>-4.4794189806825315</v>
      </c>
      <c r="S499" s="40">
        <f t="shared" si="199"/>
        <v>0</v>
      </c>
      <c r="T499" s="40">
        <f t="shared" si="200"/>
        <v>0</v>
      </c>
      <c r="U499" s="40">
        <f t="shared" si="201"/>
        <v>0</v>
      </c>
      <c r="V499" s="40">
        <f t="shared" si="202"/>
        <v>0</v>
      </c>
      <c r="W499" s="40">
        <f t="shared" si="203"/>
        <v>1</v>
      </c>
      <c r="X499" s="40">
        <f t="shared" si="204"/>
        <v>0</v>
      </c>
      <c r="Y499" s="40">
        <f t="shared" si="205"/>
        <v>0</v>
      </c>
      <c r="Z499" s="40">
        <f t="shared" si="206"/>
        <v>0</v>
      </c>
      <c r="AA499" s="40">
        <f t="shared" si="207"/>
        <v>0</v>
      </c>
      <c r="AB499" s="40">
        <f t="shared" si="208"/>
        <v>0</v>
      </c>
      <c r="AC499" s="40">
        <f t="shared" si="209"/>
        <v>0</v>
      </c>
      <c r="AD499" s="40">
        <f t="shared" si="210"/>
        <v>0</v>
      </c>
      <c r="AE499" s="40">
        <f t="shared" si="211"/>
        <v>0</v>
      </c>
      <c r="AF499" s="40">
        <f t="shared" si="212"/>
        <v>1</v>
      </c>
      <c r="AG499" s="40">
        <f t="shared" si="213"/>
        <v>0</v>
      </c>
      <c r="AH499" s="40">
        <f t="shared" si="214"/>
        <v>0</v>
      </c>
      <c r="AI499" s="40">
        <f t="shared" si="215"/>
        <v>0</v>
      </c>
      <c r="AJ499" s="40">
        <f t="shared" si="216"/>
        <v>0</v>
      </c>
      <c r="AK499" s="40">
        <f t="shared" si="217"/>
        <v>0</v>
      </c>
      <c r="AL499" s="40">
        <f t="shared" si="218"/>
        <v>0</v>
      </c>
      <c r="AM499" s="40">
        <f t="shared" si="219"/>
        <v>0</v>
      </c>
      <c r="AN499" s="40">
        <f t="shared" si="220"/>
        <v>0</v>
      </c>
      <c r="AO499" s="40">
        <f t="shared" si="221"/>
        <v>0</v>
      </c>
      <c r="AP499" s="40">
        <f t="shared" si="222"/>
        <v>0</v>
      </c>
      <c r="AQ499" s="40">
        <f t="shared" si="223"/>
        <v>1</v>
      </c>
      <c r="AR499" s="40">
        <f t="shared" si="224"/>
        <v>0</v>
      </c>
      <c r="AS499" s="40">
        <f t="shared" si="225"/>
        <v>0</v>
      </c>
    </row>
    <row r="500" spans="2:45" ht="14.4" customHeight="1" x14ac:dyDescent="0.25">
      <c r="B500" s="56" t="s">
        <v>44</v>
      </c>
      <c r="C500" s="57" t="s">
        <v>26</v>
      </c>
      <c r="D500" s="58" t="s">
        <v>30</v>
      </c>
      <c r="E500" s="62">
        <v>1.6229999999999994E-2</v>
      </c>
      <c r="F500" s="65">
        <f t="shared" si="226"/>
        <v>-4.1208938974556375</v>
      </c>
      <c r="S500" s="40">
        <f t="shared" si="199"/>
        <v>0</v>
      </c>
      <c r="T500" s="40">
        <f t="shared" si="200"/>
        <v>0</v>
      </c>
      <c r="U500" s="40">
        <f t="shared" si="201"/>
        <v>0</v>
      </c>
      <c r="V500" s="40">
        <f t="shared" si="202"/>
        <v>0</v>
      </c>
      <c r="W500" s="40">
        <f t="shared" si="203"/>
        <v>1</v>
      </c>
      <c r="X500" s="40">
        <f t="shared" si="204"/>
        <v>0</v>
      </c>
      <c r="Y500" s="40">
        <f t="shared" si="205"/>
        <v>0</v>
      </c>
      <c r="Z500" s="40">
        <f t="shared" si="206"/>
        <v>0</v>
      </c>
      <c r="AA500" s="40">
        <f t="shared" si="207"/>
        <v>0</v>
      </c>
      <c r="AB500" s="40">
        <f t="shared" si="208"/>
        <v>0</v>
      </c>
      <c r="AC500" s="40">
        <f t="shared" si="209"/>
        <v>0</v>
      </c>
      <c r="AD500" s="40">
        <f t="shared" si="210"/>
        <v>0</v>
      </c>
      <c r="AE500" s="40">
        <f t="shared" si="211"/>
        <v>0</v>
      </c>
      <c r="AF500" s="40">
        <f t="shared" si="212"/>
        <v>1</v>
      </c>
      <c r="AG500" s="40">
        <f t="shared" si="213"/>
        <v>0</v>
      </c>
      <c r="AH500" s="40">
        <f t="shared" si="214"/>
        <v>1</v>
      </c>
      <c r="AI500" s="40">
        <f t="shared" si="215"/>
        <v>0</v>
      </c>
      <c r="AJ500" s="40">
        <f t="shared" si="216"/>
        <v>0</v>
      </c>
      <c r="AK500" s="40">
        <f t="shared" si="217"/>
        <v>0</v>
      </c>
      <c r="AL500" s="40">
        <f t="shared" si="218"/>
        <v>0</v>
      </c>
      <c r="AM500" s="40">
        <f t="shared" si="219"/>
        <v>0</v>
      </c>
      <c r="AN500" s="40">
        <f t="shared" si="220"/>
        <v>0</v>
      </c>
      <c r="AO500" s="40">
        <f t="shared" si="221"/>
        <v>0</v>
      </c>
      <c r="AP500" s="40">
        <f t="shared" si="222"/>
        <v>0</v>
      </c>
      <c r="AQ500" s="40">
        <f t="shared" si="223"/>
        <v>0</v>
      </c>
      <c r="AR500" s="40">
        <f t="shared" si="224"/>
        <v>0</v>
      </c>
      <c r="AS500" s="40">
        <f t="shared" si="225"/>
        <v>0</v>
      </c>
    </row>
    <row r="501" spans="2:45" ht="14.4" customHeight="1" x14ac:dyDescent="0.25">
      <c r="B501" s="56" t="s">
        <v>44</v>
      </c>
      <c r="C501" s="57" t="s">
        <v>26</v>
      </c>
      <c r="D501" s="58" t="s">
        <v>27</v>
      </c>
      <c r="E501" s="62">
        <v>6.1700000000000001E-3</v>
      </c>
      <c r="F501" s="65">
        <f t="shared" si="226"/>
        <v>-5.0880564410648406</v>
      </c>
      <c r="S501" s="40">
        <f t="shared" si="199"/>
        <v>0</v>
      </c>
      <c r="T501" s="40">
        <f t="shared" si="200"/>
        <v>0</v>
      </c>
      <c r="U501" s="40">
        <f t="shared" si="201"/>
        <v>0</v>
      </c>
      <c r="V501" s="40">
        <f t="shared" si="202"/>
        <v>0</v>
      </c>
      <c r="W501" s="40">
        <f t="shared" si="203"/>
        <v>1</v>
      </c>
      <c r="X501" s="40">
        <f t="shared" si="204"/>
        <v>0</v>
      </c>
      <c r="Y501" s="40">
        <f t="shared" si="205"/>
        <v>0</v>
      </c>
      <c r="Z501" s="40">
        <f t="shared" si="206"/>
        <v>0</v>
      </c>
      <c r="AA501" s="40">
        <f t="shared" si="207"/>
        <v>0</v>
      </c>
      <c r="AB501" s="40">
        <f t="shared" si="208"/>
        <v>0</v>
      </c>
      <c r="AC501" s="40">
        <f t="shared" si="209"/>
        <v>0</v>
      </c>
      <c r="AD501" s="40">
        <f t="shared" si="210"/>
        <v>0</v>
      </c>
      <c r="AE501" s="40">
        <f t="shared" si="211"/>
        <v>0</v>
      </c>
      <c r="AF501" s="40">
        <f t="shared" si="212"/>
        <v>1</v>
      </c>
      <c r="AG501" s="40">
        <f t="shared" si="213"/>
        <v>0</v>
      </c>
      <c r="AH501" s="40">
        <f t="shared" si="214"/>
        <v>0</v>
      </c>
      <c r="AI501" s="40">
        <f t="shared" si="215"/>
        <v>0</v>
      </c>
      <c r="AJ501" s="40">
        <f t="shared" si="216"/>
        <v>1</v>
      </c>
      <c r="AK501" s="40">
        <f t="shared" si="217"/>
        <v>0</v>
      </c>
      <c r="AL501" s="40">
        <f t="shared" si="218"/>
        <v>0</v>
      </c>
      <c r="AM501" s="40">
        <f t="shared" si="219"/>
        <v>0</v>
      </c>
      <c r="AN501" s="40">
        <f t="shared" si="220"/>
        <v>0</v>
      </c>
      <c r="AO501" s="40">
        <f t="shared" si="221"/>
        <v>0</v>
      </c>
      <c r="AP501" s="40">
        <f t="shared" si="222"/>
        <v>0</v>
      </c>
      <c r="AQ501" s="40">
        <f t="shared" si="223"/>
        <v>0</v>
      </c>
      <c r="AR501" s="40">
        <f t="shared" si="224"/>
        <v>0</v>
      </c>
      <c r="AS501" s="40">
        <f t="shared" si="225"/>
        <v>0</v>
      </c>
    </row>
    <row r="502" spans="2:45" ht="14.4" customHeight="1" x14ac:dyDescent="0.25">
      <c r="B502" s="56" t="s">
        <v>44</v>
      </c>
      <c r="C502" s="57" t="s">
        <v>26</v>
      </c>
      <c r="D502" s="58" t="s">
        <v>37</v>
      </c>
      <c r="E502" s="62">
        <v>1.5870000000000002E-2</v>
      </c>
      <c r="F502" s="65">
        <f t="shared" si="226"/>
        <v>-4.1433247444438193</v>
      </c>
      <c r="S502" s="40">
        <f t="shared" si="199"/>
        <v>0</v>
      </c>
      <c r="T502" s="40">
        <f t="shared" si="200"/>
        <v>0</v>
      </c>
      <c r="U502" s="40">
        <f t="shared" si="201"/>
        <v>0</v>
      </c>
      <c r="V502" s="40">
        <f t="shared" si="202"/>
        <v>0</v>
      </c>
      <c r="W502" s="40">
        <f t="shared" si="203"/>
        <v>1</v>
      </c>
      <c r="X502" s="40">
        <f t="shared" si="204"/>
        <v>0</v>
      </c>
      <c r="Y502" s="40">
        <f t="shared" si="205"/>
        <v>0</v>
      </c>
      <c r="Z502" s="40">
        <f t="shared" si="206"/>
        <v>0</v>
      </c>
      <c r="AA502" s="40">
        <f t="shared" si="207"/>
        <v>0</v>
      </c>
      <c r="AB502" s="40">
        <f t="shared" si="208"/>
        <v>0</v>
      </c>
      <c r="AC502" s="40">
        <f t="shared" si="209"/>
        <v>0</v>
      </c>
      <c r="AD502" s="40">
        <f t="shared" si="210"/>
        <v>0</v>
      </c>
      <c r="AE502" s="40">
        <f t="shared" si="211"/>
        <v>1</v>
      </c>
      <c r="AF502" s="40">
        <f t="shared" si="212"/>
        <v>0</v>
      </c>
      <c r="AG502" s="40">
        <f t="shared" si="213"/>
        <v>0</v>
      </c>
      <c r="AH502" s="40">
        <f t="shared" si="214"/>
        <v>0</v>
      </c>
      <c r="AI502" s="40">
        <f t="shared" si="215"/>
        <v>0</v>
      </c>
      <c r="AJ502" s="40">
        <f t="shared" si="216"/>
        <v>0</v>
      </c>
      <c r="AK502" s="40">
        <f t="shared" si="217"/>
        <v>0</v>
      </c>
      <c r="AL502" s="40">
        <f t="shared" si="218"/>
        <v>0</v>
      </c>
      <c r="AM502" s="40">
        <f t="shared" si="219"/>
        <v>1</v>
      </c>
      <c r="AN502" s="40">
        <f t="shared" si="220"/>
        <v>0</v>
      </c>
      <c r="AO502" s="40">
        <f t="shared" si="221"/>
        <v>0</v>
      </c>
      <c r="AP502" s="40">
        <f t="shared" si="222"/>
        <v>0</v>
      </c>
      <c r="AQ502" s="40">
        <f t="shared" si="223"/>
        <v>0</v>
      </c>
      <c r="AR502" s="40">
        <f t="shared" si="224"/>
        <v>0</v>
      </c>
      <c r="AS502" s="40">
        <f t="shared" si="225"/>
        <v>0</v>
      </c>
    </row>
    <row r="503" spans="2:45" ht="14.4" customHeight="1" x14ac:dyDescent="0.25">
      <c r="B503" s="56" t="s">
        <v>44</v>
      </c>
      <c r="C503" s="57" t="s">
        <v>34</v>
      </c>
      <c r="D503" s="58" t="s">
        <v>35</v>
      </c>
      <c r="E503" s="62">
        <v>1.0979999999999997E-2</v>
      </c>
      <c r="F503" s="65">
        <f t="shared" si="226"/>
        <v>-4.5116798429007527</v>
      </c>
      <c r="S503" s="40">
        <f t="shared" si="199"/>
        <v>0</v>
      </c>
      <c r="T503" s="40">
        <f t="shared" si="200"/>
        <v>0</v>
      </c>
      <c r="U503" s="40">
        <f t="shared" si="201"/>
        <v>0</v>
      </c>
      <c r="V503" s="40">
        <f t="shared" si="202"/>
        <v>0</v>
      </c>
      <c r="W503" s="40">
        <f t="shared" si="203"/>
        <v>1</v>
      </c>
      <c r="X503" s="40">
        <f t="shared" si="204"/>
        <v>0</v>
      </c>
      <c r="Y503" s="40">
        <f t="shared" si="205"/>
        <v>0</v>
      </c>
      <c r="Z503" s="40">
        <f t="shared" si="206"/>
        <v>0</v>
      </c>
      <c r="AA503" s="40">
        <f t="shared" si="207"/>
        <v>0</v>
      </c>
      <c r="AB503" s="40">
        <f t="shared" si="208"/>
        <v>0</v>
      </c>
      <c r="AC503" s="40">
        <f t="shared" si="209"/>
        <v>0</v>
      </c>
      <c r="AD503" s="40">
        <f t="shared" si="210"/>
        <v>0</v>
      </c>
      <c r="AE503" s="40">
        <f t="shared" si="211"/>
        <v>0</v>
      </c>
      <c r="AF503" s="40">
        <f t="shared" si="212"/>
        <v>1</v>
      </c>
      <c r="AG503" s="40">
        <f t="shared" si="213"/>
        <v>0</v>
      </c>
      <c r="AH503" s="40">
        <f t="shared" si="214"/>
        <v>0</v>
      </c>
      <c r="AI503" s="40">
        <f t="shared" si="215"/>
        <v>0</v>
      </c>
      <c r="AJ503" s="40">
        <f t="shared" si="216"/>
        <v>0</v>
      </c>
      <c r="AK503" s="40">
        <f t="shared" si="217"/>
        <v>0</v>
      </c>
      <c r="AL503" s="40">
        <f t="shared" si="218"/>
        <v>1</v>
      </c>
      <c r="AM503" s="40">
        <f t="shared" si="219"/>
        <v>0</v>
      </c>
      <c r="AN503" s="40">
        <f t="shared" si="220"/>
        <v>0</v>
      </c>
      <c r="AO503" s="40">
        <f t="shared" si="221"/>
        <v>0</v>
      </c>
      <c r="AP503" s="40">
        <f t="shared" si="222"/>
        <v>0</v>
      </c>
      <c r="AQ503" s="40">
        <f t="shared" si="223"/>
        <v>0</v>
      </c>
      <c r="AR503" s="40">
        <f t="shared" si="224"/>
        <v>0</v>
      </c>
      <c r="AS503" s="40">
        <f t="shared" si="225"/>
        <v>0</v>
      </c>
    </row>
    <row r="504" spans="2:45" ht="14.4" customHeight="1" x14ac:dyDescent="0.25">
      <c r="B504" s="56" t="s">
        <v>44</v>
      </c>
      <c r="C504" s="57" t="s">
        <v>26</v>
      </c>
      <c r="D504" s="58" t="s">
        <v>24</v>
      </c>
      <c r="E504" s="62">
        <v>8.630000000000004E-3</v>
      </c>
      <c r="F504" s="65">
        <f t="shared" si="226"/>
        <v>-4.7525107738868</v>
      </c>
      <c r="S504" s="40">
        <f t="shared" si="199"/>
        <v>0</v>
      </c>
      <c r="T504" s="40">
        <f t="shared" si="200"/>
        <v>0</v>
      </c>
      <c r="U504" s="40">
        <f t="shared" si="201"/>
        <v>0</v>
      </c>
      <c r="V504" s="40">
        <f t="shared" si="202"/>
        <v>0</v>
      </c>
      <c r="W504" s="40">
        <f t="shared" si="203"/>
        <v>1</v>
      </c>
      <c r="X504" s="40">
        <f t="shared" si="204"/>
        <v>0</v>
      </c>
      <c r="Y504" s="40">
        <f t="shared" si="205"/>
        <v>0</v>
      </c>
      <c r="Z504" s="40">
        <f t="shared" si="206"/>
        <v>0</v>
      </c>
      <c r="AA504" s="40">
        <f t="shared" si="207"/>
        <v>0</v>
      </c>
      <c r="AB504" s="40">
        <f t="shared" si="208"/>
        <v>0</v>
      </c>
      <c r="AC504" s="40">
        <f t="shared" si="209"/>
        <v>0</v>
      </c>
      <c r="AD504" s="40">
        <f t="shared" si="210"/>
        <v>0</v>
      </c>
      <c r="AE504" s="40">
        <f t="shared" si="211"/>
        <v>0</v>
      </c>
      <c r="AF504" s="40">
        <f t="shared" si="212"/>
        <v>1</v>
      </c>
      <c r="AG504" s="40">
        <f t="shared" si="213"/>
        <v>0</v>
      </c>
      <c r="AH504" s="40">
        <f t="shared" si="214"/>
        <v>0</v>
      </c>
      <c r="AI504" s="40">
        <f t="shared" si="215"/>
        <v>0</v>
      </c>
      <c r="AJ504" s="40">
        <f t="shared" si="216"/>
        <v>1</v>
      </c>
      <c r="AK504" s="40">
        <f t="shared" si="217"/>
        <v>0</v>
      </c>
      <c r="AL504" s="40">
        <f t="shared" si="218"/>
        <v>0</v>
      </c>
      <c r="AM504" s="40">
        <f t="shared" si="219"/>
        <v>0</v>
      </c>
      <c r="AN504" s="40">
        <f t="shared" si="220"/>
        <v>0</v>
      </c>
      <c r="AO504" s="40">
        <f t="shared" si="221"/>
        <v>0</v>
      </c>
      <c r="AP504" s="40">
        <f t="shared" si="222"/>
        <v>0</v>
      </c>
      <c r="AQ504" s="40">
        <f t="shared" si="223"/>
        <v>0</v>
      </c>
      <c r="AR504" s="40">
        <f t="shared" si="224"/>
        <v>0</v>
      </c>
      <c r="AS504" s="40">
        <f t="shared" si="225"/>
        <v>0</v>
      </c>
    </row>
    <row r="505" spans="2:45" ht="14.4" customHeight="1" x14ac:dyDescent="0.25">
      <c r="B505" s="56" t="s">
        <v>44</v>
      </c>
      <c r="C505" s="57" t="s">
        <v>26</v>
      </c>
      <c r="D505" s="58" t="s">
        <v>37</v>
      </c>
      <c r="E505" s="62">
        <v>1.3350000000000001E-2</v>
      </c>
      <c r="F505" s="65">
        <f t="shared" si="226"/>
        <v>-4.3162388941358785</v>
      </c>
      <c r="S505" s="40">
        <f t="shared" si="199"/>
        <v>0</v>
      </c>
      <c r="T505" s="40">
        <f t="shared" si="200"/>
        <v>0</v>
      </c>
      <c r="U505" s="40">
        <f t="shared" si="201"/>
        <v>0</v>
      </c>
      <c r="V505" s="40">
        <f t="shared" si="202"/>
        <v>0</v>
      </c>
      <c r="W505" s="40">
        <f t="shared" si="203"/>
        <v>1</v>
      </c>
      <c r="X505" s="40">
        <f t="shared" si="204"/>
        <v>0</v>
      </c>
      <c r="Y505" s="40">
        <f t="shared" si="205"/>
        <v>0</v>
      </c>
      <c r="Z505" s="40">
        <f t="shared" si="206"/>
        <v>0</v>
      </c>
      <c r="AA505" s="40">
        <f t="shared" si="207"/>
        <v>0</v>
      </c>
      <c r="AB505" s="40">
        <f t="shared" si="208"/>
        <v>0</v>
      </c>
      <c r="AC505" s="40">
        <f t="shared" si="209"/>
        <v>0</v>
      </c>
      <c r="AD505" s="40">
        <f t="shared" si="210"/>
        <v>0</v>
      </c>
      <c r="AE505" s="40">
        <f t="shared" si="211"/>
        <v>0</v>
      </c>
      <c r="AF505" s="40">
        <f t="shared" si="212"/>
        <v>1</v>
      </c>
      <c r="AG505" s="40">
        <f t="shared" si="213"/>
        <v>0</v>
      </c>
      <c r="AH505" s="40">
        <f t="shared" si="214"/>
        <v>0</v>
      </c>
      <c r="AI505" s="40">
        <f t="shared" si="215"/>
        <v>0</v>
      </c>
      <c r="AJ505" s="40">
        <f t="shared" si="216"/>
        <v>0</v>
      </c>
      <c r="AK505" s="40">
        <f t="shared" si="217"/>
        <v>0</v>
      </c>
      <c r="AL505" s="40">
        <f t="shared" si="218"/>
        <v>0</v>
      </c>
      <c r="AM505" s="40">
        <f t="shared" si="219"/>
        <v>0</v>
      </c>
      <c r="AN505" s="40">
        <f t="shared" si="220"/>
        <v>0</v>
      </c>
      <c r="AO505" s="40">
        <f t="shared" si="221"/>
        <v>0</v>
      </c>
      <c r="AP505" s="40">
        <f t="shared" si="222"/>
        <v>0</v>
      </c>
      <c r="AQ505" s="40">
        <f t="shared" si="223"/>
        <v>0</v>
      </c>
      <c r="AR505" s="40">
        <f t="shared" si="224"/>
        <v>1</v>
      </c>
      <c r="AS505" s="40">
        <f t="shared" si="225"/>
        <v>0</v>
      </c>
    </row>
    <row r="506" spans="2:45" ht="14.4" customHeight="1" x14ac:dyDescent="0.25">
      <c r="B506" s="56" t="s">
        <v>44</v>
      </c>
      <c r="C506" s="57" t="s">
        <v>26</v>
      </c>
      <c r="D506" s="58" t="s">
        <v>33</v>
      </c>
      <c r="E506" s="62">
        <v>2.9360000000000001E-2</v>
      </c>
      <c r="F506" s="65">
        <f t="shared" si="226"/>
        <v>-3.5281220752358222</v>
      </c>
      <c r="S506" s="40">
        <f t="shared" si="199"/>
        <v>0</v>
      </c>
      <c r="T506" s="40">
        <f t="shared" si="200"/>
        <v>0</v>
      </c>
      <c r="U506" s="40">
        <f t="shared" si="201"/>
        <v>0</v>
      </c>
      <c r="V506" s="40">
        <f t="shared" si="202"/>
        <v>0</v>
      </c>
      <c r="W506" s="40">
        <f t="shared" si="203"/>
        <v>1</v>
      </c>
      <c r="X506" s="40">
        <f t="shared" si="204"/>
        <v>0</v>
      </c>
      <c r="Y506" s="40">
        <f t="shared" si="205"/>
        <v>0</v>
      </c>
      <c r="Z506" s="40">
        <f t="shared" si="206"/>
        <v>0</v>
      </c>
      <c r="AA506" s="40">
        <f t="shared" si="207"/>
        <v>0</v>
      </c>
      <c r="AB506" s="40">
        <f t="shared" si="208"/>
        <v>0</v>
      </c>
      <c r="AC506" s="40">
        <f t="shared" si="209"/>
        <v>0</v>
      </c>
      <c r="AD506" s="40">
        <f t="shared" si="210"/>
        <v>0</v>
      </c>
      <c r="AE506" s="40">
        <f t="shared" si="211"/>
        <v>0</v>
      </c>
      <c r="AF506" s="40">
        <f t="shared" si="212"/>
        <v>1</v>
      </c>
      <c r="AG506" s="40">
        <f t="shared" si="213"/>
        <v>0</v>
      </c>
      <c r="AH506" s="40">
        <f t="shared" si="214"/>
        <v>0</v>
      </c>
      <c r="AI506" s="40">
        <f t="shared" si="215"/>
        <v>0</v>
      </c>
      <c r="AJ506" s="40">
        <f t="shared" si="216"/>
        <v>0</v>
      </c>
      <c r="AK506" s="40">
        <f t="shared" si="217"/>
        <v>0</v>
      </c>
      <c r="AL506" s="40">
        <f t="shared" si="218"/>
        <v>0</v>
      </c>
      <c r="AM506" s="40">
        <f t="shared" si="219"/>
        <v>0</v>
      </c>
      <c r="AN506" s="40">
        <f t="shared" si="220"/>
        <v>0</v>
      </c>
      <c r="AO506" s="40">
        <f t="shared" si="221"/>
        <v>1</v>
      </c>
      <c r="AP506" s="40">
        <f t="shared" si="222"/>
        <v>0</v>
      </c>
      <c r="AQ506" s="40">
        <f t="shared" si="223"/>
        <v>0</v>
      </c>
      <c r="AR506" s="40">
        <f t="shared" si="224"/>
        <v>0</v>
      </c>
      <c r="AS506" s="40">
        <f t="shared" si="225"/>
        <v>0</v>
      </c>
    </row>
    <row r="507" spans="2:45" ht="14.4" customHeight="1" x14ac:dyDescent="0.25">
      <c r="B507" s="56" t="s">
        <v>44</v>
      </c>
      <c r="C507" s="57" t="s">
        <v>26</v>
      </c>
      <c r="D507" s="58" t="s">
        <v>31</v>
      </c>
      <c r="E507" s="62">
        <v>1.8329999999999999E-2</v>
      </c>
      <c r="F507" s="65">
        <f t="shared" si="226"/>
        <v>-3.9992162171305234</v>
      </c>
      <c r="S507" s="40">
        <f t="shared" si="199"/>
        <v>0</v>
      </c>
      <c r="T507" s="40">
        <f t="shared" si="200"/>
        <v>0</v>
      </c>
      <c r="U507" s="40">
        <f t="shared" si="201"/>
        <v>0</v>
      </c>
      <c r="V507" s="40">
        <f t="shared" si="202"/>
        <v>0</v>
      </c>
      <c r="W507" s="40">
        <f t="shared" si="203"/>
        <v>1</v>
      </c>
      <c r="X507" s="40">
        <f t="shared" si="204"/>
        <v>0</v>
      </c>
      <c r="Y507" s="40">
        <f t="shared" si="205"/>
        <v>0</v>
      </c>
      <c r="Z507" s="40">
        <f t="shared" si="206"/>
        <v>0</v>
      </c>
      <c r="AA507" s="40">
        <f t="shared" si="207"/>
        <v>0</v>
      </c>
      <c r="AB507" s="40">
        <f t="shared" si="208"/>
        <v>0</v>
      </c>
      <c r="AC507" s="40">
        <f t="shared" si="209"/>
        <v>0</v>
      </c>
      <c r="AD507" s="40">
        <f t="shared" si="210"/>
        <v>0</v>
      </c>
      <c r="AE507" s="40">
        <f t="shared" si="211"/>
        <v>0</v>
      </c>
      <c r="AF507" s="40">
        <f t="shared" si="212"/>
        <v>1</v>
      </c>
      <c r="AG507" s="40">
        <f t="shared" si="213"/>
        <v>0</v>
      </c>
      <c r="AH507" s="40">
        <f t="shared" si="214"/>
        <v>0</v>
      </c>
      <c r="AI507" s="40">
        <f t="shared" si="215"/>
        <v>0</v>
      </c>
      <c r="AJ507" s="40">
        <f t="shared" si="216"/>
        <v>0</v>
      </c>
      <c r="AK507" s="40">
        <f t="shared" si="217"/>
        <v>0</v>
      </c>
      <c r="AL507" s="40">
        <f t="shared" si="218"/>
        <v>0</v>
      </c>
      <c r="AM507" s="40">
        <f t="shared" si="219"/>
        <v>0</v>
      </c>
      <c r="AN507" s="40">
        <f t="shared" si="220"/>
        <v>0</v>
      </c>
      <c r="AO507" s="40">
        <f t="shared" si="221"/>
        <v>0</v>
      </c>
      <c r="AP507" s="40">
        <f t="shared" si="222"/>
        <v>0</v>
      </c>
      <c r="AQ507" s="40">
        <f t="shared" si="223"/>
        <v>1</v>
      </c>
      <c r="AR507" s="40">
        <f t="shared" si="224"/>
        <v>0</v>
      </c>
      <c r="AS507" s="40">
        <f t="shared" si="225"/>
        <v>0</v>
      </c>
    </row>
    <row r="508" spans="2:45" ht="14.4" customHeight="1" x14ac:dyDescent="0.25">
      <c r="B508" s="56" t="s">
        <v>44</v>
      </c>
      <c r="C508" s="57" t="s">
        <v>26</v>
      </c>
      <c r="D508" s="58" t="s">
        <v>30</v>
      </c>
      <c r="E508" s="62">
        <v>1.5250000000000003E-2</v>
      </c>
      <c r="F508" s="65">
        <f t="shared" si="226"/>
        <v>-4.1831757759287163</v>
      </c>
      <c r="S508" s="40">
        <f t="shared" si="199"/>
        <v>0</v>
      </c>
      <c r="T508" s="40">
        <f t="shared" si="200"/>
        <v>0</v>
      </c>
      <c r="U508" s="40">
        <f t="shared" si="201"/>
        <v>0</v>
      </c>
      <c r="V508" s="40">
        <f t="shared" si="202"/>
        <v>0</v>
      </c>
      <c r="W508" s="40">
        <f t="shared" si="203"/>
        <v>1</v>
      </c>
      <c r="X508" s="40">
        <f t="shared" si="204"/>
        <v>0</v>
      </c>
      <c r="Y508" s="40">
        <f t="shared" si="205"/>
        <v>0</v>
      </c>
      <c r="Z508" s="40">
        <f t="shared" si="206"/>
        <v>0</v>
      </c>
      <c r="AA508" s="40">
        <f t="shared" si="207"/>
        <v>0</v>
      </c>
      <c r="AB508" s="40">
        <f t="shared" si="208"/>
        <v>0</v>
      </c>
      <c r="AC508" s="40">
        <f t="shared" si="209"/>
        <v>0</v>
      </c>
      <c r="AD508" s="40">
        <f t="shared" si="210"/>
        <v>0</v>
      </c>
      <c r="AE508" s="40">
        <f t="shared" si="211"/>
        <v>0</v>
      </c>
      <c r="AF508" s="40">
        <f t="shared" si="212"/>
        <v>1</v>
      </c>
      <c r="AG508" s="40">
        <f t="shared" si="213"/>
        <v>0</v>
      </c>
      <c r="AH508" s="40">
        <f t="shared" si="214"/>
        <v>0</v>
      </c>
      <c r="AI508" s="40">
        <f t="shared" si="215"/>
        <v>1</v>
      </c>
      <c r="AJ508" s="40">
        <f t="shared" si="216"/>
        <v>0</v>
      </c>
      <c r="AK508" s="40">
        <f t="shared" si="217"/>
        <v>0</v>
      </c>
      <c r="AL508" s="40">
        <f t="shared" si="218"/>
        <v>0</v>
      </c>
      <c r="AM508" s="40">
        <f t="shared" si="219"/>
        <v>0</v>
      </c>
      <c r="AN508" s="40">
        <f t="shared" si="220"/>
        <v>0</v>
      </c>
      <c r="AO508" s="40">
        <f t="shared" si="221"/>
        <v>0</v>
      </c>
      <c r="AP508" s="40">
        <f t="shared" si="222"/>
        <v>0</v>
      </c>
      <c r="AQ508" s="40">
        <f t="shared" si="223"/>
        <v>0</v>
      </c>
      <c r="AR508" s="40">
        <f t="shared" si="224"/>
        <v>0</v>
      </c>
      <c r="AS508" s="40">
        <f t="shared" si="225"/>
        <v>0</v>
      </c>
    </row>
    <row r="509" spans="2:45" ht="14.4" customHeight="1" x14ac:dyDescent="0.25">
      <c r="B509" s="56" t="s">
        <v>44</v>
      </c>
      <c r="C509" s="57" t="s">
        <v>26</v>
      </c>
      <c r="D509" s="58" t="s">
        <v>28</v>
      </c>
      <c r="E509" s="62">
        <v>1.5569999999999999E-2</v>
      </c>
      <c r="F509" s="65">
        <f t="shared" si="226"/>
        <v>-4.1624092931362302</v>
      </c>
      <c r="S509" s="40">
        <f t="shared" si="199"/>
        <v>0</v>
      </c>
      <c r="T509" s="40">
        <f t="shared" si="200"/>
        <v>0</v>
      </c>
      <c r="U509" s="40">
        <f t="shared" si="201"/>
        <v>0</v>
      </c>
      <c r="V509" s="40">
        <f t="shared" si="202"/>
        <v>0</v>
      </c>
      <c r="W509" s="40">
        <f t="shared" si="203"/>
        <v>1</v>
      </c>
      <c r="X509" s="40">
        <f t="shared" si="204"/>
        <v>0</v>
      </c>
      <c r="Y509" s="40">
        <f t="shared" si="205"/>
        <v>0</v>
      </c>
      <c r="Z509" s="40">
        <f t="shared" si="206"/>
        <v>0</v>
      </c>
      <c r="AA509" s="40">
        <f t="shared" si="207"/>
        <v>1</v>
      </c>
      <c r="AB509" s="40">
        <f t="shared" si="208"/>
        <v>0</v>
      </c>
      <c r="AC509" s="40">
        <f t="shared" si="209"/>
        <v>0</v>
      </c>
      <c r="AD509" s="40">
        <f t="shared" si="210"/>
        <v>0</v>
      </c>
      <c r="AE509" s="40">
        <f t="shared" si="211"/>
        <v>0</v>
      </c>
      <c r="AF509" s="40">
        <f t="shared" si="212"/>
        <v>0</v>
      </c>
      <c r="AG509" s="40">
        <f t="shared" si="213"/>
        <v>0</v>
      </c>
      <c r="AH509" s="40">
        <f t="shared" si="214"/>
        <v>0</v>
      </c>
      <c r="AI509" s="40">
        <f t="shared" si="215"/>
        <v>0</v>
      </c>
      <c r="AJ509" s="40">
        <f t="shared" si="216"/>
        <v>0</v>
      </c>
      <c r="AK509" s="40">
        <f t="shared" si="217"/>
        <v>0</v>
      </c>
      <c r="AL509" s="40">
        <f t="shared" si="218"/>
        <v>0</v>
      </c>
      <c r="AM509" s="40">
        <f t="shared" si="219"/>
        <v>1</v>
      </c>
      <c r="AN509" s="40">
        <f t="shared" si="220"/>
        <v>0</v>
      </c>
      <c r="AO509" s="40">
        <f t="shared" si="221"/>
        <v>0</v>
      </c>
      <c r="AP509" s="40">
        <f t="shared" si="222"/>
        <v>0</v>
      </c>
      <c r="AQ509" s="40">
        <f t="shared" si="223"/>
        <v>0</v>
      </c>
      <c r="AR509" s="40">
        <f t="shared" si="224"/>
        <v>0</v>
      </c>
      <c r="AS509" s="40">
        <f t="shared" si="225"/>
        <v>0</v>
      </c>
    </row>
    <row r="510" spans="2:45" ht="14.4" customHeight="1" x14ac:dyDescent="0.25">
      <c r="B510" s="56" t="s">
        <v>44</v>
      </c>
      <c r="C510" s="57" t="s">
        <v>39</v>
      </c>
      <c r="D510" s="58" t="s">
        <v>35</v>
      </c>
      <c r="E510" s="62">
        <v>6.490000000000001E-3</v>
      </c>
      <c r="F510" s="65">
        <f t="shared" si="226"/>
        <v>-5.0374927482661382</v>
      </c>
      <c r="S510" s="40">
        <f t="shared" si="199"/>
        <v>0</v>
      </c>
      <c r="T510" s="40">
        <f t="shared" si="200"/>
        <v>0</v>
      </c>
      <c r="U510" s="40">
        <f t="shared" si="201"/>
        <v>0</v>
      </c>
      <c r="V510" s="40">
        <f t="shared" si="202"/>
        <v>0</v>
      </c>
      <c r="W510" s="40">
        <f t="shared" si="203"/>
        <v>1</v>
      </c>
      <c r="X510" s="40">
        <f t="shared" si="204"/>
        <v>0</v>
      </c>
      <c r="Y510" s="40">
        <f t="shared" si="205"/>
        <v>0</v>
      </c>
      <c r="Z510" s="40">
        <f t="shared" si="206"/>
        <v>0</v>
      </c>
      <c r="AA510" s="40">
        <f t="shared" si="207"/>
        <v>0</v>
      </c>
      <c r="AB510" s="40">
        <f t="shared" si="208"/>
        <v>0</v>
      </c>
      <c r="AC510" s="40">
        <f t="shared" si="209"/>
        <v>0</v>
      </c>
      <c r="AD510" s="40">
        <f t="shared" si="210"/>
        <v>0</v>
      </c>
      <c r="AE510" s="40">
        <f t="shared" si="211"/>
        <v>0</v>
      </c>
      <c r="AF510" s="40">
        <f t="shared" si="212"/>
        <v>1</v>
      </c>
      <c r="AG510" s="40">
        <f t="shared" si="213"/>
        <v>0</v>
      </c>
      <c r="AH510" s="40">
        <f t="shared" si="214"/>
        <v>0</v>
      </c>
      <c r="AI510" s="40">
        <f t="shared" si="215"/>
        <v>0</v>
      </c>
      <c r="AJ510" s="40">
        <f t="shared" si="216"/>
        <v>1</v>
      </c>
      <c r="AK510" s="40">
        <f t="shared" si="217"/>
        <v>0</v>
      </c>
      <c r="AL510" s="40">
        <f t="shared" si="218"/>
        <v>0</v>
      </c>
      <c r="AM510" s="40">
        <f t="shared" si="219"/>
        <v>0</v>
      </c>
      <c r="AN510" s="40">
        <f t="shared" si="220"/>
        <v>0</v>
      </c>
      <c r="AO510" s="40">
        <f t="shared" si="221"/>
        <v>0</v>
      </c>
      <c r="AP510" s="40">
        <f t="shared" si="222"/>
        <v>0</v>
      </c>
      <c r="AQ510" s="40">
        <f t="shared" si="223"/>
        <v>0</v>
      </c>
      <c r="AR510" s="40">
        <f t="shared" si="224"/>
        <v>0</v>
      </c>
      <c r="AS510" s="40">
        <f t="shared" si="225"/>
        <v>0</v>
      </c>
    </row>
    <row r="511" spans="2:45" ht="14.4" customHeight="1" x14ac:dyDescent="0.25">
      <c r="B511" s="56" t="s">
        <v>44</v>
      </c>
      <c r="C511" s="57" t="s">
        <v>26</v>
      </c>
      <c r="D511" s="58" t="s">
        <v>37</v>
      </c>
      <c r="E511" s="62">
        <v>1.4819999999999993E-2</v>
      </c>
      <c r="F511" s="65">
        <f t="shared" si="226"/>
        <v>-4.2117776591141967</v>
      </c>
      <c r="S511" s="40">
        <f t="shared" si="199"/>
        <v>0</v>
      </c>
      <c r="T511" s="40">
        <f t="shared" si="200"/>
        <v>0</v>
      </c>
      <c r="U511" s="40">
        <f t="shared" si="201"/>
        <v>0</v>
      </c>
      <c r="V511" s="40">
        <f t="shared" si="202"/>
        <v>0</v>
      </c>
      <c r="W511" s="40">
        <f t="shared" si="203"/>
        <v>1</v>
      </c>
      <c r="X511" s="40">
        <f t="shared" si="204"/>
        <v>0</v>
      </c>
      <c r="Y511" s="40">
        <f t="shared" si="205"/>
        <v>0</v>
      </c>
      <c r="Z511" s="40">
        <f t="shared" si="206"/>
        <v>0</v>
      </c>
      <c r="AA511" s="40">
        <f t="shared" si="207"/>
        <v>0</v>
      </c>
      <c r="AB511" s="40">
        <f t="shared" si="208"/>
        <v>1</v>
      </c>
      <c r="AC511" s="40">
        <f t="shared" si="209"/>
        <v>0</v>
      </c>
      <c r="AD511" s="40">
        <f t="shared" si="210"/>
        <v>0</v>
      </c>
      <c r="AE511" s="40">
        <f t="shared" si="211"/>
        <v>0</v>
      </c>
      <c r="AF511" s="40">
        <f t="shared" si="212"/>
        <v>0</v>
      </c>
      <c r="AG511" s="40">
        <f t="shared" si="213"/>
        <v>0</v>
      </c>
      <c r="AH511" s="40">
        <f t="shared" si="214"/>
        <v>0</v>
      </c>
      <c r="AI511" s="40">
        <f t="shared" si="215"/>
        <v>0</v>
      </c>
      <c r="AJ511" s="40">
        <f t="shared" si="216"/>
        <v>1</v>
      </c>
      <c r="AK511" s="40">
        <f t="shared" si="217"/>
        <v>0</v>
      </c>
      <c r="AL511" s="40">
        <f t="shared" si="218"/>
        <v>0</v>
      </c>
      <c r="AM511" s="40">
        <f t="shared" si="219"/>
        <v>0</v>
      </c>
      <c r="AN511" s="40">
        <f t="shared" si="220"/>
        <v>0</v>
      </c>
      <c r="AO511" s="40">
        <f t="shared" si="221"/>
        <v>0</v>
      </c>
      <c r="AP511" s="40">
        <f t="shared" si="222"/>
        <v>0</v>
      </c>
      <c r="AQ511" s="40">
        <f t="shared" si="223"/>
        <v>0</v>
      </c>
      <c r="AR511" s="40">
        <f t="shared" si="224"/>
        <v>0</v>
      </c>
      <c r="AS511" s="40">
        <f t="shared" si="225"/>
        <v>0</v>
      </c>
    </row>
    <row r="512" spans="2:45" ht="14.4" customHeight="1" x14ac:dyDescent="0.25">
      <c r="B512" s="56" t="s">
        <v>44</v>
      </c>
      <c r="C512" s="57" t="s">
        <v>25</v>
      </c>
      <c r="D512" s="58" t="s">
        <v>37</v>
      </c>
      <c r="E512" s="62">
        <v>2.3029999999999998E-2</v>
      </c>
      <c r="F512" s="65">
        <f t="shared" si="226"/>
        <v>-3.7709575651495433</v>
      </c>
      <c r="S512" s="40">
        <f t="shared" si="199"/>
        <v>0</v>
      </c>
      <c r="T512" s="40">
        <f t="shared" si="200"/>
        <v>0</v>
      </c>
      <c r="U512" s="40">
        <f t="shared" si="201"/>
        <v>0</v>
      </c>
      <c r="V512" s="40">
        <f t="shared" si="202"/>
        <v>0</v>
      </c>
      <c r="W512" s="40">
        <f t="shared" si="203"/>
        <v>1</v>
      </c>
      <c r="X512" s="40">
        <f t="shared" si="204"/>
        <v>0</v>
      </c>
      <c r="Y512" s="40">
        <f t="shared" si="205"/>
        <v>0</v>
      </c>
      <c r="Z512" s="40">
        <f t="shared" si="206"/>
        <v>0</v>
      </c>
      <c r="AA512" s="40">
        <f t="shared" si="207"/>
        <v>0</v>
      </c>
      <c r="AB512" s="40">
        <f t="shared" si="208"/>
        <v>0</v>
      </c>
      <c r="AC512" s="40">
        <f t="shared" si="209"/>
        <v>0</v>
      </c>
      <c r="AD512" s="40">
        <f t="shared" si="210"/>
        <v>0</v>
      </c>
      <c r="AE512" s="40">
        <f t="shared" si="211"/>
        <v>0</v>
      </c>
      <c r="AF512" s="40">
        <f t="shared" si="212"/>
        <v>1</v>
      </c>
      <c r="AG512" s="40">
        <f t="shared" si="213"/>
        <v>0</v>
      </c>
      <c r="AH512" s="40">
        <f t="shared" si="214"/>
        <v>0</v>
      </c>
      <c r="AI512" s="40">
        <f t="shared" si="215"/>
        <v>0</v>
      </c>
      <c r="AJ512" s="40">
        <f t="shared" si="216"/>
        <v>0</v>
      </c>
      <c r="AK512" s="40">
        <f t="shared" si="217"/>
        <v>0</v>
      </c>
      <c r="AL512" s="40">
        <f t="shared" si="218"/>
        <v>0</v>
      </c>
      <c r="AM512" s="40">
        <f t="shared" si="219"/>
        <v>0</v>
      </c>
      <c r="AN512" s="40">
        <f t="shared" si="220"/>
        <v>1</v>
      </c>
      <c r="AO512" s="40">
        <f t="shared" si="221"/>
        <v>0</v>
      </c>
      <c r="AP512" s="40">
        <f t="shared" si="222"/>
        <v>0</v>
      </c>
      <c r="AQ512" s="40">
        <f t="shared" si="223"/>
        <v>0</v>
      </c>
      <c r="AR512" s="40">
        <f t="shared" si="224"/>
        <v>0</v>
      </c>
      <c r="AS512" s="40">
        <f t="shared" si="225"/>
        <v>0</v>
      </c>
    </row>
    <row r="513" spans="2:45" ht="14.4" customHeight="1" x14ac:dyDescent="0.25">
      <c r="B513" s="56" t="s">
        <v>44</v>
      </c>
      <c r="C513" s="57" t="s">
        <v>26</v>
      </c>
      <c r="D513" s="58" t="s">
        <v>29</v>
      </c>
      <c r="E513" s="62">
        <v>1.461E-2</v>
      </c>
      <c r="F513" s="65">
        <f t="shared" si="226"/>
        <v>-4.226049053219529</v>
      </c>
      <c r="S513" s="40">
        <f t="shared" si="199"/>
        <v>0</v>
      </c>
      <c r="T513" s="40">
        <f t="shared" si="200"/>
        <v>0</v>
      </c>
      <c r="U513" s="40">
        <f t="shared" si="201"/>
        <v>0</v>
      </c>
      <c r="V513" s="40">
        <f t="shared" si="202"/>
        <v>0</v>
      </c>
      <c r="W513" s="40">
        <f t="shared" si="203"/>
        <v>1</v>
      </c>
      <c r="X513" s="40">
        <f t="shared" si="204"/>
        <v>0</v>
      </c>
      <c r="Y513" s="40">
        <f t="shared" si="205"/>
        <v>0</v>
      </c>
      <c r="Z513" s="40">
        <f t="shared" si="206"/>
        <v>0</v>
      </c>
      <c r="AA513" s="40">
        <f t="shared" si="207"/>
        <v>0</v>
      </c>
      <c r="AB513" s="40">
        <f t="shared" si="208"/>
        <v>0</v>
      </c>
      <c r="AC513" s="40">
        <f t="shared" si="209"/>
        <v>0</v>
      </c>
      <c r="AD513" s="40">
        <f t="shared" si="210"/>
        <v>0</v>
      </c>
      <c r="AE513" s="40">
        <f t="shared" si="211"/>
        <v>0</v>
      </c>
      <c r="AF513" s="40">
        <f t="shared" si="212"/>
        <v>1</v>
      </c>
      <c r="AG513" s="40">
        <f t="shared" si="213"/>
        <v>0</v>
      </c>
      <c r="AH513" s="40">
        <f t="shared" si="214"/>
        <v>0</v>
      </c>
      <c r="AI513" s="40">
        <f t="shared" si="215"/>
        <v>0</v>
      </c>
      <c r="AJ513" s="40">
        <f t="shared" si="216"/>
        <v>0</v>
      </c>
      <c r="AK513" s="40">
        <f t="shared" si="217"/>
        <v>0</v>
      </c>
      <c r="AL513" s="40">
        <f t="shared" si="218"/>
        <v>0</v>
      </c>
      <c r="AM513" s="40">
        <f t="shared" si="219"/>
        <v>0</v>
      </c>
      <c r="AN513" s="40">
        <f t="shared" si="220"/>
        <v>0</v>
      </c>
      <c r="AO513" s="40">
        <f t="shared" si="221"/>
        <v>0</v>
      </c>
      <c r="AP513" s="40">
        <f t="shared" si="222"/>
        <v>0</v>
      </c>
      <c r="AQ513" s="40">
        <f t="shared" si="223"/>
        <v>1</v>
      </c>
      <c r="AR513" s="40">
        <f t="shared" si="224"/>
        <v>0</v>
      </c>
      <c r="AS513" s="40">
        <f t="shared" si="225"/>
        <v>0</v>
      </c>
    </row>
    <row r="514" spans="2:45" ht="14.4" customHeight="1" x14ac:dyDescent="0.25">
      <c r="B514" s="56" t="s">
        <v>44</v>
      </c>
      <c r="C514" s="57" t="s">
        <v>26</v>
      </c>
      <c r="D514" s="58" t="s">
        <v>30</v>
      </c>
      <c r="E514" s="62">
        <v>2.6189999999999995E-2</v>
      </c>
      <c r="F514" s="65">
        <f t="shared" si="226"/>
        <v>-3.6423776204625167</v>
      </c>
      <c r="S514" s="40">
        <f t="shared" si="199"/>
        <v>0</v>
      </c>
      <c r="T514" s="40">
        <f t="shared" si="200"/>
        <v>0</v>
      </c>
      <c r="U514" s="40">
        <f t="shared" si="201"/>
        <v>0</v>
      </c>
      <c r="V514" s="40">
        <f t="shared" si="202"/>
        <v>0</v>
      </c>
      <c r="W514" s="40">
        <f t="shared" si="203"/>
        <v>1</v>
      </c>
      <c r="X514" s="40">
        <f t="shared" si="204"/>
        <v>0</v>
      </c>
      <c r="Y514" s="40">
        <f t="shared" si="205"/>
        <v>0</v>
      </c>
      <c r="Z514" s="40">
        <f t="shared" si="206"/>
        <v>0</v>
      </c>
      <c r="AA514" s="40">
        <f t="shared" si="207"/>
        <v>0</v>
      </c>
      <c r="AB514" s="40">
        <f t="shared" si="208"/>
        <v>0</v>
      </c>
      <c r="AC514" s="40">
        <f t="shared" si="209"/>
        <v>0</v>
      </c>
      <c r="AD514" s="40">
        <f t="shared" si="210"/>
        <v>0</v>
      </c>
      <c r="AE514" s="40">
        <f t="shared" si="211"/>
        <v>0</v>
      </c>
      <c r="AF514" s="40">
        <f t="shared" si="212"/>
        <v>1</v>
      </c>
      <c r="AG514" s="40">
        <f t="shared" si="213"/>
        <v>0</v>
      </c>
      <c r="AH514" s="40">
        <f t="shared" si="214"/>
        <v>0</v>
      </c>
      <c r="AI514" s="40">
        <f t="shared" si="215"/>
        <v>0</v>
      </c>
      <c r="AJ514" s="40">
        <f t="shared" si="216"/>
        <v>0</v>
      </c>
      <c r="AK514" s="40">
        <f t="shared" si="217"/>
        <v>0</v>
      </c>
      <c r="AL514" s="40">
        <f t="shared" si="218"/>
        <v>0</v>
      </c>
      <c r="AM514" s="40">
        <f t="shared" si="219"/>
        <v>0</v>
      </c>
      <c r="AN514" s="40">
        <f t="shared" si="220"/>
        <v>0</v>
      </c>
      <c r="AO514" s="40">
        <f t="shared" si="221"/>
        <v>0</v>
      </c>
      <c r="AP514" s="40">
        <f t="shared" si="222"/>
        <v>0</v>
      </c>
      <c r="AQ514" s="40">
        <f t="shared" si="223"/>
        <v>0</v>
      </c>
      <c r="AR514" s="40">
        <f t="shared" si="224"/>
        <v>1</v>
      </c>
      <c r="AS514" s="40">
        <f t="shared" si="225"/>
        <v>0</v>
      </c>
    </row>
    <row r="515" spans="2:45" ht="14.4" customHeight="1" x14ac:dyDescent="0.25">
      <c r="B515" s="56" t="s">
        <v>44</v>
      </c>
      <c r="C515" s="57" t="s">
        <v>26</v>
      </c>
      <c r="D515" s="58" t="s">
        <v>33</v>
      </c>
      <c r="E515" s="62">
        <v>2.8530000000000003E-2</v>
      </c>
      <c r="F515" s="65">
        <f t="shared" si="226"/>
        <v>-3.5567991137567283</v>
      </c>
      <c r="S515" s="40">
        <f t="shared" si="199"/>
        <v>0</v>
      </c>
      <c r="T515" s="40">
        <f t="shared" si="200"/>
        <v>0</v>
      </c>
      <c r="U515" s="40">
        <f t="shared" si="201"/>
        <v>0</v>
      </c>
      <c r="V515" s="40">
        <f t="shared" si="202"/>
        <v>0</v>
      </c>
      <c r="W515" s="40">
        <f t="shared" si="203"/>
        <v>1</v>
      </c>
      <c r="X515" s="40">
        <f t="shared" si="204"/>
        <v>0</v>
      </c>
      <c r="Y515" s="40">
        <f t="shared" si="205"/>
        <v>0</v>
      </c>
      <c r="Z515" s="40">
        <f t="shared" si="206"/>
        <v>0</v>
      </c>
      <c r="AA515" s="40">
        <f t="shared" si="207"/>
        <v>0</v>
      </c>
      <c r="AB515" s="40">
        <f t="shared" si="208"/>
        <v>0</v>
      </c>
      <c r="AC515" s="40">
        <f t="shared" si="209"/>
        <v>0</v>
      </c>
      <c r="AD515" s="40">
        <f t="shared" si="210"/>
        <v>0</v>
      </c>
      <c r="AE515" s="40">
        <f t="shared" si="211"/>
        <v>0</v>
      </c>
      <c r="AF515" s="40">
        <f t="shared" si="212"/>
        <v>1</v>
      </c>
      <c r="AG515" s="40">
        <f t="shared" si="213"/>
        <v>0</v>
      </c>
      <c r="AH515" s="40">
        <f t="shared" si="214"/>
        <v>0</v>
      </c>
      <c r="AI515" s="40">
        <f t="shared" si="215"/>
        <v>0</v>
      </c>
      <c r="AJ515" s="40">
        <f t="shared" si="216"/>
        <v>0</v>
      </c>
      <c r="AK515" s="40">
        <f t="shared" si="217"/>
        <v>0</v>
      </c>
      <c r="AL515" s="40">
        <f t="shared" si="218"/>
        <v>0</v>
      </c>
      <c r="AM515" s="40">
        <f t="shared" si="219"/>
        <v>0</v>
      </c>
      <c r="AN515" s="40">
        <f t="shared" si="220"/>
        <v>1</v>
      </c>
      <c r="AO515" s="40">
        <f t="shared" si="221"/>
        <v>0</v>
      </c>
      <c r="AP515" s="40">
        <f t="shared" si="222"/>
        <v>0</v>
      </c>
      <c r="AQ515" s="40">
        <f t="shared" si="223"/>
        <v>0</v>
      </c>
      <c r="AR515" s="40">
        <f t="shared" si="224"/>
        <v>0</v>
      </c>
      <c r="AS515" s="40">
        <f t="shared" si="225"/>
        <v>0</v>
      </c>
    </row>
    <row r="516" spans="2:45" ht="14.4" customHeight="1" x14ac:dyDescent="0.25">
      <c r="B516" s="56" t="s">
        <v>44</v>
      </c>
      <c r="C516" s="57" t="s">
        <v>26</v>
      </c>
      <c r="D516" s="58" t="s">
        <v>29</v>
      </c>
      <c r="E516" s="62">
        <v>1.9529999999999995E-2</v>
      </c>
      <c r="F516" s="65">
        <f t="shared" si="226"/>
        <v>-3.9358035340935498</v>
      </c>
      <c r="S516" s="40">
        <f t="shared" si="199"/>
        <v>0</v>
      </c>
      <c r="T516" s="40">
        <f t="shared" si="200"/>
        <v>0</v>
      </c>
      <c r="U516" s="40">
        <f t="shared" si="201"/>
        <v>0</v>
      </c>
      <c r="V516" s="40">
        <f t="shared" si="202"/>
        <v>0</v>
      </c>
      <c r="W516" s="40">
        <f t="shared" si="203"/>
        <v>1</v>
      </c>
      <c r="X516" s="40">
        <f t="shared" si="204"/>
        <v>0</v>
      </c>
      <c r="Y516" s="40">
        <f t="shared" si="205"/>
        <v>0</v>
      </c>
      <c r="Z516" s="40">
        <f t="shared" si="206"/>
        <v>0</v>
      </c>
      <c r="AA516" s="40">
        <f t="shared" si="207"/>
        <v>0</v>
      </c>
      <c r="AB516" s="40">
        <f t="shared" si="208"/>
        <v>0</v>
      </c>
      <c r="AC516" s="40">
        <f t="shared" si="209"/>
        <v>0</v>
      </c>
      <c r="AD516" s="40">
        <f t="shared" si="210"/>
        <v>0</v>
      </c>
      <c r="AE516" s="40">
        <f t="shared" si="211"/>
        <v>0</v>
      </c>
      <c r="AF516" s="40">
        <f t="shared" si="212"/>
        <v>1</v>
      </c>
      <c r="AG516" s="40">
        <f t="shared" si="213"/>
        <v>0</v>
      </c>
      <c r="AH516" s="40">
        <f t="shared" si="214"/>
        <v>0</v>
      </c>
      <c r="AI516" s="40">
        <f t="shared" si="215"/>
        <v>0</v>
      </c>
      <c r="AJ516" s="40">
        <f t="shared" si="216"/>
        <v>0</v>
      </c>
      <c r="AK516" s="40">
        <f t="shared" si="217"/>
        <v>0</v>
      </c>
      <c r="AL516" s="40">
        <f t="shared" si="218"/>
        <v>0</v>
      </c>
      <c r="AM516" s="40">
        <f t="shared" si="219"/>
        <v>0</v>
      </c>
      <c r="AN516" s="40">
        <f t="shared" si="220"/>
        <v>0</v>
      </c>
      <c r="AO516" s="40">
        <f t="shared" si="221"/>
        <v>0</v>
      </c>
      <c r="AP516" s="40">
        <f t="shared" si="222"/>
        <v>0</v>
      </c>
      <c r="AQ516" s="40">
        <f t="shared" si="223"/>
        <v>1</v>
      </c>
      <c r="AR516" s="40">
        <f t="shared" si="224"/>
        <v>0</v>
      </c>
      <c r="AS516" s="40">
        <f t="shared" si="225"/>
        <v>0</v>
      </c>
    </row>
    <row r="517" spans="2:45" ht="14.4" customHeight="1" x14ac:dyDescent="0.25">
      <c r="B517" s="56" t="s">
        <v>44</v>
      </c>
      <c r="C517" s="57" t="s">
        <v>26</v>
      </c>
      <c r="D517" s="58" t="s">
        <v>30</v>
      </c>
      <c r="E517" s="62">
        <v>3.850000000000001E-3</v>
      </c>
      <c r="F517" s="65">
        <f t="shared" si="226"/>
        <v>-5.559682130682444</v>
      </c>
      <c r="S517" s="40">
        <f t="shared" si="199"/>
        <v>0</v>
      </c>
      <c r="T517" s="40">
        <f t="shared" si="200"/>
        <v>0</v>
      </c>
      <c r="U517" s="40">
        <f t="shared" si="201"/>
        <v>0</v>
      </c>
      <c r="V517" s="40">
        <f t="shared" si="202"/>
        <v>0</v>
      </c>
      <c r="W517" s="40">
        <f t="shared" si="203"/>
        <v>1</v>
      </c>
      <c r="X517" s="40">
        <f t="shared" si="204"/>
        <v>0</v>
      </c>
      <c r="Y517" s="40">
        <f t="shared" si="205"/>
        <v>0</v>
      </c>
      <c r="Z517" s="40">
        <f t="shared" si="206"/>
        <v>0</v>
      </c>
      <c r="AA517" s="40">
        <f t="shared" si="207"/>
        <v>0</v>
      </c>
      <c r="AB517" s="40">
        <f t="shared" si="208"/>
        <v>0</v>
      </c>
      <c r="AC517" s="40">
        <f t="shared" si="209"/>
        <v>0</v>
      </c>
      <c r="AD517" s="40">
        <f t="shared" si="210"/>
        <v>0</v>
      </c>
      <c r="AE517" s="40">
        <f t="shared" si="211"/>
        <v>0</v>
      </c>
      <c r="AF517" s="40">
        <f t="shared" si="212"/>
        <v>1</v>
      </c>
      <c r="AG517" s="40">
        <f t="shared" si="213"/>
        <v>0</v>
      </c>
      <c r="AH517" s="40">
        <f t="shared" si="214"/>
        <v>1</v>
      </c>
      <c r="AI517" s="40">
        <f t="shared" si="215"/>
        <v>0</v>
      </c>
      <c r="AJ517" s="40">
        <f t="shared" si="216"/>
        <v>0</v>
      </c>
      <c r="AK517" s="40">
        <f t="shared" si="217"/>
        <v>0</v>
      </c>
      <c r="AL517" s="40">
        <f t="shared" si="218"/>
        <v>0</v>
      </c>
      <c r="AM517" s="40">
        <f t="shared" si="219"/>
        <v>0</v>
      </c>
      <c r="AN517" s="40">
        <f t="shared" si="220"/>
        <v>0</v>
      </c>
      <c r="AO517" s="40">
        <f t="shared" si="221"/>
        <v>0</v>
      </c>
      <c r="AP517" s="40">
        <f t="shared" si="222"/>
        <v>0</v>
      </c>
      <c r="AQ517" s="40">
        <f t="shared" si="223"/>
        <v>0</v>
      </c>
      <c r="AR517" s="40">
        <f t="shared" si="224"/>
        <v>0</v>
      </c>
      <c r="AS517" s="40">
        <f t="shared" si="225"/>
        <v>0</v>
      </c>
    </row>
    <row r="518" spans="2:45" ht="14.4" customHeight="1" x14ac:dyDescent="0.25">
      <c r="B518" s="56" t="s">
        <v>44</v>
      </c>
      <c r="C518" s="57" t="s">
        <v>26</v>
      </c>
      <c r="D518" s="58" t="s">
        <v>27</v>
      </c>
      <c r="E518" s="62">
        <v>2.4699999999999996E-2</v>
      </c>
      <c r="F518" s="65">
        <f t="shared" si="226"/>
        <v>-3.7009520353482057</v>
      </c>
      <c r="S518" s="40">
        <f t="shared" si="199"/>
        <v>0</v>
      </c>
      <c r="T518" s="40">
        <f t="shared" si="200"/>
        <v>0</v>
      </c>
      <c r="U518" s="40">
        <f t="shared" si="201"/>
        <v>0</v>
      </c>
      <c r="V518" s="40">
        <f t="shared" si="202"/>
        <v>0</v>
      </c>
      <c r="W518" s="40">
        <f t="shared" si="203"/>
        <v>1</v>
      </c>
      <c r="X518" s="40">
        <f t="shared" si="204"/>
        <v>0</v>
      </c>
      <c r="Y518" s="40">
        <f t="shared" si="205"/>
        <v>0</v>
      </c>
      <c r="Z518" s="40">
        <f t="shared" si="206"/>
        <v>0</v>
      </c>
      <c r="AA518" s="40">
        <f t="shared" si="207"/>
        <v>0</v>
      </c>
      <c r="AB518" s="40">
        <f t="shared" si="208"/>
        <v>0</v>
      </c>
      <c r="AC518" s="40">
        <f t="shared" si="209"/>
        <v>0</v>
      </c>
      <c r="AD518" s="40">
        <f t="shared" si="210"/>
        <v>0</v>
      </c>
      <c r="AE518" s="40">
        <f t="shared" si="211"/>
        <v>0</v>
      </c>
      <c r="AF518" s="40">
        <f t="shared" si="212"/>
        <v>1</v>
      </c>
      <c r="AG518" s="40">
        <f t="shared" si="213"/>
        <v>0</v>
      </c>
      <c r="AH518" s="40">
        <f t="shared" si="214"/>
        <v>1</v>
      </c>
      <c r="AI518" s="40">
        <f t="shared" si="215"/>
        <v>0</v>
      </c>
      <c r="AJ518" s="40">
        <f t="shared" si="216"/>
        <v>0</v>
      </c>
      <c r="AK518" s="40">
        <f t="shared" si="217"/>
        <v>0</v>
      </c>
      <c r="AL518" s="40">
        <f t="shared" si="218"/>
        <v>0</v>
      </c>
      <c r="AM518" s="40">
        <f t="shared" si="219"/>
        <v>0</v>
      </c>
      <c r="AN518" s="40">
        <f t="shared" si="220"/>
        <v>0</v>
      </c>
      <c r="AO518" s="40">
        <f t="shared" si="221"/>
        <v>0</v>
      </c>
      <c r="AP518" s="40">
        <f t="shared" si="222"/>
        <v>0</v>
      </c>
      <c r="AQ518" s="40">
        <f t="shared" si="223"/>
        <v>0</v>
      </c>
      <c r="AR518" s="40">
        <f t="shared" si="224"/>
        <v>0</v>
      </c>
      <c r="AS518" s="40">
        <f t="shared" si="225"/>
        <v>0</v>
      </c>
    </row>
    <row r="519" spans="2:45" ht="14.4" customHeight="1" x14ac:dyDescent="0.25">
      <c r="B519" s="56" t="s">
        <v>44</v>
      </c>
      <c r="C519" s="57" t="s">
        <v>26</v>
      </c>
      <c r="D519" s="58" t="s">
        <v>27</v>
      </c>
      <c r="E519" s="62">
        <v>2.3719999999999998E-2</v>
      </c>
      <c r="F519" s="65">
        <f t="shared" si="226"/>
        <v>-3.7414367048526125</v>
      </c>
      <c r="S519" s="40">
        <f t="shared" si="199"/>
        <v>0</v>
      </c>
      <c r="T519" s="40">
        <f t="shared" si="200"/>
        <v>0</v>
      </c>
      <c r="U519" s="40">
        <f t="shared" si="201"/>
        <v>0</v>
      </c>
      <c r="V519" s="40">
        <f t="shared" si="202"/>
        <v>0</v>
      </c>
      <c r="W519" s="40">
        <f t="shared" si="203"/>
        <v>1</v>
      </c>
      <c r="X519" s="40">
        <f t="shared" si="204"/>
        <v>0</v>
      </c>
      <c r="Y519" s="40">
        <f t="shared" si="205"/>
        <v>0</v>
      </c>
      <c r="Z519" s="40">
        <f t="shared" si="206"/>
        <v>0</v>
      </c>
      <c r="AA519" s="40">
        <f t="shared" si="207"/>
        <v>0</v>
      </c>
      <c r="AB519" s="40">
        <f t="shared" si="208"/>
        <v>0</v>
      </c>
      <c r="AC519" s="40">
        <f t="shared" si="209"/>
        <v>0</v>
      </c>
      <c r="AD519" s="40">
        <f t="shared" si="210"/>
        <v>0</v>
      </c>
      <c r="AE519" s="40">
        <f t="shared" si="211"/>
        <v>0</v>
      </c>
      <c r="AF519" s="40">
        <f t="shared" si="212"/>
        <v>1</v>
      </c>
      <c r="AG519" s="40">
        <f t="shared" si="213"/>
        <v>0</v>
      </c>
      <c r="AH519" s="40">
        <f t="shared" si="214"/>
        <v>0</v>
      </c>
      <c r="AI519" s="40">
        <f t="shared" si="215"/>
        <v>0</v>
      </c>
      <c r="AJ519" s="40">
        <f t="shared" si="216"/>
        <v>1</v>
      </c>
      <c r="AK519" s="40">
        <f t="shared" si="217"/>
        <v>0</v>
      </c>
      <c r="AL519" s="40">
        <f t="shared" si="218"/>
        <v>0</v>
      </c>
      <c r="AM519" s="40">
        <f t="shared" si="219"/>
        <v>0</v>
      </c>
      <c r="AN519" s="40">
        <f t="shared" si="220"/>
        <v>0</v>
      </c>
      <c r="AO519" s="40">
        <f t="shared" si="221"/>
        <v>0</v>
      </c>
      <c r="AP519" s="40">
        <f t="shared" si="222"/>
        <v>0</v>
      </c>
      <c r="AQ519" s="40">
        <f t="shared" si="223"/>
        <v>0</v>
      </c>
      <c r="AR519" s="40">
        <f t="shared" si="224"/>
        <v>0</v>
      </c>
      <c r="AS519" s="40">
        <f t="shared" si="225"/>
        <v>0</v>
      </c>
    </row>
    <row r="520" spans="2:45" ht="14.4" customHeight="1" x14ac:dyDescent="0.25">
      <c r="B520" s="56" t="s">
        <v>44</v>
      </c>
      <c r="C520" s="57" t="s">
        <v>26</v>
      </c>
      <c r="D520" s="58" t="s">
        <v>37</v>
      </c>
      <c r="E520" s="62">
        <v>2.6140000000000004E-2</v>
      </c>
      <c r="F520" s="65">
        <f t="shared" si="226"/>
        <v>-3.6442885707860611</v>
      </c>
      <c r="S520" s="40">
        <f t="shared" si="199"/>
        <v>0</v>
      </c>
      <c r="T520" s="40">
        <f t="shared" si="200"/>
        <v>0</v>
      </c>
      <c r="U520" s="40">
        <f t="shared" si="201"/>
        <v>0</v>
      </c>
      <c r="V520" s="40">
        <f t="shared" si="202"/>
        <v>0</v>
      </c>
      <c r="W520" s="40">
        <f t="shared" si="203"/>
        <v>1</v>
      </c>
      <c r="X520" s="40">
        <f t="shared" si="204"/>
        <v>0</v>
      </c>
      <c r="Y520" s="40">
        <f t="shared" si="205"/>
        <v>0</v>
      </c>
      <c r="Z520" s="40">
        <f t="shared" si="206"/>
        <v>0</v>
      </c>
      <c r="AA520" s="40">
        <f t="shared" si="207"/>
        <v>0</v>
      </c>
      <c r="AB520" s="40">
        <f t="shared" si="208"/>
        <v>0</v>
      </c>
      <c r="AC520" s="40">
        <f t="shared" si="209"/>
        <v>0</v>
      </c>
      <c r="AD520" s="40">
        <f t="shared" si="210"/>
        <v>0</v>
      </c>
      <c r="AE520" s="40">
        <f t="shared" si="211"/>
        <v>0</v>
      </c>
      <c r="AF520" s="40">
        <f t="shared" si="212"/>
        <v>1</v>
      </c>
      <c r="AG520" s="40">
        <f t="shared" si="213"/>
        <v>0</v>
      </c>
      <c r="AH520" s="40">
        <f t="shared" si="214"/>
        <v>0</v>
      </c>
      <c r="AI520" s="40">
        <f t="shared" si="215"/>
        <v>0</v>
      </c>
      <c r="AJ520" s="40">
        <f t="shared" si="216"/>
        <v>0</v>
      </c>
      <c r="AK520" s="40">
        <f t="shared" si="217"/>
        <v>0</v>
      </c>
      <c r="AL520" s="40">
        <f t="shared" si="218"/>
        <v>1</v>
      </c>
      <c r="AM520" s="40">
        <f t="shared" si="219"/>
        <v>0</v>
      </c>
      <c r="AN520" s="40">
        <f t="shared" si="220"/>
        <v>0</v>
      </c>
      <c r="AO520" s="40">
        <f t="shared" si="221"/>
        <v>0</v>
      </c>
      <c r="AP520" s="40">
        <f t="shared" si="222"/>
        <v>0</v>
      </c>
      <c r="AQ520" s="40">
        <f t="shared" si="223"/>
        <v>0</v>
      </c>
      <c r="AR520" s="40">
        <f t="shared" si="224"/>
        <v>0</v>
      </c>
      <c r="AS520" s="40">
        <f t="shared" si="225"/>
        <v>0</v>
      </c>
    </row>
    <row r="521" spans="2:45" ht="14.4" customHeight="1" x14ac:dyDescent="0.25">
      <c r="B521" s="56" t="s">
        <v>44</v>
      </c>
      <c r="C521" s="57" t="s">
        <v>26</v>
      </c>
      <c r="D521" s="58" t="s">
        <v>24</v>
      </c>
      <c r="E521" s="62">
        <v>9.3500000000000007E-3</v>
      </c>
      <c r="F521" s="65">
        <f t="shared" si="226"/>
        <v>-4.6723789356815413</v>
      </c>
      <c r="S521" s="40">
        <f t="shared" si="199"/>
        <v>0</v>
      </c>
      <c r="T521" s="40">
        <f t="shared" si="200"/>
        <v>0</v>
      </c>
      <c r="U521" s="40">
        <f t="shared" si="201"/>
        <v>0</v>
      </c>
      <c r="V521" s="40">
        <f t="shared" si="202"/>
        <v>0</v>
      </c>
      <c r="W521" s="40">
        <f t="shared" si="203"/>
        <v>1</v>
      </c>
      <c r="X521" s="40">
        <f t="shared" si="204"/>
        <v>0</v>
      </c>
      <c r="Y521" s="40">
        <f t="shared" si="205"/>
        <v>0</v>
      </c>
      <c r="Z521" s="40">
        <f t="shared" si="206"/>
        <v>0</v>
      </c>
      <c r="AA521" s="40">
        <f t="shared" si="207"/>
        <v>0</v>
      </c>
      <c r="AB521" s="40">
        <f t="shared" si="208"/>
        <v>0</v>
      </c>
      <c r="AC521" s="40">
        <f t="shared" si="209"/>
        <v>0</v>
      </c>
      <c r="AD521" s="40">
        <f t="shared" si="210"/>
        <v>0</v>
      </c>
      <c r="AE521" s="40">
        <f t="shared" si="211"/>
        <v>0</v>
      </c>
      <c r="AF521" s="40">
        <f t="shared" si="212"/>
        <v>1</v>
      </c>
      <c r="AG521" s="40">
        <f t="shared" si="213"/>
        <v>0</v>
      </c>
      <c r="AH521" s="40">
        <f t="shared" si="214"/>
        <v>0</v>
      </c>
      <c r="AI521" s="40">
        <f t="shared" si="215"/>
        <v>0</v>
      </c>
      <c r="AJ521" s="40">
        <f t="shared" si="216"/>
        <v>0</v>
      </c>
      <c r="AK521" s="40">
        <f t="shared" si="217"/>
        <v>0</v>
      </c>
      <c r="AL521" s="40">
        <f t="shared" si="218"/>
        <v>1</v>
      </c>
      <c r="AM521" s="40">
        <f t="shared" si="219"/>
        <v>0</v>
      </c>
      <c r="AN521" s="40">
        <f t="shared" si="220"/>
        <v>0</v>
      </c>
      <c r="AO521" s="40">
        <f t="shared" si="221"/>
        <v>0</v>
      </c>
      <c r="AP521" s="40">
        <f t="shared" si="222"/>
        <v>0</v>
      </c>
      <c r="AQ521" s="40">
        <f t="shared" si="223"/>
        <v>0</v>
      </c>
      <c r="AR521" s="40">
        <f t="shared" si="224"/>
        <v>0</v>
      </c>
      <c r="AS521" s="40">
        <f t="shared" si="225"/>
        <v>0</v>
      </c>
    </row>
    <row r="522" spans="2:45" ht="14.4" customHeight="1" x14ac:dyDescent="0.25">
      <c r="B522" s="56" t="s">
        <v>44</v>
      </c>
      <c r="C522" s="57" t="s">
        <v>26</v>
      </c>
      <c r="D522" s="58" t="s">
        <v>24</v>
      </c>
      <c r="E522" s="62">
        <v>1.8229999999999996E-2</v>
      </c>
      <c r="F522" s="65">
        <f t="shared" si="226"/>
        <v>-4.0046866902915657</v>
      </c>
      <c r="S522" s="40">
        <f t="shared" ref="S522:S585" si="227">IF($B523=S$9,1,0)</f>
        <v>0</v>
      </c>
      <c r="T522" s="40">
        <f t="shared" ref="T522:T585" si="228">IF($B523=T$9,1,0)</f>
        <v>0</v>
      </c>
      <c r="U522" s="40">
        <f t="shared" ref="U522:U585" si="229">IF($B523=U$9,1,0)</f>
        <v>0</v>
      </c>
      <c r="V522" s="40">
        <f t="shared" ref="V522:V585" si="230">IF($B523=V$9,1,0)</f>
        <v>0</v>
      </c>
      <c r="W522" s="40">
        <f t="shared" ref="W522:W585" si="231">IF($B523=W$9,1,0)</f>
        <v>1</v>
      </c>
      <c r="X522" s="40">
        <f t="shared" ref="X522:X585" si="232">IF($B523=X$9,1,0)</f>
        <v>0</v>
      </c>
      <c r="Y522" s="40">
        <f t="shared" ref="Y522:Y585" si="233">IF($B523=Y$9,1,0)</f>
        <v>0</v>
      </c>
      <c r="Z522" s="40">
        <f t="shared" ref="Z522:Z585" si="234">IF($C523=Z$9,1,0)</f>
        <v>0</v>
      </c>
      <c r="AA522" s="40">
        <f t="shared" ref="AA522:AA585" si="235">IF($C523=AA$9,1,0)</f>
        <v>0</v>
      </c>
      <c r="AB522" s="40">
        <f t="shared" ref="AB522:AB585" si="236">IF($C523=AB$9,1,0)</f>
        <v>0</v>
      </c>
      <c r="AC522" s="40">
        <f t="shared" ref="AC522:AC585" si="237">IF($C523=AC$9,1,0)</f>
        <v>0</v>
      </c>
      <c r="AD522" s="40">
        <f t="shared" ref="AD522:AD585" si="238">IF($C523=AD$9,1,0)</f>
        <v>0</v>
      </c>
      <c r="AE522" s="40">
        <f t="shared" ref="AE522:AE585" si="239">IF($C523=AE$9,1,0)</f>
        <v>0</v>
      </c>
      <c r="AF522" s="40">
        <f t="shared" ref="AF522:AF585" si="240">IF($C523=AF$9,1,0)</f>
        <v>1</v>
      </c>
      <c r="AG522" s="40">
        <f t="shared" ref="AG522:AG585" si="241">IF($C523=AG$9,1,0)</f>
        <v>0</v>
      </c>
      <c r="AH522" s="40">
        <f t="shared" ref="AH522:AH585" si="242">IF($D523=AH$9,1,0)</f>
        <v>0</v>
      </c>
      <c r="AI522" s="40">
        <f t="shared" ref="AI522:AI585" si="243">IF($D523=AI$9,1,0)</f>
        <v>0</v>
      </c>
      <c r="AJ522" s="40">
        <f t="shared" ref="AJ522:AJ585" si="244">IF($D523=AJ$9,1,0)</f>
        <v>0</v>
      </c>
      <c r="AK522" s="40">
        <f t="shared" ref="AK522:AK585" si="245">IF($D523=AK$9,1,0)</f>
        <v>0</v>
      </c>
      <c r="AL522" s="40">
        <f t="shared" ref="AL522:AL585" si="246">IF($D523=AL$9,1,0)</f>
        <v>0</v>
      </c>
      <c r="AM522" s="40">
        <f t="shared" ref="AM522:AM585" si="247">IF($D523=AM$9,1,0)</f>
        <v>0</v>
      </c>
      <c r="AN522" s="40">
        <f t="shared" ref="AN522:AN585" si="248">IF($D523=AN$9,1,0)</f>
        <v>0</v>
      </c>
      <c r="AO522" s="40">
        <f t="shared" ref="AO522:AO585" si="249">IF($D523=AO$9,1,0)</f>
        <v>1</v>
      </c>
      <c r="AP522" s="40">
        <f t="shared" ref="AP522:AP585" si="250">IF($D523=AP$9,1,0)</f>
        <v>0</v>
      </c>
      <c r="AQ522" s="40">
        <f t="shared" ref="AQ522:AQ585" si="251">IF($D523=AQ$9,1,0)</f>
        <v>0</v>
      </c>
      <c r="AR522" s="40">
        <f t="shared" ref="AR522:AR585" si="252">IF($D523=AR$9,1,0)</f>
        <v>0</v>
      </c>
      <c r="AS522" s="40">
        <f t="shared" ref="AS522:AS585" si="253">IF($D523=AS$9,1,0)</f>
        <v>0</v>
      </c>
    </row>
    <row r="523" spans="2:45" ht="14.4" customHeight="1" x14ac:dyDescent="0.25">
      <c r="B523" s="56" t="s">
        <v>44</v>
      </c>
      <c r="C523" s="57" t="s">
        <v>26</v>
      </c>
      <c r="D523" s="58" t="s">
        <v>31</v>
      </c>
      <c r="E523" s="62">
        <v>6.7399999999999986E-3</v>
      </c>
      <c r="F523" s="65">
        <f t="shared" si="226"/>
        <v>-4.9996953540579216</v>
      </c>
      <c r="S523" s="40">
        <f t="shared" si="227"/>
        <v>0</v>
      </c>
      <c r="T523" s="40">
        <f t="shared" si="228"/>
        <v>0</v>
      </c>
      <c r="U523" s="40">
        <f t="shared" si="229"/>
        <v>0</v>
      </c>
      <c r="V523" s="40">
        <f t="shared" si="230"/>
        <v>0</v>
      </c>
      <c r="W523" s="40">
        <f t="shared" si="231"/>
        <v>1</v>
      </c>
      <c r="X523" s="40">
        <f t="shared" si="232"/>
        <v>0</v>
      </c>
      <c r="Y523" s="40">
        <f t="shared" si="233"/>
        <v>0</v>
      </c>
      <c r="Z523" s="40">
        <f t="shared" si="234"/>
        <v>0</v>
      </c>
      <c r="AA523" s="40">
        <f t="shared" si="235"/>
        <v>0</v>
      </c>
      <c r="AB523" s="40">
        <f t="shared" si="236"/>
        <v>0</v>
      </c>
      <c r="AC523" s="40">
        <f t="shared" si="237"/>
        <v>0</v>
      </c>
      <c r="AD523" s="40">
        <f t="shared" si="238"/>
        <v>0</v>
      </c>
      <c r="AE523" s="40">
        <f t="shared" si="239"/>
        <v>0</v>
      </c>
      <c r="AF523" s="40">
        <f t="shared" si="240"/>
        <v>1</v>
      </c>
      <c r="AG523" s="40">
        <f t="shared" si="241"/>
        <v>0</v>
      </c>
      <c r="AH523" s="40">
        <f t="shared" si="242"/>
        <v>0</v>
      </c>
      <c r="AI523" s="40">
        <f t="shared" si="243"/>
        <v>1</v>
      </c>
      <c r="AJ523" s="40">
        <f t="shared" si="244"/>
        <v>0</v>
      </c>
      <c r="AK523" s="40">
        <f t="shared" si="245"/>
        <v>0</v>
      </c>
      <c r="AL523" s="40">
        <f t="shared" si="246"/>
        <v>0</v>
      </c>
      <c r="AM523" s="40">
        <f t="shared" si="247"/>
        <v>0</v>
      </c>
      <c r="AN523" s="40">
        <f t="shared" si="248"/>
        <v>0</v>
      </c>
      <c r="AO523" s="40">
        <f t="shared" si="249"/>
        <v>0</v>
      </c>
      <c r="AP523" s="40">
        <f t="shared" si="250"/>
        <v>0</v>
      </c>
      <c r="AQ523" s="40">
        <f t="shared" si="251"/>
        <v>0</v>
      </c>
      <c r="AR523" s="40">
        <f t="shared" si="252"/>
        <v>0</v>
      </c>
      <c r="AS523" s="40">
        <f t="shared" si="253"/>
        <v>0</v>
      </c>
    </row>
    <row r="524" spans="2:45" ht="14.4" customHeight="1" x14ac:dyDescent="0.25">
      <c r="B524" s="56" t="s">
        <v>44</v>
      </c>
      <c r="C524" s="57" t="s">
        <v>26</v>
      </c>
      <c r="D524" s="58" t="s">
        <v>28</v>
      </c>
      <c r="E524" s="62">
        <v>1.6890000000000006E-2</v>
      </c>
      <c r="F524" s="65">
        <f t="shared" ref="F524:F587" si="254">LN(E524)</f>
        <v>-4.081033548162428</v>
      </c>
      <c r="S524" s="40">
        <f t="shared" si="227"/>
        <v>0</v>
      </c>
      <c r="T524" s="40">
        <f t="shared" si="228"/>
        <v>0</v>
      </c>
      <c r="U524" s="40">
        <f t="shared" si="229"/>
        <v>0</v>
      </c>
      <c r="V524" s="40">
        <f t="shared" si="230"/>
        <v>0</v>
      </c>
      <c r="W524" s="40">
        <f t="shared" si="231"/>
        <v>1</v>
      </c>
      <c r="X524" s="40">
        <f t="shared" si="232"/>
        <v>0</v>
      </c>
      <c r="Y524" s="40">
        <f t="shared" si="233"/>
        <v>0</v>
      </c>
      <c r="Z524" s="40">
        <f t="shared" si="234"/>
        <v>0</v>
      </c>
      <c r="AA524" s="40">
        <f t="shared" si="235"/>
        <v>0</v>
      </c>
      <c r="AB524" s="40">
        <f t="shared" si="236"/>
        <v>0</v>
      </c>
      <c r="AC524" s="40">
        <f t="shared" si="237"/>
        <v>0</v>
      </c>
      <c r="AD524" s="40">
        <f t="shared" si="238"/>
        <v>0</v>
      </c>
      <c r="AE524" s="40">
        <f t="shared" si="239"/>
        <v>1</v>
      </c>
      <c r="AF524" s="40">
        <f t="shared" si="240"/>
        <v>0</v>
      </c>
      <c r="AG524" s="40">
        <f t="shared" si="241"/>
        <v>0</v>
      </c>
      <c r="AH524" s="40">
        <f t="shared" si="242"/>
        <v>0</v>
      </c>
      <c r="AI524" s="40">
        <f t="shared" si="243"/>
        <v>0</v>
      </c>
      <c r="AJ524" s="40">
        <f t="shared" si="244"/>
        <v>0</v>
      </c>
      <c r="AK524" s="40">
        <f t="shared" si="245"/>
        <v>0</v>
      </c>
      <c r="AL524" s="40">
        <f t="shared" si="246"/>
        <v>0</v>
      </c>
      <c r="AM524" s="40">
        <f t="shared" si="247"/>
        <v>1</v>
      </c>
      <c r="AN524" s="40">
        <f t="shared" si="248"/>
        <v>0</v>
      </c>
      <c r="AO524" s="40">
        <f t="shared" si="249"/>
        <v>0</v>
      </c>
      <c r="AP524" s="40">
        <f t="shared" si="250"/>
        <v>0</v>
      </c>
      <c r="AQ524" s="40">
        <f t="shared" si="251"/>
        <v>0</v>
      </c>
      <c r="AR524" s="40">
        <f t="shared" si="252"/>
        <v>0</v>
      </c>
      <c r="AS524" s="40">
        <f t="shared" si="253"/>
        <v>0</v>
      </c>
    </row>
    <row r="525" spans="2:45" ht="14.4" customHeight="1" x14ac:dyDescent="0.25">
      <c r="B525" s="56" t="s">
        <v>44</v>
      </c>
      <c r="C525" s="57" t="s">
        <v>34</v>
      </c>
      <c r="D525" s="58" t="s">
        <v>35</v>
      </c>
      <c r="E525" s="62">
        <v>2.622E-2</v>
      </c>
      <c r="F525" s="65">
        <f t="shared" si="254"/>
        <v>-3.6412328006465833</v>
      </c>
      <c r="S525" s="40">
        <f t="shared" si="227"/>
        <v>0</v>
      </c>
      <c r="T525" s="40">
        <f t="shared" si="228"/>
        <v>0</v>
      </c>
      <c r="U525" s="40">
        <f t="shared" si="229"/>
        <v>0</v>
      </c>
      <c r="V525" s="40">
        <f t="shared" si="230"/>
        <v>0</v>
      </c>
      <c r="W525" s="40">
        <f t="shared" si="231"/>
        <v>1</v>
      </c>
      <c r="X525" s="40">
        <f t="shared" si="232"/>
        <v>0</v>
      </c>
      <c r="Y525" s="40">
        <f t="shared" si="233"/>
        <v>0</v>
      </c>
      <c r="Z525" s="40">
        <f t="shared" si="234"/>
        <v>0</v>
      </c>
      <c r="AA525" s="40">
        <f t="shared" si="235"/>
        <v>0</v>
      </c>
      <c r="AB525" s="40">
        <f t="shared" si="236"/>
        <v>0</v>
      </c>
      <c r="AC525" s="40">
        <f t="shared" si="237"/>
        <v>0</v>
      </c>
      <c r="AD525" s="40">
        <f t="shared" si="238"/>
        <v>0</v>
      </c>
      <c r="AE525" s="40">
        <f t="shared" si="239"/>
        <v>0</v>
      </c>
      <c r="AF525" s="40">
        <f t="shared" si="240"/>
        <v>1</v>
      </c>
      <c r="AG525" s="40">
        <f t="shared" si="241"/>
        <v>0</v>
      </c>
      <c r="AH525" s="40">
        <f t="shared" si="242"/>
        <v>0</v>
      </c>
      <c r="AI525" s="40">
        <f t="shared" si="243"/>
        <v>0</v>
      </c>
      <c r="AJ525" s="40">
        <f t="shared" si="244"/>
        <v>0</v>
      </c>
      <c r="AK525" s="40">
        <f t="shared" si="245"/>
        <v>0</v>
      </c>
      <c r="AL525" s="40">
        <f t="shared" si="246"/>
        <v>0</v>
      </c>
      <c r="AM525" s="40">
        <f t="shared" si="247"/>
        <v>0</v>
      </c>
      <c r="AN525" s="40">
        <f t="shared" si="248"/>
        <v>1</v>
      </c>
      <c r="AO525" s="40">
        <f t="shared" si="249"/>
        <v>0</v>
      </c>
      <c r="AP525" s="40">
        <f t="shared" si="250"/>
        <v>0</v>
      </c>
      <c r="AQ525" s="40">
        <f t="shared" si="251"/>
        <v>0</v>
      </c>
      <c r="AR525" s="40">
        <f t="shared" si="252"/>
        <v>0</v>
      </c>
      <c r="AS525" s="40">
        <f t="shared" si="253"/>
        <v>0</v>
      </c>
    </row>
    <row r="526" spans="2:45" ht="14.4" customHeight="1" x14ac:dyDescent="0.25">
      <c r="B526" s="56" t="s">
        <v>44</v>
      </c>
      <c r="C526" s="57" t="s">
        <v>26</v>
      </c>
      <c r="D526" s="58" t="s">
        <v>29</v>
      </c>
      <c r="E526" s="62">
        <v>1.137E-2</v>
      </c>
      <c r="F526" s="65">
        <f t="shared" si="254"/>
        <v>-4.4767769712196923</v>
      </c>
      <c r="S526" s="40">
        <f t="shared" si="227"/>
        <v>0</v>
      </c>
      <c r="T526" s="40">
        <f t="shared" si="228"/>
        <v>0</v>
      </c>
      <c r="U526" s="40">
        <f t="shared" si="229"/>
        <v>0</v>
      </c>
      <c r="V526" s="40">
        <f t="shared" si="230"/>
        <v>0</v>
      </c>
      <c r="W526" s="40">
        <f t="shared" si="231"/>
        <v>1</v>
      </c>
      <c r="X526" s="40">
        <f t="shared" si="232"/>
        <v>0</v>
      </c>
      <c r="Y526" s="40">
        <f t="shared" si="233"/>
        <v>0</v>
      </c>
      <c r="Z526" s="40">
        <f t="shared" si="234"/>
        <v>0</v>
      </c>
      <c r="AA526" s="40">
        <f t="shared" si="235"/>
        <v>0</v>
      </c>
      <c r="AB526" s="40">
        <f t="shared" si="236"/>
        <v>0</v>
      </c>
      <c r="AC526" s="40">
        <f t="shared" si="237"/>
        <v>0</v>
      </c>
      <c r="AD526" s="40">
        <f t="shared" si="238"/>
        <v>0</v>
      </c>
      <c r="AE526" s="40">
        <f t="shared" si="239"/>
        <v>0</v>
      </c>
      <c r="AF526" s="40">
        <f t="shared" si="240"/>
        <v>1</v>
      </c>
      <c r="AG526" s="40">
        <f t="shared" si="241"/>
        <v>0</v>
      </c>
      <c r="AH526" s="40">
        <f t="shared" si="242"/>
        <v>0</v>
      </c>
      <c r="AI526" s="40">
        <f t="shared" si="243"/>
        <v>0</v>
      </c>
      <c r="AJ526" s="40">
        <f t="shared" si="244"/>
        <v>0</v>
      </c>
      <c r="AK526" s="40">
        <f t="shared" si="245"/>
        <v>0</v>
      </c>
      <c r="AL526" s="40">
        <f t="shared" si="246"/>
        <v>0</v>
      </c>
      <c r="AM526" s="40">
        <f t="shared" si="247"/>
        <v>0</v>
      </c>
      <c r="AN526" s="40">
        <f t="shared" si="248"/>
        <v>0</v>
      </c>
      <c r="AO526" s="40">
        <f t="shared" si="249"/>
        <v>1</v>
      </c>
      <c r="AP526" s="40">
        <f t="shared" si="250"/>
        <v>0</v>
      </c>
      <c r="AQ526" s="40">
        <f t="shared" si="251"/>
        <v>0</v>
      </c>
      <c r="AR526" s="40">
        <f t="shared" si="252"/>
        <v>0</v>
      </c>
      <c r="AS526" s="40">
        <f t="shared" si="253"/>
        <v>0</v>
      </c>
    </row>
    <row r="527" spans="2:45" ht="14.4" customHeight="1" x14ac:dyDescent="0.25">
      <c r="B527" s="56" t="s">
        <v>44</v>
      </c>
      <c r="C527" s="57" t="s">
        <v>26</v>
      </c>
      <c r="D527" s="58" t="s">
        <v>31</v>
      </c>
      <c r="E527" s="62">
        <v>5.850000000000001E-3</v>
      </c>
      <c r="F527" s="65">
        <f t="shared" si="254"/>
        <v>-5.1413136177383718</v>
      </c>
      <c r="S527" s="40">
        <f t="shared" si="227"/>
        <v>0</v>
      </c>
      <c r="T527" s="40">
        <f t="shared" si="228"/>
        <v>0</v>
      </c>
      <c r="U527" s="40">
        <f t="shared" si="229"/>
        <v>0</v>
      </c>
      <c r="V527" s="40">
        <f t="shared" si="230"/>
        <v>0</v>
      </c>
      <c r="W527" s="40">
        <f t="shared" si="231"/>
        <v>1</v>
      </c>
      <c r="X527" s="40">
        <f t="shared" si="232"/>
        <v>0</v>
      </c>
      <c r="Y527" s="40">
        <f t="shared" si="233"/>
        <v>0</v>
      </c>
      <c r="Z527" s="40">
        <f t="shared" si="234"/>
        <v>0</v>
      </c>
      <c r="AA527" s="40">
        <f t="shared" si="235"/>
        <v>0</v>
      </c>
      <c r="AB527" s="40">
        <f t="shared" si="236"/>
        <v>0</v>
      </c>
      <c r="AC527" s="40">
        <f t="shared" si="237"/>
        <v>0</v>
      </c>
      <c r="AD527" s="40">
        <f t="shared" si="238"/>
        <v>0</v>
      </c>
      <c r="AE527" s="40">
        <f t="shared" si="239"/>
        <v>0</v>
      </c>
      <c r="AF527" s="40">
        <f t="shared" si="240"/>
        <v>1</v>
      </c>
      <c r="AG527" s="40">
        <f t="shared" si="241"/>
        <v>0</v>
      </c>
      <c r="AH527" s="40">
        <f t="shared" si="242"/>
        <v>0</v>
      </c>
      <c r="AI527" s="40">
        <f t="shared" si="243"/>
        <v>0</v>
      </c>
      <c r="AJ527" s="40">
        <f t="shared" si="244"/>
        <v>0</v>
      </c>
      <c r="AK527" s="40">
        <f t="shared" si="245"/>
        <v>0</v>
      </c>
      <c r="AL527" s="40">
        <f t="shared" si="246"/>
        <v>0</v>
      </c>
      <c r="AM527" s="40">
        <f t="shared" si="247"/>
        <v>0</v>
      </c>
      <c r="AN527" s="40">
        <f t="shared" si="248"/>
        <v>1</v>
      </c>
      <c r="AO527" s="40">
        <f t="shared" si="249"/>
        <v>0</v>
      </c>
      <c r="AP527" s="40">
        <f t="shared" si="250"/>
        <v>0</v>
      </c>
      <c r="AQ527" s="40">
        <f t="shared" si="251"/>
        <v>0</v>
      </c>
      <c r="AR527" s="40">
        <f t="shared" si="252"/>
        <v>0</v>
      </c>
      <c r="AS527" s="40">
        <f t="shared" si="253"/>
        <v>0</v>
      </c>
    </row>
    <row r="528" spans="2:45" ht="14.4" customHeight="1" x14ac:dyDescent="0.25">
      <c r="B528" s="56" t="s">
        <v>44</v>
      </c>
      <c r="C528" s="57" t="s">
        <v>26</v>
      </c>
      <c r="D528" s="58" t="s">
        <v>29</v>
      </c>
      <c r="E528" s="62">
        <v>2.657E-2</v>
      </c>
      <c r="F528" s="65">
        <f t="shared" si="254"/>
        <v>-3.6279725192104149</v>
      </c>
      <c r="S528" s="40">
        <f t="shared" si="227"/>
        <v>0</v>
      </c>
      <c r="T528" s="40">
        <f t="shared" si="228"/>
        <v>0</v>
      </c>
      <c r="U528" s="40">
        <f t="shared" si="229"/>
        <v>0</v>
      </c>
      <c r="V528" s="40">
        <f t="shared" si="230"/>
        <v>0</v>
      </c>
      <c r="W528" s="40">
        <f t="shared" si="231"/>
        <v>1</v>
      </c>
      <c r="X528" s="40">
        <f t="shared" si="232"/>
        <v>0</v>
      </c>
      <c r="Y528" s="40">
        <f t="shared" si="233"/>
        <v>0</v>
      </c>
      <c r="Z528" s="40">
        <f t="shared" si="234"/>
        <v>0</v>
      </c>
      <c r="AA528" s="40">
        <f t="shared" si="235"/>
        <v>0</v>
      </c>
      <c r="AB528" s="40">
        <f t="shared" si="236"/>
        <v>1</v>
      </c>
      <c r="AC528" s="40">
        <f t="shared" si="237"/>
        <v>0</v>
      </c>
      <c r="AD528" s="40">
        <f t="shared" si="238"/>
        <v>0</v>
      </c>
      <c r="AE528" s="40">
        <f t="shared" si="239"/>
        <v>0</v>
      </c>
      <c r="AF528" s="40">
        <f t="shared" si="240"/>
        <v>0</v>
      </c>
      <c r="AG528" s="40">
        <f t="shared" si="241"/>
        <v>0</v>
      </c>
      <c r="AH528" s="40">
        <f t="shared" si="242"/>
        <v>0</v>
      </c>
      <c r="AI528" s="40">
        <f t="shared" si="243"/>
        <v>0</v>
      </c>
      <c r="AJ528" s="40">
        <f t="shared" si="244"/>
        <v>0</v>
      </c>
      <c r="AK528" s="40">
        <f t="shared" si="245"/>
        <v>0</v>
      </c>
      <c r="AL528" s="40">
        <f t="shared" si="246"/>
        <v>0</v>
      </c>
      <c r="AM528" s="40">
        <f t="shared" si="247"/>
        <v>0</v>
      </c>
      <c r="AN528" s="40">
        <f t="shared" si="248"/>
        <v>0</v>
      </c>
      <c r="AO528" s="40">
        <f t="shared" si="249"/>
        <v>0</v>
      </c>
      <c r="AP528" s="40">
        <f t="shared" si="250"/>
        <v>0</v>
      </c>
      <c r="AQ528" s="40">
        <f t="shared" si="251"/>
        <v>0</v>
      </c>
      <c r="AR528" s="40">
        <f t="shared" si="252"/>
        <v>1</v>
      </c>
      <c r="AS528" s="40">
        <f t="shared" si="253"/>
        <v>0</v>
      </c>
    </row>
    <row r="529" spans="2:45" ht="14.4" customHeight="1" x14ac:dyDescent="0.25">
      <c r="B529" s="56" t="s">
        <v>44</v>
      </c>
      <c r="C529" s="57" t="s">
        <v>25</v>
      </c>
      <c r="D529" s="58" t="s">
        <v>33</v>
      </c>
      <c r="E529" s="62">
        <v>5.2099999999999985E-3</v>
      </c>
      <c r="F529" s="65">
        <f t="shared" si="254"/>
        <v>-5.2571754232168617</v>
      </c>
      <c r="S529" s="40">
        <f t="shared" si="227"/>
        <v>0</v>
      </c>
      <c r="T529" s="40">
        <f t="shared" si="228"/>
        <v>0</v>
      </c>
      <c r="U529" s="40">
        <f t="shared" si="229"/>
        <v>0</v>
      </c>
      <c r="V529" s="40">
        <f t="shared" si="230"/>
        <v>0</v>
      </c>
      <c r="W529" s="40">
        <f t="shared" si="231"/>
        <v>1</v>
      </c>
      <c r="X529" s="40">
        <f t="shared" si="232"/>
        <v>0</v>
      </c>
      <c r="Y529" s="40">
        <f t="shared" si="233"/>
        <v>0</v>
      </c>
      <c r="Z529" s="40">
        <f t="shared" si="234"/>
        <v>0</v>
      </c>
      <c r="AA529" s="40">
        <f t="shared" si="235"/>
        <v>0</v>
      </c>
      <c r="AB529" s="40">
        <f t="shared" si="236"/>
        <v>0</v>
      </c>
      <c r="AC529" s="40">
        <f t="shared" si="237"/>
        <v>0</v>
      </c>
      <c r="AD529" s="40">
        <f t="shared" si="238"/>
        <v>0</v>
      </c>
      <c r="AE529" s="40">
        <f t="shared" si="239"/>
        <v>0</v>
      </c>
      <c r="AF529" s="40">
        <f t="shared" si="240"/>
        <v>1</v>
      </c>
      <c r="AG529" s="40">
        <f t="shared" si="241"/>
        <v>0</v>
      </c>
      <c r="AH529" s="40">
        <f t="shared" si="242"/>
        <v>0</v>
      </c>
      <c r="AI529" s="40">
        <f t="shared" si="243"/>
        <v>1</v>
      </c>
      <c r="AJ529" s="40">
        <f t="shared" si="244"/>
        <v>0</v>
      </c>
      <c r="AK529" s="40">
        <f t="shared" si="245"/>
        <v>0</v>
      </c>
      <c r="AL529" s="40">
        <f t="shared" si="246"/>
        <v>0</v>
      </c>
      <c r="AM529" s="40">
        <f t="shared" si="247"/>
        <v>0</v>
      </c>
      <c r="AN529" s="40">
        <f t="shared" si="248"/>
        <v>0</v>
      </c>
      <c r="AO529" s="40">
        <f t="shared" si="249"/>
        <v>0</v>
      </c>
      <c r="AP529" s="40">
        <f t="shared" si="250"/>
        <v>0</v>
      </c>
      <c r="AQ529" s="40">
        <f t="shared" si="251"/>
        <v>0</v>
      </c>
      <c r="AR529" s="40">
        <f t="shared" si="252"/>
        <v>0</v>
      </c>
      <c r="AS529" s="40">
        <f t="shared" si="253"/>
        <v>0</v>
      </c>
    </row>
    <row r="530" spans="2:45" ht="14.4" customHeight="1" x14ac:dyDescent="0.25">
      <c r="B530" s="56" t="s">
        <v>44</v>
      </c>
      <c r="C530" s="57" t="s">
        <v>26</v>
      </c>
      <c r="D530" s="58" t="s">
        <v>28</v>
      </c>
      <c r="E530" s="62">
        <v>1.2430000000000002E-2</v>
      </c>
      <c r="F530" s="65">
        <f t="shared" si="254"/>
        <v>-4.3876423734595171</v>
      </c>
      <c r="S530" s="40">
        <f t="shared" si="227"/>
        <v>0</v>
      </c>
      <c r="T530" s="40">
        <f t="shared" si="228"/>
        <v>0</v>
      </c>
      <c r="U530" s="40">
        <f t="shared" si="229"/>
        <v>0</v>
      </c>
      <c r="V530" s="40">
        <f t="shared" si="230"/>
        <v>0</v>
      </c>
      <c r="W530" s="40">
        <f t="shared" si="231"/>
        <v>1</v>
      </c>
      <c r="X530" s="40">
        <f t="shared" si="232"/>
        <v>0</v>
      </c>
      <c r="Y530" s="40">
        <f t="shared" si="233"/>
        <v>0</v>
      </c>
      <c r="Z530" s="40">
        <f t="shared" si="234"/>
        <v>0</v>
      </c>
      <c r="AA530" s="40">
        <f t="shared" si="235"/>
        <v>0</v>
      </c>
      <c r="AB530" s="40">
        <f t="shared" si="236"/>
        <v>0</v>
      </c>
      <c r="AC530" s="40">
        <f t="shared" si="237"/>
        <v>0</v>
      </c>
      <c r="AD530" s="40">
        <f t="shared" si="238"/>
        <v>0</v>
      </c>
      <c r="AE530" s="40">
        <f t="shared" si="239"/>
        <v>0</v>
      </c>
      <c r="AF530" s="40">
        <f t="shared" si="240"/>
        <v>1</v>
      </c>
      <c r="AG530" s="40">
        <f t="shared" si="241"/>
        <v>0</v>
      </c>
      <c r="AH530" s="40">
        <f t="shared" si="242"/>
        <v>0</v>
      </c>
      <c r="AI530" s="40">
        <f t="shared" si="243"/>
        <v>1</v>
      </c>
      <c r="AJ530" s="40">
        <f t="shared" si="244"/>
        <v>0</v>
      </c>
      <c r="AK530" s="40">
        <f t="shared" si="245"/>
        <v>0</v>
      </c>
      <c r="AL530" s="40">
        <f t="shared" si="246"/>
        <v>0</v>
      </c>
      <c r="AM530" s="40">
        <f t="shared" si="247"/>
        <v>0</v>
      </c>
      <c r="AN530" s="40">
        <f t="shared" si="248"/>
        <v>0</v>
      </c>
      <c r="AO530" s="40">
        <f t="shared" si="249"/>
        <v>0</v>
      </c>
      <c r="AP530" s="40">
        <f t="shared" si="250"/>
        <v>0</v>
      </c>
      <c r="AQ530" s="40">
        <f t="shared" si="251"/>
        <v>0</v>
      </c>
      <c r="AR530" s="40">
        <f t="shared" si="252"/>
        <v>0</v>
      </c>
      <c r="AS530" s="40">
        <f t="shared" si="253"/>
        <v>0</v>
      </c>
    </row>
    <row r="531" spans="2:45" ht="14.4" customHeight="1" x14ac:dyDescent="0.25">
      <c r="B531" s="56" t="s">
        <v>44</v>
      </c>
      <c r="C531" s="57" t="s">
        <v>26</v>
      </c>
      <c r="D531" s="58" t="s">
        <v>28</v>
      </c>
      <c r="E531" s="62">
        <v>1.3590000000000005E-2</v>
      </c>
      <c r="F531" s="65">
        <f t="shared" si="254"/>
        <v>-4.2984210508190843</v>
      </c>
      <c r="S531" s="40">
        <f t="shared" si="227"/>
        <v>0</v>
      </c>
      <c r="T531" s="40">
        <f t="shared" si="228"/>
        <v>0</v>
      </c>
      <c r="U531" s="40">
        <f t="shared" si="229"/>
        <v>0</v>
      </c>
      <c r="V531" s="40">
        <f t="shared" si="230"/>
        <v>0</v>
      </c>
      <c r="W531" s="40">
        <f t="shared" si="231"/>
        <v>1</v>
      </c>
      <c r="X531" s="40">
        <f t="shared" si="232"/>
        <v>0</v>
      </c>
      <c r="Y531" s="40">
        <f t="shared" si="233"/>
        <v>0</v>
      </c>
      <c r="Z531" s="40">
        <f t="shared" si="234"/>
        <v>0</v>
      </c>
      <c r="AA531" s="40">
        <f t="shared" si="235"/>
        <v>0</v>
      </c>
      <c r="AB531" s="40">
        <f t="shared" si="236"/>
        <v>0</v>
      </c>
      <c r="AC531" s="40">
        <f t="shared" si="237"/>
        <v>0</v>
      </c>
      <c r="AD531" s="40">
        <f t="shared" si="238"/>
        <v>0</v>
      </c>
      <c r="AE531" s="40">
        <f t="shared" si="239"/>
        <v>0</v>
      </c>
      <c r="AF531" s="40">
        <f t="shared" si="240"/>
        <v>1</v>
      </c>
      <c r="AG531" s="40">
        <f t="shared" si="241"/>
        <v>0</v>
      </c>
      <c r="AH531" s="40">
        <f t="shared" si="242"/>
        <v>0</v>
      </c>
      <c r="AI531" s="40">
        <f t="shared" si="243"/>
        <v>0</v>
      </c>
      <c r="AJ531" s="40">
        <f t="shared" si="244"/>
        <v>0</v>
      </c>
      <c r="AK531" s="40">
        <f t="shared" si="245"/>
        <v>0</v>
      </c>
      <c r="AL531" s="40">
        <f t="shared" si="246"/>
        <v>1</v>
      </c>
      <c r="AM531" s="40">
        <f t="shared" si="247"/>
        <v>0</v>
      </c>
      <c r="AN531" s="40">
        <f t="shared" si="248"/>
        <v>0</v>
      </c>
      <c r="AO531" s="40">
        <f t="shared" si="249"/>
        <v>0</v>
      </c>
      <c r="AP531" s="40">
        <f t="shared" si="250"/>
        <v>0</v>
      </c>
      <c r="AQ531" s="40">
        <f t="shared" si="251"/>
        <v>0</v>
      </c>
      <c r="AR531" s="40">
        <f t="shared" si="252"/>
        <v>0</v>
      </c>
      <c r="AS531" s="40">
        <f t="shared" si="253"/>
        <v>0</v>
      </c>
    </row>
    <row r="532" spans="2:45" ht="14.4" customHeight="1" x14ac:dyDescent="0.25">
      <c r="B532" s="56" t="s">
        <v>44</v>
      </c>
      <c r="C532" s="57" t="s">
        <v>26</v>
      </c>
      <c r="D532" s="58" t="s">
        <v>24</v>
      </c>
      <c r="E532" s="62">
        <v>2.0039999999999995E-2</v>
      </c>
      <c r="F532" s="65">
        <f t="shared" si="254"/>
        <v>-3.9100250027654733</v>
      </c>
      <c r="S532" s="40">
        <f t="shared" si="227"/>
        <v>0</v>
      </c>
      <c r="T532" s="40">
        <f t="shared" si="228"/>
        <v>0</v>
      </c>
      <c r="U532" s="40">
        <f t="shared" si="229"/>
        <v>0</v>
      </c>
      <c r="V532" s="40">
        <f t="shared" si="230"/>
        <v>0</v>
      </c>
      <c r="W532" s="40">
        <f t="shared" si="231"/>
        <v>1</v>
      </c>
      <c r="X532" s="40">
        <f t="shared" si="232"/>
        <v>0</v>
      </c>
      <c r="Y532" s="40">
        <f t="shared" si="233"/>
        <v>0</v>
      </c>
      <c r="Z532" s="40">
        <f t="shared" si="234"/>
        <v>0</v>
      </c>
      <c r="AA532" s="40">
        <f t="shared" si="235"/>
        <v>0</v>
      </c>
      <c r="AB532" s="40">
        <f t="shared" si="236"/>
        <v>0</v>
      </c>
      <c r="AC532" s="40">
        <f t="shared" si="237"/>
        <v>0</v>
      </c>
      <c r="AD532" s="40">
        <f t="shared" si="238"/>
        <v>0</v>
      </c>
      <c r="AE532" s="40">
        <f t="shared" si="239"/>
        <v>0</v>
      </c>
      <c r="AF532" s="40">
        <f t="shared" si="240"/>
        <v>1</v>
      </c>
      <c r="AG532" s="40">
        <f t="shared" si="241"/>
        <v>0</v>
      </c>
      <c r="AH532" s="40">
        <f t="shared" si="242"/>
        <v>0</v>
      </c>
      <c r="AI532" s="40">
        <f t="shared" si="243"/>
        <v>1</v>
      </c>
      <c r="AJ532" s="40">
        <f t="shared" si="244"/>
        <v>0</v>
      </c>
      <c r="AK532" s="40">
        <f t="shared" si="245"/>
        <v>0</v>
      </c>
      <c r="AL532" s="40">
        <f t="shared" si="246"/>
        <v>0</v>
      </c>
      <c r="AM532" s="40">
        <f t="shared" si="247"/>
        <v>0</v>
      </c>
      <c r="AN532" s="40">
        <f t="shared" si="248"/>
        <v>0</v>
      </c>
      <c r="AO532" s="40">
        <f t="shared" si="249"/>
        <v>0</v>
      </c>
      <c r="AP532" s="40">
        <f t="shared" si="250"/>
        <v>0</v>
      </c>
      <c r="AQ532" s="40">
        <f t="shared" si="251"/>
        <v>0</v>
      </c>
      <c r="AR532" s="40">
        <f t="shared" si="252"/>
        <v>0</v>
      </c>
      <c r="AS532" s="40">
        <f t="shared" si="253"/>
        <v>0</v>
      </c>
    </row>
    <row r="533" spans="2:45" ht="14.4" customHeight="1" x14ac:dyDescent="0.25">
      <c r="B533" s="56" t="s">
        <v>44</v>
      </c>
      <c r="C533" s="57" t="s">
        <v>26</v>
      </c>
      <c r="D533" s="58" t="s">
        <v>28</v>
      </c>
      <c r="E533" s="62">
        <v>9.6399999999999975E-3</v>
      </c>
      <c r="F533" s="65">
        <f t="shared" si="254"/>
        <v>-4.641834170359683</v>
      </c>
      <c r="S533" s="40">
        <f t="shared" si="227"/>
        <v>0</v>
      </c>
      <c r="T533" s="40">
        <f t="shared" si="228"/>
        <v>0</v>
      </c>
      <c r="U533" s="40">
        <f t="shared" si="229"/>
        <v>0</v>
      </c>
      <c r="V533" s="40">
        <f t="shared" si="230"/>
        <v>0</v>
      </c>
      <c r="W533" s="40">
        <f t="shared" si="231"/>
        <v>1</v>
      </c>
      <c r="X533" s="40">
        <f t="shared" si="232"/>
        <v>0</v>
      </c>
      <c r="Y533" s="40">
        <f t="shared" si="233"/>
        <v>0</v>
      </c>
      <c r="Z533" s="40">
        <f t="shared" si="234"/>
        <v>0</v>
      </c>
      <c r="AA533" s="40">
        <f t="shared" si="235"/>
        <v>0</v>
      </c>
      <c r="AB533" s="40">
        <f t="shared" si="236"/>
        <v>0</v>
      </c>
      <c r="AC533" s="40">
        <f t="shared" si="237"/>
        <v>0</v>
      </c>
      <c r="AD533" s="40">
        <f t="shared" si="238"/>
        <v>0</v>
      </c>
      <c r="AE533" s="40">
        <f t="shared" si="239"/>
        <v>0</v>
      </c>
      <c r="AF533" s="40">
        <f t="shared" si="240"/>
        <v>1</v>
      </c>
      <c r="AG533" s="40">
        <f t="shared" si="241"/>
        <v>0</v>
      </c>
      <c r="AH533" s="40">
        <f t="shared" si="242"/>
        <v>0</v>
      </c>
      <c r="AI533" s="40">
        <f t="shared" si="243"/>
        <v>0</v>
      </c>
      <c r="AJ533" s="40">
        <f t="shared" si="244"/>
        <v>0</v>
      </c>
      <c r="AK533" s="40">
        <f t="shared" si="245"/>
        <v>0</v>
      </c>
      <c r="AL533" s="40">
        <f t="shared" si="246"/>
        <v>1</v>
      </c>
      <c r="AM533" s="40">
        <f t="shared" si="247"/>
        <v>0</v>
      </c>
      <c r="AN533" s="40">
        <f t="shared" si="248"/>
        <v>0</v>
      </c>
      <c r="AO533" s="40">
        <f t="shared" si="249"/>
        <v>0</v>
      </c>
      <c r="AP533" s="40">
        <f t="shared" si="250"/>
        <v>0</v>
      </c>
      <c r="AQ533" s="40">
        <f t="shared" si="251"/>
        <v>0</v>
      </c>
      <c r="AR533" s="40">
        <f t="shared" si="252"/>
        <v>0</v>
      </c>
      <c r="AS533" s="40">
        <f t="shared" si="253"/>
        <v>0</v>
      </c>
    </row>
    <row r="534" spans="2:45" ht="14.4" customHeight="1" x14ac:dyDescent="0.25">
      <c r="B534" s="56" t="s">
        <v>44</v>
      </c>
      <c r="C534" s="57" t="s">
        <v>26</v>
      </c>
      <c r="D534" s="58" t="s">
        <v>24</v>
      </c>
      <c r="E534" s="62">
        <v>1.107E-2</v>
      </c>
      <c r="F534" s="65">
        <f t="shared" si="254"/>
        <v>-4.5035165322615915</v>
      </c>
      <c r="S534" s="40">
        <f t="shared" si="227"/>
        <v>0</v>
      </c>
      <c r="T534" s="40">
        <f t="shared" si="228"/>
        <v>0</v>
      </c>
      <c r="U534" s="40">
        <f t="shared" si="229"/>
        <v>0</v>
      </c>
      <c r="V534" s="40">
        <f t="shared" si="230"/>
        <v>0</v>
      </c>
      <c r="W534" s="40">
        <f t="shared" si="231"/>
        <v>1</v>
      </c>
      <c r="X534" s="40">
        <f t="shared" si="232"/>
        <v>0</v>
      </c>
      <c r="Y534" s="40">
        <f t="shared" si="233"/>
        <v>0</v>
      </c>
      <c r="Z534" s="40">
        <f t="shared" si="234"/>
        <v>0</v>
      </c>
      <c r="AA534" s="40">
        <f t="shared" si="235"/>
        <v>0</v>
      </c>
      <c r="AB534" s="40">
        <f t="shared" si="236"/>
        <v>0</v>
      </c>
      <c r="AC534" s="40">
        <f t="shared" si="237"/>
        <v>0</v>
      </c>
      <c r="AD534" s="40">
        <f t="shared" si="238"/>
        <v>0</v>
      </c>
      <c r="AE534" s="40">
        <f t="shared" si="239"/>
        <v>0</v>
      </c>
      <c r="AF534" s="40">
        <f t="shared" si="240"/>
        <v>1</v>
      </c>
      <c r="AG534" s="40">
        <f t="shared" si="241"/>
        <v>0</v>
      </c>
      <c r="AH534" s="40">
        <f t="shared" si="242"/>
        <v>0</v>
      </c>
      <c r="AI534" s="40">
        <f t="shared" si="243"/>
        <v>0</v>
      </c>
      <c r="AJ534" s="40">
        <f t="shared" si="244"/>
        <v>1</v>
      </c>
      <c r="AK534" s="40">
        <f t="shared" si="245"/>
        <v>0</v>
      </c>
      <c r="AL534" s="40">
        <f t="shared" si="246"/>
        <v>0</v>
      </c>
      <c r="AM534" s="40">
        <f t="shared" si="247"/>
        <v>0</v>
      </c>
      <c r="AN534" s="40">
        <f t="shared" si="248"/>
        <v>0</v>
      </c>
      <c r="AO534" s="40">
        <f t="shared" si="249"/>
        <v>0</v>
      </c>
      <c r="AP534" s="40">
        <f t="shared" si="250"/>
        <v>0</v>
      </c>
      <c r="AQ534" s="40">
        <f t="shared" si="251"/>
        <v>0</v>
      </c>
      <c r="AR534" s="40">
        <f t="shared" si="252"/>
        <v>0</v>
      </c>
      <c r="AS534" s="40">
        <f t="shared" si="253"/>
        <v>0</v>
      </c>
    </row>
    <row r="535" spans="2:45" ht="14.4" customHeight="1" x14ac:dyDescent="0.25">
      <c r="B535" s="56" t="s">
        <v>44</v>
      </c>
      <c r="C535" s="57" t="s">
        <v>26</v>
      </c>
      <c r="D535" s="58" t="s">
        <v>37</v>
      </c>
      <c r="E535" s="62">
        <v>1.417E-2</v>
      </c>
      <c r="F535" s="65">
        <f t="shared" si="254"/>
        <v>-4.256628225279548</v>
      </c>
      <c r="S535" s="40">
        <f t="shared" si="227"/>
        <v>0</v>
      </c>
      <c r="T535" s="40">
        <f t="shared" si="228"/>
        <v>0</v>
      </c>
      <c r="U535" s="40">
        <f t="shared" si="229"/>
        <v>0</v>
      </c>
      <c r="V535" s="40">
        <f t="shared" si="230"/>
        <v>0</v>
      </c>
      <c r="W535" s="40">
        <f t="shared" si="231"/>
        <v>1</v>
      </c>
      <c r="X535" s="40">
        <f t="shared" si="232"/>
        <v>0</v>
      </c>
      <c r="Y535" s="40">
        <f t="shared" si="233"/>
        <v>0</v>
      </c>
      <c r="Z535" s="40">
        <f t="shared" si="234"/>
        <v>0</v>
      </c>
      <c r="AA535" s="40">
        <f t="shared" si="235"/>
        <v>0</v>
      </c>
      <c r="AB535" s="40">
        <f t="shared" si="236"/>
        <v>0</v>
      </c>
      <c r="AC535" s="40">
        <f t="shared" si="237"/>
        <v>0</v>
      </c>
      <c r="AD535" s="40">
        <f t="shared" si="238"/>
        <v>0</v>
      </c>
      <c r="AE535" s="40">
        <f t="shared" si="239"/>
        <v>0</v>
      </c>
      <c r="AF535" s="40">
        <f t="shared" si="240"/>
        <v>1</v>
      </c>
      <c r="AG535" s="40">
        <f t="shared" si="241"/>
        <v>0</v>
      </c>
      <c r="AH535" s="40">
        <f t="shared" si="242"/>
        <v>0</v>
      </c>
      <c r="AI535" s="40">
        <f t="shared" si="243"/>
        <v>0</v>
      </c>
      <c r="AJ535" s="40">
        <f t="shared" si="244"/>
        <v>0</v>
      </c>
      <c r="AK535" s="40">
        <f t="shared" si="245"/>
        <v>0</v>
      </c>
      <c r="AL535" s="40">
        <f t="shared" si="246"/>
        <v>1</v>
      </c>
      <c r="AM535" s="40">
        <f t="shared" si="247"/>
        <v>0</v>
      </c>
      <c r="AN535" s="40">
        <f t="shared" si="248"/>
        <v>0</v>
      </c>
      <c r="AO535" s="40">
        <f t="shared" si="249"/>
        <v>0</v>
      </c>
      <c r="AP535" s="40">
        <f t="shared" si="250"/>
        <v>0</v>
      </c>
      <c r="AQ535" s="40">
        <f t="shared" si="251"/>
        <v>0</v>
      </c>
      <c r="AR535" s="40">
        <f t="shared" si="252"/>
        <v>0</v>
      </c>
      <c r="AS535" s="40">
        <f t="shared" si="253"/>
        <v>0</v>
      </c>
    </row>
    <row r="536" spans="2:45" ht="14.4" customHeight="1" x14ac:dyDescent="0.25">
      <c r="B536" s="56" t="s">
        <v>44</v>
      </c>
      <c r="C536" s="57" t="s">
        <v>26</v>
      </c>
      <c r="D536" s="58" t="s">
        <v>24</v>
      </c>
      <c r="E536" s="62">
        <v>1.1199999999999996E-2</v>
      </c>
      <c r="F536" s="65">
        <f t="shared" si="254"/>
        <v>-4.4918415006810886</v>
      </c>
      <c r="S536" s="40">
        <f t="shared" si="227"/>
        <v>0</v>
      </c>
      <c r="T536" s="40">
        <f t="shared" si="228"/>
        <v>0</v>
      </c>
      <c r="U536" s="40">
        <f t="shared" si="229"/>
        <v>0</v>
      </c>
      <c r="V536" s="40">
        <f t="shared" si="230"/>
        <v>0</v>
      </c>
      <c r="W536" s="40">
        <f t="shared" si="231"/>
        <v>1</v>
      </c>
      <c r="X536" s="40">
        <f t="shared" si="232"/>
        <v>0</v>
      </c>
      <c r="Y536" s="40">
        <f t="shared" si="233"/>
        <v>0</v>
      </c>
      <c r="Z536" s="40">
        <f t="shared" si="234"/>
        <v>0</v>
      </c>
      <c r="AA536" s="40">
        <f t="shared" si="235"/>
        <v>0</v>
      </c>
      <c r="AB536" s="40">
        <f t="shared" si="236"/>
        <v>0</v>
      </c>
      <c r="AC536" s="40">
        <f t="shared" si="237"/>
        <v>0</v>
      </c>
      <c r="AD536" s="40">
        <f t="shared" si="238"/>
        <v>0</v>
      </c>
      <c r="AE536" s="40">
        <f t="shared" si="239"/>
        <v>0</v>
      </c>
      <c r="AF536" s="40">
        <f t="shared" si="240"/>
        <v>1</v>
      </c>
      <c r="AG536" s="40">
        <f t="shared" si="241"/>
        <v>0</v>
      </c>
      <c r="AH536" s="40">
        <f t="shared" si="242"/>
        <v>0</v>
      </c>
      <c r="AI536" s="40">
        <f t="shared" si="243"/>
        <v>0</v>
      </c>
      <c r="AJ536" s="40">
        <f t="shared" si="244"/>
        <v>0</v>
      </c>
      <c r="AK536" s="40">
        <f t="shared" si="245"/>
        <v>0</v>
      </c>
      <c r="AL536" s="40">
        <f t="shared" si="246"/>
        <v>1</v>
      </c>
      <c r="AM536" s="40">
        <f t="shared" si="247"/>
        <v>0</v>
      </c>
      <c r="AN536" s="40">
        <f t="shared" si="248"/>
        <v>0</v>
      </c>
      <c r="AO536" s="40">
        <f t="shared" si="249"/>
        <v>0</v>
      </c>
      <c r="AP536" s="40">
        <f t="shared" si="250"/>
        <v>0</v>
      </c>
      <c r="AQ536" s="40">
        <f t="shared" si="251"/>
        <v>0</v>
      </c>
      <c r="AR536" s="40">
        <f t="shared" si="252"/>
        <v>0</v>
      </c>
      <c r="AS536" s="40">
        <f t="shared" si="253"/>
        <v>0</v>
      </c>
    </row>
    <row r="537" spans="2:45" ht="14.4" customHeight="1" x14ac:dyDescent="0.25">
      <c r="B537" s="56" t="s">
        <v>44</v>
      </c>
      <c r="C537" s="57" t="s">
        <v>26</v>
      </c>
      <c r="D537" s="58" t="s">
        <v>24</v>
      </c>
      <c r="E537" s="62">
        <v>1.1090000000000001E-2</v>
      </c>
      <c r="F537" s="65">
        <f t="shared" si="254"/>
        <v>-4.5017114776198612</v>
      </c>
      <c r="S537" s="40">
        <f t="shared" si="227"/>
        <v>0</v>
      </c>
      <c r="T537" s="40">
        <f t="shared" si="228"/>
        <v>0</v>
      </c>
      <c r="U537" s="40">
        <f t="shared" si="229"/>
        <v>0</v>
      </c>
      <c r="V537" s="40">
        <f t="shared" si="230"/>
        <v>0</v>
      </c>
      <c r="W537" s="40">
        <f t="shared" si="231"/>
        <v>1</v>
      </c>
      <c r="X537" s="40">
        <f t="shared" si="232"/>
        <v>0</v>
      </c>
      <c r="Y537" s="40">
        <f t="shared" si="233"/>
        <v>0</v>
      </c>
      <c r="Z537" s="40">
        <f t="shared" si="234"/>
        <v>0</v>
      </c>
      <c r="AA537" s="40">
        <f t="shared" si="235"/>
        <v>0</v>
      </c>
      <c r="AB537" s="40">
        <f t="shared" si="236"/>
        <v>0</v>
      </c>
      <c r="AC537" s="40">
        <f t="shared" si="237"/>
        <v>0</v>
      </c>
      <c r="AD537" s="40">
        <f t="shared" si="238"/>
        <v>0</v>
      </c>
      <c r="AE537" s="40">
        <f t="shared" si="239"/>
        <v>0</v>
      </c>
      <c r="AF537" s="40">
        <f t="shared" si="240"/>
        <v>1</v>
      </c>
      <c r="AG537" s="40">
        <f t="shared" si="241"/>
        <v>0</v>
      </c>
      <c r="AH537" s="40">
        <f t="shared" si="242"/>
        <v>0</v>
      </c>
      <c r="AI537" s="40">
        <f t="shared" si="243"/>
        <v>0</v>
      </c>
      <c r="AJ537" s="40">
        <f t="shared" si="244"/>
        <v>1</v>
      </c>
      <c r="AK537" s="40">
        <f t="shared" si="245"/>
        <v>0</v>
      </c>
      <c r="AL537" s="40">
        <f t="shared" si="246"/>
        <v>0</v>
      </c>
      <c r="AM537" s="40">
        <f t="shared" si="247"/>
        <v>0</v>
      </c>
      <c r="AN537" s="40">
        <f t="shared" si="248"/>
        <v>0</v>
      </c>
      <c r="AO537" s="40">
        <f t="shared" si="249"/>
        <v>0</v>
      </c>
      <c r="AP537" s="40">
        <f t="shared" si="250"/>
        <v>0</v>
      </c>
      <c r="AQ537" s="40">
        <f t="shared" si="251"/>
        <v>0</v>
      </c>
      <c r="AR537" s="40">
        <f t="shared" si="252"/>
        <v>0</v>
      </c>
      <c r="AS537" s="40">
        <f t="shared" si="253"/>
        <v>0</v>
      </c>
    </row>
    <row r="538" spans="2:45" ht="14.4" customHeight="1" x14ac:dyDescent="0.25">
      <c r="B538" s="56" t="s">
        <v>44</v>
      </c>
      <c r="C538" s="57" t="s">
        <v>26</v>
      </c>
      <c r="D538" s="58" t="s">
        <v>37</v>
      </c>
      <c r="E538" s="62">
        <v>8.2299999999999977E-3</v>
      </c>
      <c r="F538" s="65">
        <f t="shared" si="254"/>
        <v>-4.7999692642931588</v>
      </c>
      <c r="S538" s="40">
        <f t="shared" si="227"/>
        <v>0</v>
      </c>
      <c r="T538" s="40">
        <f t="shared" si="228"/>
        <v>0</v>
      </c>
      <c r="U538" s="40">
        <f t="shared" si="229"/>
        <v>0</v>
      </c>
      <c r="V538" s="40">
        <f t="shared" si="230"/>
        <v>0</v>
      </c>
      <c r="W538" s="40">
        <f t="shared" si="231"/>
        <v>1</v>
      </c>
      <c r="X538" s="40">
        <f t="shared" si="232"/>
        <v>0</v>
      </c>
      <c r="Y538" s="40">
        <f t="shared" si="233"/>
        <v>0</v>
      </c>
      <c r="Z538" s="40">
        <f t="shared" si="234"/>
        <v>0</v>
      </c>
      <c r="AA538" s="40">
        <f t="shared" si="235"/>
        <v>0</v>
      </c>
      <c r="AB538" s="40">
        <f t="shared" si="236"/>
        <v>0</v>
      </c>
      <c r="AC538" s="40">
        <f t="shared" si="237"/>
        <v>0</v>
      </c>
      <c r="AD538" s="40">
        <f t="shared" si="238"/>
        <v>0</v>
      </c>
      <c r="AE538" s="40">
        <f t="shared" si="239"/>
        <v>0</v>
      </c>
      <c r="AF538" s="40">
        <f t="shared" si="240"/>
        <v>1</v>
      </c>
      <c r="AG538" s="40">
        <f t="shared" si="241"/>
        <v>0</v>
      </c>
      <c r="AH538" s="40">
        <f t="shared" si="242"/>
        <v>0</v>
      </c>
      <c r="AI538" s="40">
        <f t="shared" si="243"/>
        <v>1</v>
      </c>
      <c r="AJ538" s="40">
        <f t="shared" si="244"/>
        <v>0</v>
      </c>
      <c r="AK538" s="40">
        <f t="shared" si="245"/>
        <v>0</v>
      </c>
      <c r="AL538" s="40">
        <f t="shared" si="246"/>
        <v>0</v>
      </c>
      <c r="AM538" s="40">
        <f t="shared" si="247"/>
        <v>0</v>
      </c>
      <c r="AN538" s="40">
        <f t="shared" si="248"/>
        <v>0</v>
      </c>
      <c r="AO538" s="40">
        <f t="shared" si="249"/>
        <v>0</v>
      </c>
      <c r="AP538" s="40">
        <f t="shared" si="250"/>
        <v>0</v>
      </c>
      <c r="AQ538" s="40">
        <f t="shared" si="251"/>
        <v>0</v>
      </c>
      <c r="AR538" s="40">
        <f t="shared" si="252"/>
        <v>0</v>
      </c>
      <c r="AS538" s="40">
        <f t="shared" si="253"/>
        <v>0</v>
      </c>
    </row>
    <row r="539" spans="2:45" ht="14.4" customHeight="1" x14ac:dyDescent="0.25">
      <c r="B539" s="56" t="s">
        <v>44</v>
      </c>
      <c r="C539" s="57" t="s">
        <v>26</v>
      </c>
      <c r="D539" s="58" t="s">
        <v>28</v>
      </c>
      <c r="E539" s="62">
        <v>2.4049999999999995E-2</v>
      </c>
      <c r="F539" s="65">
        <f t="shared" si="254"/>
        <v>-3.727620282430367</v>
      </c>
      <c r="S539" s="40">
        <f t="shared" si="227"/>
        <v>0</v>
      </c>
      <c r="T539" s="40">
        <f t="shared" si="228"/>
        <v>0</v>
      </c>
      <c r="U539" s="40">
        <f t="shared" si="229"/>
        <v>0</v>
      </c>
      <c r="V539" s="40">
        <f t="shared" si="230"/>
        <v>0</v>
      </c>
      <c r="W539" s="40">
        <f t="shared" si="231"/>
        <v>1</v>
      </c>
      <c r="X539" s="40">
        <f t="shared" si="232"/>
        <v>0</v>
      </c>
      <c r="Y539" s="40">
        <f t="shared" si="233"/>
        <v>0</v>
      </c>
      <c r="Z539" s="40">
        <f t="shared" si="234"/>
        <v>0</v>
      </c>
      <c r="AA539" s="40">
        <f t="shared" si="235"/>
        <v>0</v>
      </c>
      <c r="AB539" s="40">
        <f t="shared" si="236"/>
        <v>0</v>
      </c>
      <c r="AC539" s="40">
        <f t="shared" si="237"/>
        <v>0</v>
      </c>
      <c r="AD539" s="40">
        <f t="shared" si="238"/>
        <v>0</v>
      </c>
      <c r="AE539" s="40">
        <f t="shared" si="239"/>
        <v>0</v>
      </c>
      <c r="AF539" s="40">
        <f t="shared" si="240"/>
        <v>1</v>
      </c>
      <c r="AG539" s="40">
        <f t="shared" si="241"/>
        <v>0</v>
      </c>
      <c r="AH539" s="40">
        <f t="shared" si="242"/>
        <v>0</v>
      </c>
      <c r="AI539" s="40">
        <f t="shared" si="243"/>
        <v>1</v>
      </c>
      <c r="AJ539" s="40">
        <f t="shared" si="244"/>
        <v>0</v>
      </c>
      <c r="AK539" s="40">
        <f t="shared" si="245"/>
        <v>0</v>
      </c>
      <c r="AL539" s="40">
        <f t="shared" si="246"/>
        <v>0</v>
      </c>
      <c r="AM539" s="40">
        <f t="shared" si="247"/>
        <v>0</v>
      </c>
      <c r="AN539" s="40">
        <f t="shared" si="248"/>
        <v>0</v>
      </c>
      <c r="AO539" s="40">
        <f t="shared" si="249"/>
        <v>0</v>
      </c>
      <c r="AP539" s="40">
        <f t="shared" si="250"/>
        <v>0</v>
      </c>
      <c r="AQ539" s="40">
        <f t="shared" si="251"/>
        <v>0</v>
      </c>
      <c r="AR539" s="40">
        <f t="shared" si="252"/>
        <v>0</v>
      </c>
      <c r="AS539" s="40">
        <f t="shared" si="253"/>
        <v>0</v>
      </c>
    </row>
    <row r="540" spans="2:45" ht="14.4" customHeight="1" x14ac:dyDescent="0.25">
      <c r="B540" s="56" t="s">
        <v>44</v>
      </c>
      <c r="C540" s="57" t="s">
        <v>26</v>
      </c>
      <c r="D540" s="58" t="s">
        <v>28</v>
      </c>
      <c r="E540" s="62">
        <v>1.8500000000000003E-2</v>
      </c>
      <c r="F540" s="65">
        <f t="shared" si="254"/>
        <v>-3.9899845468978579</v>
      </c>
      <c r="S540" s="40">
        <f t="shared" si="227"/>
        <v>0</v>
      </c>
      <c r="T540" s="40">
        <f t="shared" si="228"/>
        <v>0</v>
      </c>
      <c r="U540" s="40">
        <f t="shared" si="229"/>
        <v>0</v>
      </c>
      <c r="V540" s="40">
        <f t="shared" si="230"/>
        <v>0</v>
      </c>
      <c r="W540" s="40">
        <f t="shared" si="231"/>
        <v>1</v>
      </c>
      <c r="X540" s="40">
        <f t="shared" si="232"/>
        <v>0</v>
      </c>
      <c r="Y540" s="40">
        <f t="shared" si="233"/>
        <v>0</v>
      </c>
      <c r="Z540" s="40">
        <f t="shared" si="234"/>
        <v>0</v>
      </c>
      <c r="AA540" s="40">
        <f t="shared" si="235"/>
        <v>0</v>
      </c>
      <c r="AB540" s="40">
        <f t="shared" si="236"/>
        <v>0</v>
      </c>
      <c r="AC540" s="40">
        <f t="shared" si="237"/>
        <v>0</v>
      </c>
      <c r="AD540" s="40">
        <f t="shared" si="238"/>
        <v>0</v>
      </c>
      <c r="AE540" s="40">
        <f t="shared" si="239"/>
        <v>0</v>
      </c>
      <c r="AF540" s="40">
        <f t="shared" si="240"/>
        <v>1</v>
      </c>
      <c r="AG540" s="40">
        <f t="shared" si="241"/>
        <v>0</v>
      </c>
      <c r="AH540" s="40">
        <f t="shared" si="242"/>
        <v>0</v>
      </c>
      <c r="AI540" s="40">
        <f t="shared" si="243"/>
        <v>1</v>
      </c>
      <c r="AJ540" s="40">
        <f t="shared" si="244"/>
        <v>0</v>
      </c>
      <c r="AK540" s="40">
        <f t="shared" si="245"/>
        <v>0</v>
      </c>
      <c r="AL540" s="40">
        <f t="shared" si="246"/>
        <v>0</v>
      </c>
      <c r="AM540" s="40">
        <f t="shared" si="247"/>
        <v>0</v>
      </c>
      <c r="AN540" s="40">
        <f t="shared" si="248"/>
        <v>0</v>
      </c>
      <c r="AO540" s="40">
        <f t="shared" si="249"/>
        <v>0</v>
      </c>
      <c r="AP540" s="40">
        <f t="shared" si="250"/>
        <v>0</v>
      </c>
      <c r="AQ540" s="40">
        <f t="shared" si="251"/>
        <v>0</v>
      </c>
      <c r="AR540" s="40">
        <f t="shared" si="252"/>
        <v>0</v>
      </c>
      <c r="AS540" s="40">
        <f t="shared" si="253"/>
        <v>0</v>
      </c>
    </row>
    <row r="541" spans="2:45" ht="14.4" customHeight="1" x14ac:dyDescent="0.25">
      <c r="B541" s="56" t="s">
        <v>44</v>
      </c>
      <c r="C541" s="57" t="s">
        <v>26</v>
      </c>
      <c r="D541" s="58" t="s">
        <v>28</v>
      </c>
      <c r="E541" s="62">
        <v>8.9699999999999971E-3</v>
      </c>
      <c r="F541" s="65">
        <f t="shared" si="254"/>
        <v>-4.7138696029114326</v>
      </c>
      <c r="S541" s="40">
        <f t="shared" si="227"/>
        <v>0</v>
      </c>
      <c r="T541" s="40">
        <f t="shared" si="228"/>
        <v>0</v>
      </c>
      <c r="U541" s="40">
        <f t="shared" si="229"/>
        <v>0</v>
      </c>
      <c r="V541" s="40">
        <f t="shared" si="230"/>
        <v>0</v>
      </c>
      <c r="W541" s="40">
        <f t="shared" si="231"/>
        <v>1</v>
      </c>
      <c r="X541" s="40">
        <f t="shared" si="232"/>
        <v>0</v>
      </c>
      <c r="Y541" s="40">
        <f t="shared" si="233"/>
        <v>0</v>
      </c>
      <c r="Z541" s="40">
        <f t="shared" si="234"/>
        <v>0</v>
      </c>
      <c r="AA541" s="40">
        <f t="shared" si="235"/>
        <v>0</v>
      </c>
      <c r="AB541" s="40">
        <f t="shared" si="236"/>
        <v>0</v>
      </c>
      <c r="AC541" s="40">
        <f t="shared" si="237"/>
        <v>0</v>
      </c>
      <c r="AD541" s="40">
        <f t="shared" si="238"/>
        <v>0</v>
      </c>
      <c r="AE541" s="40">
        <f t="shared" si="239"/>
        <v>0</v>
      </c>
      <c r="AF541" s="40">
        <f t="shared" si="240"/>
        <v>1</v>
      </c>
      <c r="AG541" s="40">
        <f t="shared" si="241"/>
        <v>0</v>
      </c>
      <c r="AH541" s="40">
        <f t="shared" si="242"/>
        <v>0</v>
      </c>
      <c r="AI541" s="40">
        <f t="shared" si="243"/>
        <v>1</v>
      </c>
      <c r="AJ541" s="40">
        <f t="shared" si="244"/>
        <v>0</v>
      </c>
      <c r="AK541" s="40">
        <f t="shared" si="245"/>
        <v>0</v>
      </c>
      <c r="AL541" s="40">
        <f t="shared" si="246"/>
        <v>0</v>
      </c>
      <c r="AM541" s="40">
        <f t="shared" si="247"/>
        <v>0</v>
      </c>
      <c r="AN541" s="40">
        <f t="shared" si="248"/>
        <v>0</v>
      </c>
      <c r="AO541" s="40">
        <f t="shared" si="249"/>
        <v>0</v>
      </c>
      <c r="AP541" s="40">
        <f t="shared" si="250"/>
        <v>0</v>
      </c>
      <c r="AQ541" s="40">
        <f t="shared" si="251"/>
        <v>0</v>
      </c>
      <c r="AR541" s="40">
        <f t="shared" si="252"/>
        <v>0</v>
      </c>
      <c r="AS541" s="40">
        <f t="shared" si="253"/>
        <v>0</v>
      </c>
    </row>
    <row r="542" spans="2:45" ht="14.4" customHeight="1" x14ac:dyDescent="0.25">
      <c r="B542" s="56" t="s">
        <v>44</v>
      </c>
      <c r="C542" s="57" t="s">
        <v>26</v>
      </c>
      <c r="D542" s="58" t="s">
        <v>28</v>
      </c>
      <c r="E542" s="62">
        <v>1.0869999999999999E-2</v>
      </c>
      <c r="F542" s="65">
        <f t="shared" si="254"/>
        <v>-4.521748577849019</v>
      </c>
      <c r="S542" s="40">
        <f t="shared" si="227"/>
        <v>0</v>
      </c>
      <c r="T542" s="40">
        <f t="shared" si="228"/>
        <v>0</v>
      </c>
      <c r="U542" s="40">
        <f t="shared" si="229"/>
        <v>0</v>
      </c>
      <c r="V542" s="40">
        <f t="shared" si="230"/>
        <v>0</v>
      </c>
      <c r="W542" s="40">
        <f t="shared" si="231"/>
        <v>1</v>
      </c>
      <c r="X542" s="40">
        <f t="shared" si="232"/>
        <v>0</v>
      </c>
      <c r="Y542" s="40">
        <f t="shared" si="233"/>
        <v>0</v>
      </c>
      <c r="Z542" s="40">
        <f t="shared" si="234"/>
        <v>0</v>
      </c>
      <c r="AA542" s="40">
        <f t="shared" si="235"/>
        <v>0</v>
      </c>
      <c r="AB542" s="40">
        <f t="shared" si="236"/>
        <v>0</v>
      </c>
      <c r="AC542" s="40">
        <f t="shared" si="237"/>
        <v>0</v>
      </c>
      <c r="AD542" s="40">
        <f t="shared" si="238"/>
        <v>0</v>
      </c>
      <c r="AE542" s="40">
        <f t="shared" si="239"/>
        <v>0</v>
      </c>
      <c r="AF542" s="40">
        <f t="shared" si="240"/>
        <v>1</v>
      </c>
      <c r="AG542" s="40">
        <f t="shared" si="241"/>
        <v>0</v>
      </c>
      <c r="AH542" s="40">
        <f t="shared" si="242"/>
        <v>0</v>
      </c>
      <c r="AI542" s="40">
        <f t="shared" si="243"/>
        <v>0</v>
      </c>
      <c r="AJ542" s="40">
        <f t="shared" si="244"/>
        <v>1</v>
      </c>
      <c r="AK542" s="40">
        <f t="shared" si="245"/>
        <v>0</v>
      </c>
      <c r="AL542" s="40">
        <f t="shared" si="246"/>
        <v>0</v>
      </c>
      <c r="AM542" s="40">
        <f t="shared" si="247"/>
        <v>0</v>
      </c>
      <c r="AN542" s="40">
        <f t="shared" si="248"/>
        <v>0</v>
      </c>
      <c r="AO542" s="40">
        <f t="shared" si="249"/>
        <v>0</v>
      </c>
      <c r="AP542" s="40">
        <f t="shared" si="250"/>
        <v>0</v>
      </c>
      <c r="AQ542" s="40">
        <f t="shared" si="251"/>
        <v>0</v>
      </c>
      <c r="AR542" s="40">
        <f t="shared" si="252"/>
        <v>0</v>
      </c>
      <c r="AS542" s="40">
        <f t="shared" si="253"/>
        <v>0</v>
      </c>
    </row>
    <row r="543" spans="2:45" ht="14.4" customHeight="1" x14ac:dyDescent="0.25">
      <c r="B543" s="56" t="s">
        <v>44</v>
      </c>
      <c r="C543" s="57" t="s">
        <v>26</v>
      </c>
      <c r="D543" s="58" t="s">
        <v>37</v>
      </c>
      <c r="E543" s="62">
        <v>1.4200000000000003E-2</v>
      </c>
      <c r="F543" s="65">
        <f t="shared" si="254"/>
        <v>-4.2545133143749219</v>
      </c>
      <c r="S543" s="40">
        <f t="shared" si="227"/>
        <v>0</v>
      </c>
      <c r="T543" s="40">
        <f t="shared" si="228"/>
        <v>0</v>
      </c>
      <c r="U543" s="40">
        <f t="shared" si="229"/>
        <v>0</v>
      </c>
      <c r="V543" s="40">
        <f t="shared" si="230"/>
        <v>0</v>
      </c>
      <c r="W543" s="40">
        <f t="shared" si="231"/>
        <v>1</v>
      </c>
      <c r="X543" s="40">
        <f t="shared" si="232"/>
        <v>0</v>
      </c>
      <c r="Y543" s="40">
        <f t="shared" si="233"/>
        <v>0</v>
      </c>
      <c r="Z543" s="40">
        <f t="shared" si="234"/>
        <v>0</v>
      </c>
      <c r="AA543" s="40">
        <f t="shared" si="235"/>
        <v>0</v>
      </c>
      <c r="AB543" s="40">
        <f t="shared" si="236"/>
        <v>0</v>
      </c>
      <c r="AC543" s="40">
        <f t="shared" si="237"/>
        <v>0</v>
      </c>
      <c r="AD543" s="40">
        <f t="shared" si="238"/>
        <v>0</v>
      </c>
      <c r="AE543" s="40">
        <f t="shared" si="239"/>
        <v>0</v>
      </c>
      <c r="AF543" s="40">
        <f t="shared" si="240"/>
        <v>1</v>
      </c>
      <c r="AG543" s="40">
        <f t="shared" si="241"/>
        <v>0</v>
      </c>
      <c r="AH543" s="40">
        <f t="shared" si="242"/>
        <v>0</v>
      </c>
      <c r="AI543" s="40">
        <f t="shared" si="243"/>
        <v>0</v>
      </c>
      <c r="AJ543" s="40">
        <f t="shared" si="244"/>
        <v>0</v>
      </c>
      <c r="AK543" s="40">
        <f t="shared" si="245"/>
        <v>1</v>
      </c>
      <c r="AL543" s="40">
        <f t="shared" si="246"/>
        <v>0</v>
      </c>
      <c r="AM543" s="40">
        <f t="shared" si="247"/>
        <v>0</v>
      </c>
      <c r="AN543" s="40">
        <f t="shared" si="248"/>
        <v>0</v>
      </c>
      <c r="AO543" s="40">
        <f t="shared" si="249"/>
        <v>0</v>
      </c>
      <c r="AP543" s="40">
        <f t="shared" si="250"/>
        <v>0</v>
      </c>
      <c r="AQ543" s="40">
        <f t="shared" si="251"/>
        <v>0</v>
      </c>
      <c r="AR543" s="40">
        <f t="shared" si="252"/>
        <v>0</v>
      </c>
      <c r="AS543" s="40">
        <f t="shared" si="253"/>
        <v>0</v>
      </c>
    </row>
    <row r="544" spans="2:45" ht="14.4" customHeight="1" x14ac:dyDescent="0.25">
      <c r="B544" s="56" t="s">
        <v>44</v>
      </c>
      <c r="C544" s="57" t="s">
        <v>26</v>
      </c>
      <c r="D544" s="58" t="s">
        <v>32</v>
      </c>
      <c r="E544" s="62">
        <v>1.6620000000000003E-2</v>
      </c>
      <c r="F544" s="65">
        <f t="shared" si="254"/>
        <v>-4.0971484895548347</v>
      </c>
      <c r="S544" s="40">
        <f t="shared" si="227"/>
        <v>0</v>
      </c>
      <c r="T544" s="40">
        <f t="shared" si="228"/>
        <v>0</v>
      </c>
      <c r="U544" s="40">
        <f t="shared" si="229"/>
        <v>0</v>
      </c>
      <c r="V544" s="40">
        <f t="shared" si="230"/>
        <v>0</v>
      </c>
      <c r="W544" s="40">
        <f t="shared" si="231"/>
        <v>1</v>
      </c>
      <c r="X544" s="40">
        <f t="shared" si="232"/>
        <v>0</v>
      </c>
      <c r="Y544" s="40">
        <f t="shared" si="233"/>
        <v>0</v>
      </c>
      <c r="Z544" s="40">
        <f t="shared" si="234"/>
        <v>0</v>
      </c>
      <c r="AA544" s="40">
        <f t="shared" si="235"/>
        <v>0</v>
      </c>
      <c r="AB544" s="40">
        <f t="shared" si="236"/>
        <v>0</v>
      </c>
      <c r="AC544" s="40">
        <f t="shared" si="237"/>
        <v>0</v>
      </c>
      <c r="AD544" s="40">
        <f t="shared" si="238"/>
        <v>0</v>
      </c>
      <c r="AE544" s="40">
        <f t="shared" si="239"/>
        <v>0</v>
      </c>
      <c r="AF544" s="40">
        <f t="shared" si="240"/>
        <v>1</v>
      </c>
      <c r="AG544" s="40">
        <f t="shared" si="241"/>
        <v>0</v>
      </c>
      <c r="AH544" s="40">
        <f t="shared" si="242"/>
        <v>0</v>
      </c>
      <c r="AI544" s="40">
        <f t="shared" si="243"/>
        <v>0</v>
      </c>
      <c r="AJ544" s="40">
        <f t="shared" si="244"/>
        <v>0</v>
      </c>
      <c r="AK544" s="40">
        <f t="shared" si="245"/>
        <v>0</v>
      </c>
      <c r="AL544" s="40">
        <f t="shared" si="246"/>
        <v>0</v>
      </c>
      <c r="AM544" s="40">
        <f t="shared" si="247"/>
        <v>0</v>
      </c>
      <c r="AN544" s="40">
        <f t="shared" si="248"/>
        <v>0</v>
      </c>
      <c r="AO544" s="40">
        <f t="shared" si="249"/>
        <v>0</v>
      </c>
      <c r="AP544" s="40">
        <f t="shared" si="250"/>
        <v>0</v>
      </c>
      <c r="AQ544" s="40">
        <f t="shared" si="251"/>
        <v>0</v>
      </c>
      <c r="AR544" s="40">
        <f t="shared" si="252"/>
        <v>0</v>
      </c>
      <c r="AS544" s="40">
        <f t="shared" si="253"/>
        <v>1</v>
      </c>
    </row>
    <row r="545" spans="2:45" ht="14.4" customHeight="1" x14ac:dyDescent="0.25">
      <c r="B545" s="56" t="s">
        <v>44</v>
      </c>
      <c r="C545" s="57" t="s">
        <v>26</v>
      </c>
      <c r="D545" s="58" t="s">
        <v>22</v>
      </c>
      <c r="E545" s="62">
        <v>1.3830000000000002E-2</v>
      </c>
      <c r="F545" s="65">
        <f t="shared" si="254"/>
        <v>-4.28091513330547</v>
      </c>
      <c r="S545" s="40">
        <f t="shared" si="227"/>
        <v>0</v>
      </c>
      <c r="T545" s="40">
        <f t="shared" si="228"/>
        <v>0</v>
      </c>
      <c r="U545" s="40">
        <f t="shared" si="229"/>
        <v>0</v>
      </c>
      <c r="V545" s="40">
        <f t="shared" si="230"/>
        <v>0</v>
      </c>
      <c r="W545" s="40">
        <f t="shared" si="231"/>
        <v>1</v>
      </c>
      <c r="X545" s="40">
        <f t="shared" si="232"/>
        <v>0</v>
      </c>
      <c r="Y545" s="40">
        <f t="shared" si="233"/>
        <v>0</v>
      </c>
      <c r="Z545" s="40">
        <f t="shared" si="234"/>
        <v>0</v>
      </c>
      <c r="AA545" s="40">
        <f t="shared" si="235"/>
        <v>0</v>
      </c>
      <c r="AB545" s="40">
        <f t="shared" si="236"/>
        <v>0</v>
      </c>
      <c r="AC545" s="40">
        <f t="shared" si="237"/>
        <v>0</v>
      </c>
      <c r="AD545" s="40">
        <f t="shared" si="238"/>
        <v>0</v>
      </c>
      <c r="AE545" s="40">
        <f t="shared" si="239"/>
        <v>0</v>
      </c>
      <c r="AF545" s="40">
        <f t="shared" si="240"/>
        <v>1</v>
      </c>
      <c r="AG545" s="40">
        <f t="shared" si="241"/>
        <v>0</v>
      </c>
      <c r="AH545" s="40">
        <f t="shared" si="242"/>
        <v>0</v>
      </c>
      <c r="AI545" s="40">
        <f t="shared" si="243"/>
        <v>0</v>
      </c>
      <c r="AJ545" s="40">
        <f t="shared" si="244"/>
        <v>0</v>
      </c>
      <c r="AK545" s="40">
        <f t="shared" si="245"/>
        <v>0</v>
      </c>
      <c r="AL545" s="40">
        <f t="shared" si="246"/>
        <v>1</v>
      </c>
      <c r="AM545" s="40">
        <f t="shared" si="247"/>
        <v>0</v>
      </c>
      <c r="AN545" s="40">
        <f t="shared" si="248"/>
        <v>0</v>
      </c>
      <c r="AO545" s="40">
        <f t="shared" si="249"/>
        <v>0</v>
      </c>
      <c r="AP545" s="40">
        <f t="shared" si="250"/>
        <v>0</v>
      </c>
      <c r="AQ545" s="40">
        <f t="shared" si="251"/>
        <v>0</v>
      </c>
      <c r="AR545" s="40">
        <f t="shared" si="252"/>
        <v>0</v>
      </c>
      <c r="AS545" s="40">
        <f t="shared" si="253"/>
        <v>0</v>
      </c>
    </row>
    <row r="546" spans="2:45" ht="14.4" customHeight="1" x14ac:dyDescent="0.25">
      <c r="B546" s="56" t="s">
        <v>44</v>
      </c>
      <c r="C546" s="57" t="s">
        <v>26</v>
      </c>
      <c r="D546" s="58" t="s">
        <v>24</v>
      </c>
      <c r="E546" s="62">
        <v>3.0210000000000001E-2</v>
      </c>
      <c r="F546" s="65">
        <f t="shared" si="254"/>
        <v>-3.4995822835835564</v>
      </c>
      <c r="S546" s="40">
        <f t="shared" si="227"/>
        <v>0</v>
      </c>
      <c r="T546" s="40">
        <f t="shared" si="228"/>
        <v>0</v>
      </c>
      <c r="U546" s="40">
        <f t="shared" si="229"/>
        <v>0</v>
      </c>
      <c r="V546" s="40">
        <f t="shared" si="230"/>
        <v>0</v>
      </c>
      <c r="W546" s="40">
        <f t="shared" si="231"/>
        <v>1</v>
      </c>
      <c r="X546" s="40">
        <f t="shared" si="232"/>
        <v>0</v>
      </c>
      <c r="Y546" s="40">
        <f t="shared" si="233"/>
        <v>0</v>
      </c>
      <c r="Z546" s="40">
        <f t="shared" si="234"/>
        <v>0</v>
      </c>
      <c r="AA546" s="40">
        <f t="shared" si="235"/>
        <v>0</v>
      </c>
      <c r="AB546" s="40">
        <f t="shared" si="236"/>
        <v>0</v>
      </c>
      <c r="AC546" s="40">
        <f t="shared" si="237"/>
        <v>1</v>
      </c>
      <c r="AD546" s="40">
        <f t="shared" si="238"/>
        <v>0</v>
      </c>
      <c r="AE546" s="40">
        <f t="shared" si="239"/>
        <v>0</v>
      </c>
      <c r="AF546" s="40">
        <f t="shared" si="240"/>
        <v>0</v>
      </c>
      <c r="AG546" s="40">
        <f t="shared" si="241"/>
        <v>0</v>
      </c>
      <c r="AH546" s="40">
        <f t="shared" si="242"/>
        <v>0</v>
      </c>
      <c r="AI546" s="40">
        <f t="shared" si="243"/>
        <v>0</v>
      </c>
      <c r="AJ546" s="40">
        <f t="shared" si="244"/>
        <v>0</v>
      </c>
      <c r="AK546" s="40">
        <f t="shared" si="245"/>
        <v>0</v>
      </c>
      <c r="AL546" s="40">
        <f t="shared" si="246"/>
        <v>0</v>
      </c>
      <c r="AM546" s="40">
        <f t="shared" si="247"/>
        <v>0</v>
      </c>
      <c r="AN546" s="40">
        <f t="shared" si="248"/>
        <v>0</v>
      </c>
      <c r="AO546" s="40">
        <f t="shared" si="249"/>
        <v>1</v>
      </c>
      <c r="AP546" s="40">
        <f t="shared" si="250"/>
        <v>0</v>
      </c>
      <c r="AQ546" s="40">
        <f t="shared" si="251"/>
        <v>0</v>
      </c>
      <c r="AR546" s="40">
        <f t="shared" si="252"/>
        <v>0</v>
      </c>
      <c r="AS546" s="40">
        <f t="shared" si="253"/>
        <v>0</v>
      </c>
    </row>
    <row r="547" spans="2:45" ht="14.4" customHeight="1" x14ac:dyDescent="0.25">
      <c r="B547" s="56" t="s">
        <v>44</v>
      </c>
      <c r="C547" s="57" t="s">
        <v>23</v>
      </c>
      <c r="D547" s="58" t="s">
        <v>31</v>
      </c>
      <c r="E547" s="62">
        <v>8.2299999999999977E-3</v>
      </c>
      <c r="F547" s="65">
        <f t="shared" si="254"/>
        <v>-4.7999692642931588</v>
      </c>
      <c r="S547" s="40">
        <f t="shared" si="227"/>
        <v>0</v>
      </c>
      <c r="T547" s="40">
        <f t="shared" si="228"/>
        <v>0</v>
      </c>
      <c r="U547" s="40">
        <f t="shared" si="229"/>
        <v>0</v>
      </c>
      <c r="V547" s="40">
        <f t="shared" si="230"/>
        <v>0</v>
      </c>
      <c r="W547" s="40">
        <f t="shared" si="231"/>
        <v>1</v>
      </c>
      <c r="X547" s="40">
        <f t="shared" si="232"/>
        <v>0</v>
      </c>
      <c r="Y547" s="40">
        <f t="shared" si="233"/>
        <v>0</v>
      </c>
      <c r="Z547" s="40">
        <f t="shared" si="234"/>
        <v>0</v>
      </c>
      <c r="AA547" s="40">
        <f t="shared" si="235"/>
        <v>0</v>
      </c>
      <c r="AB547" s="40">
        <f t="shared" si="236"/>
        <v>0</v>
      </c>
      <c r="AC547" s="40">
        <f t="shared" si="237"/>
        <v>0</v>
      </c>
      <c r="AD547" s="40">
        <f t="shared" si="238"/>
        <v>0</v>
      </c>
      <c r="AE547" s="40">
        <f t="shared" si="239"/>
        <v>0</v>
      </c>
      <c r="AF547" s="40">
        <f t="shared" si="240"/>
        <v>1</v>
      </c>
      <c r="AG547" s="40">
        <f t="shared" si="241"/>
        <v>0</v>
      </c>
      <c r="AH547" s="40">
        <f t="shared" si="242"/>
        <v>0</v>
      </c>
      <c r="AI547" s="40">
        <f t="shared" si="243"/>
        <v>1</v>
      </c>
      <c r="AJ547" s="40">
        <f t="shared" si="244"/>
        <v>0</v>
      </c>
      <c r="AK547" s="40">
        <f t="shared" si="245"/>
        <v>0</v>
      </c>
      <c r="AL547" s="40">
        <f t="shared" si="246"/>
        <v>0</v>
      </c>
      <c r="AM547" s="40">
        <f t="shared" si="247"/>
        <v>0</v>
      </c>
      <c r="AN547" s="40">
        <f t="shared" si="248"/>
        <v>0</v>
      </c>
      <c r="AO547" s="40">
        <f t="shared" si="249"/>
        <v>0</v>
      </c>
      <c r="AP547" s="40">
        <f t="shared" si="250"/>
        <v>0</v>
      </c>
      <c r="AQ547" s="40">
        <f t="shared" si="251"/>
        <v>0</v>
      </c>
      <c r="AR547" s="40">
        <f t="shared" si="252"/>
        <v>0</v>
      </c>
      <c r="AS547" s="40">
        <f t="shared" si="253"/>
        <v>0</v>
      </c>
    </row>
    <row r="548" spans="2:45" ht="14.4" customHeight="1" x14ac:dyDescent="0.25">
      <c r="B548" s="56" t="s">
        <v>44</v>
      </c>
      <c r="C548" s="57" t="s">
        <v>26</v>
      </c>
      <c r="D548" s="58" t="s">
        <v>28</v>
      </c>
      <c r="E548" s="62">
        <v>1.6920000000000008E-2</v>
      </c>
      <c r="F548" s="65">
        <f t="shared" si="254"/>
        <v>-4.0792589248040594</v>
      </c>
      <c r="S548" s="40">
        <f t="shared" si="227"/>
        <v>0</v>
      </c>
      <c r="T548" s="40">
        <f t="shared" si="228"/>
        <v>0</v>
      </c>
      <c r="U548" s="40">
        <f t="shared" si="229"/>
        <v>0</v>
      </c>
      <c r="V548" s="40">
        <f t="shared" si="230"/>
        <v>0</v>
      </c>
      <c r="W548" s="40">
        <f t="shared" si="231"/>
        <v>1</v>
      </c>
      <c r="X548" s="40">
        <f t="shared" si="232"/>
        <v>0</v>
      </c>
      <c r="Y548" s="40">
        <f t="shared" si="233"/>
        <v>0</v>
      </c>
      <c r="Z548" s="40">
        <f t="shared" si="234"/>
        <v>0</v>
      </c>
      <c r="AA548" s="40">
        <f t="shared" si="235"/>
        <v>0</v>
      </c>
      <c r="AB548" s="40">
        <f t="shared" si="236"/>
        <v>0</v>
      </c>
      <c r="AC548" s="40">
        <f t="shared" si="237"/>
        <v>0</v>
      </c>
      <c r="AD548" s="40">
        <f t="shared" si="238"/>
        <v>0</v>
      </c>
      <c r="AE548" s="40">
        <f t="shared" si="239"/>
        <v>0</v>
      </c>
      <c r="AF548" s="40">
        <f t="shared" si="240"/>
        <v>1</v>
      </c>
      <c r="AG548" s="40">
        <f t="shared" si="241"/>
        <v>0</v>
      </c>
      <c r="AH548" s="40">
        <f t="shared" si="242"/>
        <v>1</v>
      </c>
      <c r="AI548" s="40">
        <f t="shared" si="243"/>
        <v>0</v>
      </c>
      <c r="AJ548" s="40">
        <f t="shared" si="244"/>
        <v>0</v>
      </c>
      <c r="AK548" s="40">
        <f t="shared" si="245"/>
        <v>0</v>
      </c>
      <c r="AL548" s="40">
        <f t="shared" si="246"/>
        <v>0</v>
      </c>
      <c r="AM548" s="40">
        <f t="shared" si="247"/>
        <v>0</v>
      </c>
      <c r="AN548" s="40">
        <f t="shared" si="248"/>
        <v>0</v>
      </c>
      <c r="AO548" s="40">
        <f t="shared" si="249"/>
        <v>0</v>
      </c>
      <c r="AP548" s="40">
        <f t="shared" si="250"/>
        <v>0</v>
      </c>
      <c r="AQ548" s="40">
        <f t="shared" si="251"/>
        <v>0</v>
      </c>
      <c r="AR548" s="40">
        <f t="shared" si="252"/>
        <v>0</v>
      </c>
      <c r="AS548" s="40">
        <f t="shared" si="253"/>
        <v>0</v>
      </c>
    </row>
    <row r="549" spans="2:45" ht="14.4" customHeight="1" x14ac:dyDescent="0.25">
      <c r="B549" s="56" t="s">
        <v>44</v>
      </c>
      <c r="C549" s="57" t="s">
        <v>26</v>
      </c>
      <c r="D549" s="58" t="s">
        <v>27</v>
      </c>
      <c r="E549" s="62">
        <v>1.5040000000000001E-2</v>
      </c>
      <c r="F549" s="65">
        <f t="shared" si="254"/>
        <v>-4.1970419604604432</v>
      </c>
      <c r="S549" s="40">
        <f t="shared" si="227"/>
        <v>0</v>
      </c>
      <c r="T549" s="40">
        <f t="shared" si="228"/>
        <v>0</v>
      </c>
      <c r="U549" s="40">
        <f t="shared" si="229"/>
        <v>0</v>
      </c>
      <c r="V549" s="40">
        <f t="shared" si="230"/>
        <v>0</v>
      </c>
      <c r="W549" s="40">
        <f t="shared" si="231"/>
        <v>1</v>
      </c>
      <c r="X549" s="40">
        <f t="shared" si="232"/>
        <v>0</v>
      </c>
      <c r="Y549" s="40">
        <f t="shared" si="233"/>
        <v>0</v>
      </c>
      <c r="Z549" s="40">
        <f t="shared" si="234"/>
        <v>0</v>
      </c>
      <c r="AA549" s="40">
        <f t="shared" si="235"/>
        <v>0</v>
      </c>
      <c r="AB549" s="40">
        <f t="shared" si="236"/>
        <v>0</v>
      </c>
      <c r="AC549" s="40">
        <f t="shared" si="237"/>
        <v>0</v>
      </c>
      <c r="AD549" s="40">
        <f t="shared" si="238"/>
        <v>0</v>
      </c>
      <c r="AE549" s="40">
        <f t="shared" si="239"/>
        <v>0</v>
      </c>
      <c r="AF549" s="40">
        <f t="shared" si="240"/>
        <v>1</v>
      </c>
      <c r="AG549" s="40">
        <f t="shared" si="241"/>
        <v>0</v>
      </c>
      <c r="AH549" s="40">
        <f t="shared" si="242"/>
        <v>1</v>
      </c>
      <c r="AI549" s="40">
        <f t="shared" si="243"/>
        <v>0</v>
      </c>
      <c r="AJ549" s="40">
        <f t="shared" si="244"/>
        <v>0</v>
      </c>
      <c r="AK549" s="40">
        <f t="shared" si="245"/>
        <v>0</v>
      </c>
      <c r="AL549" s="40">
        <f t="shared" si="246"/>
        <v>0</v>
      </c>
      <c r="AM549" s="40">
        <f t="shared" si="247"/>
        <v>0</v>
      </c>
      <c r="AN549" s="40">
        <f t="shared" si="248"/>
        <v>0</v>
      </c>
      <c r="AO549" s="40">
        <f t="shared" si="249"/>
        <v>0</v>
      </c>
      <c r="AP549" s="40">
        <f t="shared" si="250"/>
        <v>0</v>
      </c>
      <c r="AQ549" s="40">
        <f t="shared" si="251"/>
        <v>0</v>
      </c>
      <c r="AR549" s="40">
        <f t="shared" si="252"/>
        <v>0</v>
      </c>
      <c r="AS549" s="40">
        <f t="shared" si="253"/>
        <v>0</v>
      </c>
    </row>
    <row r="550" spans="2:45" ht="14.4" customHeight="1" x14ac:dyDescent="0.25">
      <c r="B550" s="56" t="s">
        <v>44</v>
      </c>
      <c r="C550" s="57" t="s">
        <v>26</v>
      </c>
      <c r="D550" s="58" t="s">
        <v>27</v>
      </c>
      <c r="E550" s="62">
        <v>1.4530000000000005E-2</v>
      </c>
      <c r="F550" s="65">
        <f t="shared" si="254"/>
        <v>-4.2315398013999452</v>
      </c>
      <c r="S550" s="40">
        <f t="shared" si="227"/>
        <v>0</v>
      </c>
      <c r="T550" s="40">
        <f t="shared" si="228"/>
        <v>0</v>
      </c>
      <c r="U550" s="40">
        <f t="shared" si="229"/>
        <v>0</v>
      </c>
      <c r="V550" s="40">
        <f t="shared" si="230"/>
        <v>0</v>
      </c>
      <c r="W550" s="40">
        <f t="shared" si="231"/>
        <v>1</v>
      </c>
      <c r="X550" s="40">
        <f t="shared" si="232"/>
        <v>0</v>
      </c>
      <c r="Y550" s="40">
        <f t="shared" si="233"/>
        <v>0</v>
      </c>
      <c r="Z550" s="40">
        <f t="shared" si="234"/>
        <v>0</v>
      </c>
      <c r="AA550" s="40">
        <f t="shared" si="235"/>
        <v>0</v>
      </c>
      <c r="AB550" s="40">
        <f t="shared" si="236"/>
        <v>0</v>
      </c>
      <c r="AC550" s="40">
        <f t="shared" si="237"/>
        <v>0</v>
      </c>
      <c r="AD550" s="40">
        <f t="shared" si="238"/>
        <v>1</v>
      </c>
      <c r="AE550" s="40">
        <f t="shared" si="239"/>
        <v>0</v>
      </c>
      <c r="AF550" s="40">
        <f t="shared" si="240"/>
        <v>0</v>
      </c>
      <c r="AG550" s="40">
        <f t="shared" si="241"/>
        <v>0</v>
      </c>
      <c r="AH550" s="40">
        <f t="shared" si="242"/>
        <v>0</v>
      </c>
      <c r="AI550" s="40">
        <f t="shared" si="243"/>
        <v>0</v>
      </c>
      <c r="AJ550" s="40">
        <f t="shared" si="244"/>
        <v>0</v>
      </c>
      <c r="AK550" s="40">
        <f t="shared" si="245"/>
        <v>0</v>
      </c>
      <c r="AL550" s="40">
        <f t="shared" si="246"/>
        <v>0</v>
      </c>
      <c r="AM550" s="40">
        <f t="shared" si="247"/>
        <v>1</v>
      </c>
      <c r="AN550" s="40">
        <f t="shared" si="248"/>
        <v>0</v>
      </c>
      <c r="AO550" s="40">
        <f t="shared" si="249"/>
        <v>0</v>
      </c>
      <c r="AP550" s="40">
        <f t="shared" si="250"/>
        <v>0</v>
      </c>
      <c r="AQ550" s="40">
        <f t="shared" si="251"/>
        <v>0</v>
      </c>
      <c r="AR550" s="40">
        <f t="shared" si="252"/>
        <v>0</v>
      </c>
      <c r="AS550" s="40">
        <f t="shared" si="253"/>
        <v>0</v>
      </c>
    </row>
    <row r="551" spans="2:45" ht="14.4" customHeight="1" x14ac:dyDescent="0.25">
      <c r="B551" s="56" t="s">
        <v>44</v>
      </c>
      <c r="C551" s="57" t="s">
        <v>21</v>
      </c>
      <c r="D551" s="58" t="s">
        <v>35</v>
      </c>
      <c r="E551" s="62">
        <v>2.4899999999999995E-2</v>
      </c>
      <c r="F551" s="65">
        <f t="shared" si="254"/>
        <v>-3.6928874755114753</v>
      </c>
      <c r="S551" s="40">
        <f t="shared" si="227"/>
        <v>0</v>
      </c>
      <c r="T551" s="40">
        <f t="shared" si="228"/>
        <v>0</v>
      </c>
      <c r="U551" s="40">
        <f t="shared" si="229"/>
        <v>0</v>
      </c>
      <c r="V551" s="40">
        <f t="shared" si="230"/>
        <v>0</v>
      </c>
      <c r="W551" s="40">
        <f t="shared" si="231"/>
        <v>1</v>
      </c>
      <c r="X551" s="40">
        <f t="shared" si="232"/>
        <v>0</v>
      </c>
      <c r="Y551" s="40">
        <f t="shared" si="233"/>
        <v>0</v>
      </c>
      <c r="Z551" s="40">
        <f t="shared" si="234"/>
        <v>0</v>
      </c>
      <c r="AA551" s="40">
        <f t="shared" si="235"/>
        <v>0</v>
      </c>
      <c r="AB551" s="40">
        <f t="shared" si="236"/>
        <v>0</v>
      </c>
      <c r="AC551" s="40">
        <f t="shared" si="237"/>
        <v>0</v>
      </c>
      <c r="AD551" s="40">
        <f t="shared" si="238"/>
        <v>0</v>
      </c>
      <c r="AE551" s="40">
        <f t="shared" si="239"/>
        <v>0</v>
      </c>
      <c r="AF551" s="40">
        <f t="shared" si="240"/>
        <v>1</v>
      </c>
      <c r="AG551" s="40">
        <f t="shared" si="241"/>
        <v>0</v>
      </c>
      <c r="AH551" s="40">
        <f t="shared" si="242"/>
        <v>0</v>
      </c>
      <c r="AI551" s="40">
        <f t="shared" si="243"/>
        <v>0</v>
      </c>
      <c r="AJ551" s="40">
        <f t="shared" si="244"/>
        <v>0</v>
      </c>
      <c r="AK551" s="40">
        <f t="shared" si="245"/>
        <v>0</v>
      </c>
      <c r="AL551" s="40">
        <f t="shared" si="246"/>
        <v>0</v>
      </c>
      <c r="AM551" s="40">
        <f t="shared" si="247"/>
        <v>0</v>
      </c>
      <c r="AN551" s="40">
        <f t="shared" si="248"/>
        <v>0</v>
      </c>
      <c r="AO551" s="40">
        <f t="shared" si="249"/>
        <v>1</v>
      </c>
      <c r="AP551" s="40">
        <f t="shared" si="250"/>
        <v>0</v>
      </c>
      <c r="AQ551" s="40">
        <f t="shared" si="251"/>
        <v>0</v>
      </c>
      <c r="AR551" s="40">
        <f t="shared" si="252"/>
        <v>0</v>
      </c>
      <c r="AS551" s="40">
        <f t="shared" si="253"/>
        <v>0</v>
      </c>
    </row>
    <row r="552" spans="2:45" ht="14.4" customHeight="1" x14ac:dyDescent="0.25">
      <c r="B552" s="56" t="s">
        <v>44</v>
      </c>
      <c r="C552" s="57" t="s">
        <v>26</v>
      </c>
      <c r="D552" s="58" t="s">
        <v>31</v>
      </c>
      <c r="E552" s="62">
        <v>1.0100000000000003E-2</v>
      </c>
      <c r="F552" s="65">
        <f t="shared" si="254"/>
        <v>-4.595219855134923</v>
      </c>
      <c r="S552" s="40">
        <f t="shared" si="227"/>
        <v>0</v>
      </c>
      <c r="T552" s="40">
        <f t="shared" si="228"/>
        <v>0</v>
      </c>
      <c r="U552" s="40">
        <f t="shared" si="229"/>
        <v>0</v>
      </c>
      <c r="V552" s="40">
        <f t="shared" si="230"/>
        <v>0</v>
      </c>
      <c r="W552" s="40">
        <f t="shared" si="231"/>
        <v>1</v>
      </c>
      <c r="X552" s="40">
        <f t="shared" si="232"/>
        <v>0</v>
      </c>
      <c r="Y552" s="40">
        <f t="shared" si="233"/>
        <v>0</v>
      </c>
      <c r="Z552" s="40">
        <f t="shared" si="234"/>
        <v>0</v>
      </c>
      <c r="AA552" s="40">
        <f t="shared" si="235"/>
        <v>0</v>
      </c>
      <c r="AB552" s="40">
        <f t="shared" si="236"/>
        <v>0</v>
      </c>
      <c r="AC552" s="40">
        <f t="shared" si="237"/>
        <v>0</v>
      </c>
      <c r="AD552" s="40">
        <f t="shared" si="238"/>
        <v>0</v>
      </c>
      <c r="AE552" s="40">
        <f t="shared" si="239"/>
        <v>1</v>
      </c>
      <c r="AF552" s="40">
        <f t="shared" si="240"/>
        <v>0</v>
      </c>
      <c r="AG552" s="40">
        <f t="shared" si="241"/>
        <v>0</v>
      </c>
      <c r="AH552" s="40">
        <f t="shared" si="242"/>
        <v>0</v>
      </c>
      <c r="AI552" s="40">
        <f t="shared" si="243"/>
        <v>0</v>
      </c>
      <c r="AJ552" s="40">
        <f t="shared" si="244"/>
        <v>0</v>
      </c>
      <c r="AK552" s="40">
        <f t="shared" si="245"/>
        <v>1</v>
      </c>
      <c r="AL552" s="40">
        <f t="shared" si="246"/>
        <v>0</v>
      </c>
      <c r="AM552" s="40">
        <f t="shared" si="247"/>
        <v>0</v>
      </c>
      <c r="AN552" s="40">
        <f t="shared" si="248"/>
        <v>0</v>
      </c>
      <c r="AO552" s="40">
        <f t="shared" si="249"/>
        <v>0</v>
      </c>
      <c r="AP552" s="40">
        <f t="shared" si="250"/>
        <v>0</v>
      </c>
      <c r="AQ552" s="40">
        <f t="shared" si="251"/>
        <v>0</v>
      </c>
      <c r="AR552" s="40">
        <f t="shared" si="252"/>
        <v>0</v>
      </c>
      <c r="AS552" s="40">
        <f t="shared" si="253"/>
        <v>0</v>
      </c>
    </row>
    <row r="553" spans="2:45" ht="14.4" customHeight="1" x14ac:dyDescent="0.25">
      <c r="B553" s="56" t="s">
        <v>44</v>
      </c>
      <c r="C553" s="57" t="s">
        <v>34</v>
      </c>
      <c r="D553" s="58" t="s">
        <v>32</v>
      </c>
      <c r="E553" s="62">
        <v>1.3259999999999997E-2</v>
      </c>
      <c r="F553" s="65">
        <f t="shared" si="254"/>
        <v>-4.3230032942244208</v>
      </c>
      <c r="S553" s="40">
        <f t="shared" si="227"/>
        <v>0</v>
      </c>
      <c r="T553" s="40">
        <f t="shared" si="228"/>
        <v>0</v>
      </c>
      <c r="U553" s="40">
        <f t="shared" si="229"/>
        <v>0</v>
      </c>
      <c r="V553" s="40">
        <f t="shared" si="230"/>
        <v>0</v>
      </c>
      <c r="W553" s="40">
        <f t="shared" si="231"/>
        <v>1</v>
      </c>
      <c r="X553" s="40">
        <f t="shared" si="232"/>
        <v>0</v>
      </c>
      <c r="Y553" s="40">
        <f t="shared" si="233"/>
        <v>0</v>
      </c>
      <c r="Z553" s="40">
        <f t="shared" si="234"/>
        <v>0</v>
      </c>
      <c r="AA553" s="40">
        <f t="shared" si="235"/>
        <v>0</v>
      </c>
      <c r="AB553" s="40">
        <f t="shared" si="236"/>
        <v>0</v>
      </c>
      <c r="AC553" s="40">
        <f t="shared" si="237"/>
        <v>0</v>
      </c>
      <c r="AD553" s="40">
        <f t="shared" si="238"/>
        <v>0</v>
      </c>
      <c r="AE553" s="40">
        <f t="shared" si="239"/>
        <v>0</v>
      </c>
      <c r="AF553" s="40">
        <f t="shared" si="240"/>
        <v>1</v>
      </c>
      <c r="AG553" s="40">
        <f t="shared" si="241"/>
        <v>0</v>
      </c>
      <c r="AH553" s="40">
        <f t="shared" si="242"/>
        <v>1</v>
      </c>
      <c r="AI553" s="40">
        <f t="shared" si="243"/>
        <v>0</v>
      </c>
      <c r="AJ553" s="40">
        <f t="shared" si="244"/>
        <v>0</v>
      </c>
      <c r="AK553" s="40">
        <f t="shared" si="245"/>
        <v>0</v>
      </c>
      <c r="AL553" s="40">
        <f t="shared" si="246"/>
        <v>0</v>
      </c>
      <c r="AM553" s="40">
        <f t="shared" si="247"/>
        <v>0</v>
      </c>
      <c r="AN553" s="40">
        <f t="shared" si="248"/>
        <v>0</v>
      </c>
      <c r="AO553" s="40">
        <f t="shared" si="249"/>
        <v>0</v>
      </c>
      <c r="AP553" s="40">
        <f t="shared" si="250"/>
        <v>0</v>
      </c>
      <c r="AQ553" s="40">
        <f t="shared" si="251"/>
        <v>0</v>
      </c>
      <c r="AR553" s="40">
        <f t="shared" si="252"/>
        <v>0</v>
      </c>
      <c r="AS553" s="40">
        <f t="shared" si="253"/>
        <v>0</v>
      </c>
    </row>
    <row r="554" spans="2:45" ht="14.4" customHeight="1" x14ac:dyDescent="0.25">
      <c r="B554" s="56" t="s">
        <v>44</v>
      </c>
      <c r="C554" s="57" t="s">
        <v>26</v>
      </c>
      <c r="D554" s="58" t="s">
        <v>27</v>
      </c>
      <c r="E554" s="62">
        <v>1.0219999999999998E-2</v>
      </c>
      <c r="F554" s="65">
        <f t="shared" si="254"/>
        <v>-4.5834086942065788</v>
      </c>
      <c r="S554" s="40">
        <f t="shared" si="227"/>
        <v>0</v>
      </c>
      <c r="T554" s="40">
        <f t="shared" si="228"/>
        <v>0</v>
      </c>
      <c r="U554" s="40">
        <f t="shared" si="229"/>
        <v>0</v>
      </c>
      <c r="V554" s="40">
        <f t="shared" si="230"/>
        <v>0</v>
      </c>
      <c r="W554" s="40">
        <f t="shared" si="231"/>
        <v>1</v>
      </c>
      <c r="X554" s="40">
        <f t="shared" si="232"/>
        <v>0</v>
      </c>
      <c r="Y554" s="40">
        <f t="shared" si="233"/>
        <v>0</v>
      </c>
      <c r="Z554" s="40">
        <f t="shared" si="234"/>
        <v>0</v>
      </c>
      <c r="AA554" s="40">
        <f t="shared" si="235"/>
        <v>0</v>
      </c>
      <c r="AB554" s="40">
        <f t="shared" si="236"/>
        <v>0</v>
      </c>
      <c r="AC554" s="40">
        <f t="shared" si="237"/>
        <v>0</v>
      </c>
      <c r="AD554" s="40">
        <f t="shared" si="238"/>
        <v>0</v>
      </c>
      <c r="AE554" s="40">
        <f t="shared" si="239"/>
        <v>0</v>
      </c>
      <c r="AF554" s="40">
        <f t="shared" si="240"/>
        <v>1</v>
      </c>
      <c r="AG554" s="40">
        <f t="shared" si="241"/>
        <v>0</v>
      </c>
      <c r="AH554" s="40">
        <f t="shared" si="242"/>
        <v>0</v>
      </c>
      <c r="AI554" s="40">
        <f t="shared" si="243"/>
        <v>1</v>
      </c>
      <c r="AJ554" s="40">
        <f t="shared" si="244"/>
        <v>0</v>
      </c>
      <c r="AK554" s="40">
        <f t="shared" si="245"/>
        <v>0</v>
      </c>
      <c r="AL554" s="40">
        <f t="shared" si="246"/>
        <v>0</v>
      </c>
      <c r="AM554" s="40">
        <f t="shared" si="247"/>
        <v>0</v>
      </c>
      <c r="AN554" s="40">
        <f t="shared" si="248"/>
        <v>0</v>
      </c>
      <c r="AO554" s="40">
        <f t="shared" si="249"/>
        <v>0</v>
      </c>
      <c r="AP554" s="40">
        <f t="shared" si="250"/>
        <v>0</v>
      </c>
      <c r="AQ554" s="40">
        <f t="shared" si="251"/>
        <v>0</v>
      </c>
      <c r="AR554" s="40">
        <f t="shared" si="252"/>
        <v>0</v>
      </c>
      <c r="AS554" s="40">
        <f t="shared" si="253"/>
        <v>0</v>
      </c>
    </row>
    <row r="555" spans="2:45" ht="14.4" customHeight="1" x14ac:dyDescent="0.25">
      <c r="B555" s="56" t="s">
        <v>44</v>
      </c>
      <c r="C555" s="57" t="s">
        <v>26</v>
      </c>
      <c r="D555" s="58" t="s">
        <v>28</v>
      </c>
      <c r="E555" s="62">
        <v>1.0419999999999999E-2</v>
      </c>
      <c r="F555" s="65">
        <f t="shared" si="254"/>
        <v>-4.5640282426569163</v>
      </c>
      <c r="S555" s="40">
        <f t="shared" si="227"/>
        <v>0</v>
      </c>
      <c r="T555" s="40">
        <f t="shared" si="228"/>
        <v>0</v>
      </c>
      <c r="U555" s="40">
        <f t="shared" si="229"/>
        <v>0</v>
      </c>
      <c r="V555" s="40">
        <f t="shared" si="230"/>
        <v>0</v>
      </c>
      <c r="W555" s="40">
        <f t="shared" si="231"/>
        <v>1</v>
      </c>
      <c r="X555" s="40">
        <f t="shared" si="232"/>
        <v>0</v>
      </c>
      <c r="Y555" s="40">
        <f t="shared" si="233"/>
        <v>0</v>
      </c>
      <c r="Z555" s="40">
        <f t="shared" si="234"/>
        <v>0</v>
      </c>
      <c r="AA555" s="40">
        <f t="shared" si="235"/>
        <v>0</v>
      </c>
      <c r="AB555" s="40">
        <f t="shared" si="236"/>
        <v>0</v>
      </c>
      <c r="AC555" s="40">
        <f t="shared" si="237"/>
        <v>0</v>
      </c>
      <c r="AD555" s="40">
        <f t="shared" si="238"/>
        <v>0</v>
      </c>
      <c r="AE555" s="40">
        <f t="shared" si="239"/>
        <v>0</v>
      </c>
      <c r="AF555" s="40">
        <f t="shared" si="240"/>
        <v>1</v>
      </c>
      <c r="AG555" s="40">
        <f t="shared" si="241"/>
        <v>0</v>
      </c>
      <c r="AH555" s="40">
        <f t="shared" si="242"/>
        <v>0</v>
      </c>
      <c r="AI555" s="40">
        <f t="shared" si="243"/>
        <v>0</v>
      </c>
      <c r="AJ555" s="40">
        <f t="shared" si="244"/>
        <v>0</v>
      </c>
      <c r="AK555" s="40">
        <f t="shared" si="245"/>
        <v>0</v>
      </c>
      <c r="AL555" s="40">
        <f t="shared" si="246"/>
        <v>0</v>
      </c>
      <c r="AM555" s="40">
        <f t="shared" si="247"/>
        <v>0</v>
      </c>
      <c r="AN555" s="40">
        <f t="shared" si="248"/>
        <v>0</v>
      </c>
      <c r="AO555" s="40">
        <f t="shared" si="249"/>
        <v>0</v>
      </c>
      <c r="AP555" s="40">
        <f t="shared" si="250"/>
        <v>0</v>
      </c>
      <c r="AQ555" s="40">
        <f t="shared" si="251"/>
        <v>0</v>
      </c>
      <c r="AR555" s="40">
        <f t="shared" si="252"/>
        <v>1</v>
      </c>
      <c r="AS555" s="40">
        <f t="shared" si="253"/>
        <v>0</v>
      </c>
    </row>
    <row r="556" spans="2:45" ht="14.4" customHeight="1" x14ac:dyDescent="0.25">
      <c r="B556" s="56" t="s">
        <v>44</v>
      </c>
      <c r="C556" s="57" t="s">
        <v>26</v>
      </c>
      <c r="D556" s="58" t="s">
        <v>33</v>
      </c>
      <c r="E556" s="62">
        <v>1.8120000000000004E-2</v>
      </c>
      <c r="F556" s="65">
        <f t="shared" si="254"/>
        <v>-4.0107389783673035</v>
      </c>
      <c r="S556" s="40">
        <f t="shared" si="227"/>
        <v>0</v>
      </c>
      <c r="T556" s="40">
        <f t="shared" si="228"/>
        <v>0</v>
      </c>
      <c r="U556" s="40">
        <f t="shared" si="229"/>
        <v>0</v>
      </c>
      <c r="V556" s="40">
        <f t="shared" si="230"/>
        <v>0</v>
      </c>
      <c r="W556" s="40">
        <f t="shared" si="231"/>
        <v>1</v>
      </c>
      <c r="X556" s="40">
        <f t="shared" si="232"/>
        <v>0</v>
      </c>
      <c r="Y556" s="40">
        <f t="shared" si="233"/>
        <v>0</v>
      </c>
      <c r="Z556" s="40">
        <f t="shared" si="234"/>
        <v>0</v>
      </c>
      <c r="AA556" s="40">
        <f t="shared" si="235"/>
        <v>0</v>
      </c>
      <c r="AB556" s="40">
        <f t="shared" si="236"/>
        <v>0</v>
      </c>
      <c r="AC556" s="40">
        <f t="shared" si="237"/>
        <v>0</v>
      </c>
      <c r="AD556" s="40">
        <f t="shared" si="238"/>
        <v>0</v>
      </c>
      <c r="AE556" s="40">
        <f t="shared" si="239"/>
        <v>0</v>
      </c>
      <c r="AF556" s="40">
        <f t="shared" si="240"/>
        <v>1</v>
      </c>
      <c r="AG556" s="40">
        <f t="shared" si="241"/>
        <v>0</v>
      </c>
      <c r="AH556" s="40">
        <f t="shared" si="242"/>
        <v>0</v>
      </c>
      <c r="AI556" s="40">
        <f t="shared" si="243"/>
        <v>0</v>
      </c>
      <c r="AJ556" s="40">
        <f t="shared" si="244"/>
        <v>0</v>
      </c>
      <c r="AK556" s="40">
        <f t="shared" si="245"/>
        <v>0</v>
      </c>
      <c r="AL556" s="40">
        <f t="shared" si="246"/>
        <v>0</v>
      </c>
      <c r="AM556" s="40">
        <f t="shared" si="247"/>
        <v>0</v>
      </c>
      <c r="AN556" s="40">
        <f t="shared" si="248"/>
        <v>0</v>
      </c>
      <c r="AO556" s="40">
        <f t="shared" si="249"/>
        <v>0</v>
      </c>
      <c r="AP556" s="40">
        <f t="shared" si="250"/>
        <v>0</v>
      </c>
      <c r="AQ556" s="40">
        <f t="shared" si="251"/>
        <v>0</v>
      </c>
      <c r="AR556" s="40">
        <f t="shared" si="252"/>
        <v>1</v>
      </c>
      <c r="AS556" s="40">
        <f t="shared" si="253"/>
        <v>0</v>
      </c>
    </row>
    <row r="557" spans="2:45" ht="14.4" customHeight="1" x14ac:dyDescent="0.25">
      <c r="B557" s="56" t="s">
        <v>44</v>
      </c>
      <c r="C557" s="57" t="s">
        <v>26</v>
      </c>
      <c r="D557" s="58" t="s">
        <v>33</v>
      </c>
      <c r="E557" s="62">
        <v>2.1419999999999998E-2</v>
      </c>
      <c r="F557" s="65">
        <f t="shared" si="254"/>
        <v>-3.8434302139625345</v>
      </c>
      <c r="S557" s="40">
        <f t="shared" si="227"/>
        <v>0</v>
      </c>
      <c r="T557" s="40">
        <f t="shared" si="228"/>
        <v>0</v>
      </c>
      <c r="U557" s="40">
        <f t="shared" si="229"/>
        <v>0</v>
      </c>
      <c r="V557" s="40">
        <f t="shared" si="230"/>
        <v>0</v>
      </c>
      <c r="W557" s="40">
        <f t="shared" si="231"/>
        <v>1</v>
      </c>
      <c r="X557" s="40">
        <f t="shared" si="232"/>
        <v>0</v>
      </c>
      <c r="Y557" s="40">
        <f t="shared" si="233"/>
        <v>0</v>
      </c>
      <c r="Z557" s="40">
        <f t="shared" si="234"/>
        <v>0</v>
      </c>
      <c r="AA557" s="40">
        <f t="shared" si="235"/>
        <v>0</v>
      </c>
      <c r="AB557" s="40">
        <f t="shared" si="236"/>
        <v>0</v>
      </c>
      <c r="AC557" s="40">
        <f t="shared" si="237"/>
        <v>0</v>
      </c>
      <c r="AD557" s="40">
        <f t="shared" si="238"/>
        <v>0</v>
      </c>
      <c r="AE557" s="40">
        <f t="shared" si="239"/>
        <v>0</v>
      </c>
      <c r="AF557" s="40">
        <f t="shared" si="240"/>
        <v>1</v>
      </c>
      <c r="AG557" s="40">
        <f t="shared" si="241"/>
        <v>0</v>
      </c>
      <c r="AH557" s="40">
        <f t="shared" si="242"/>
        <v>0</v>
      </c>
      <c r="AI557" s="40">
        <f t="shared" si="243"/>
        <v>0</v>
      </c>
      <c r="AJ557" s="40">
        <f t="shared" si="244"/>
        <v>0</v>
      </c>
      <c r="AK557" s="40">
        <f t="shared" si="245"/>
        <v>0</v>
      </c>
      <c r="AL557" s="40">
        <f t="shared" si="246"/>
        <v>1</v>
      </c>
      <c r="AM557" s="40">
        <f t="shared" si="247"/>
        <v>0</v>
      </c>
      <c r="AN557" s="40">
        <f t="shared" si="248"/>
        <v>0</v>
      </c>
      <c r="AO557" s="40">
        <f t="shared" si="249"/>
        <v>0</v>
      </c>
      <c r="AP557" s="40">
        <f t="shared" si="250"/>
        <v>0</v>
      </c>
      <c r="AQ557" s="40">
        <f t="shared" si="251"/>
        <v>0</v>
      </c>
      <c r="AR557" s="40">
        <f t="shared" si="252"/>
        <v>0</v>
      </c>
      <c r="AS557" s="40">
        <f t="shared" si="253"/>
        <v>0</v>
      </c>
    </row>
    <row r="558" spans="2:45" ht="14.4" customHeight="1" x14ac:dyDescent="0.25">
      <c r="B558" s="56" t="s">
        <v>44</v>
      </c>
      <c r="C558" s="57" t="s">
        <v>26</v>
      </c>
      <c r="D558" s="58" t="s">
        <v>24</v>
      </c>
      <c r="E558" s="62">
        <v>1.2819999999999996E-2</v>
      </c>
      <c r="F558" s="65">
        <f t="shared" si="254"/>
        <v>-4.3567488274896133</v>
      </c>
      <c r="S558" s="40">
        <f t="shared" si="227"/>
        <v>0</v>
      </c>
      <c r="T558" s="40">
        <f t="shared" si="228"/>
        <v>0</v>
      </c>
      <c r="U558" s="40">
        <f t="shared" si="229"/>
        <v>0</v>
      </c>
      <c r="V558" s="40">
        <f t="shared" si="230"/>
        <v>0</v>
      </c>
      <c r="W558" s="40">
        <f t="shared" si="231"/>
        <v>1</v>
      </c>
      <c r="X558" s="40">
        <f t="shared" si="232"/>
        <v>0</v>
      </c>
      <c r="Y558" s="40">
        <f t="shared" si="233"/>
        <v>0</v>
      </c>
      <c r="Z558" s="40">
        <f t="shared" si="234"/>
        <v>0</v>
      </c>
      <c r="AA558" s="40">
        <f t="shared" si="235"/>
        <v>0</v>
      </c>
      <c r="AB558" s="40">
        <f t="shared" si="236"/>
        <v>0</v>
      </c>
      <c r="AC558" s="40">
        <f t="shared" si="237"/>
        <v>0</v>
      </c>
      <c r="AD558" s="40">
        <f t="shared" si="238"/>
        <v>0</v>
      </c>
      <c r="AE558" s="40">
        <f t="shared" si="239"/>
        <v>0</v>
      </c>
      <c r="AF558" s="40">
        <f t="shared" si="240"/>
        <v>1</v>
      </c>
      <c r="AG558" s="40">
        <f t="shared" si="241"/>
        <v>0</v>
      </c>
      <c r="AH558" s="40">
        <f t="shared" si="242"/>
        <v>0</v>
      </c>
      <c r="AI558" s="40">
        <f t="shared" si="243"/>
        <v>0</v>
      </c>
      <c r="AJ558" s="40">
        <f t="shared" si="244"/>
        <v>0</v>
      </c>
      <c r="AK558" s="40">
        <f t="shared" si="245"/>
        <v>1</v>
      </c>
      <c r="AL558" s="40">
        <f t="shared" si="246"/>
        <v>0</v>
      </c>
      <c r="AM558" s="40">
        <f t="shared" si="247"/>
        <v>0</v>
      </c>
      <c r="AN558" s="40">
        <f t="shared" si="248"/>
        <v>0</v>
      </c>
      <c r="AO558" s="40">
        <f t="shared" si="249"/>
        <v>0</v>
      </c>
      <c r="AP558" s="40">
        <f t="shared" si="250"/>
        <v>0</v>
      </c>
      <c r="AQ558" s="40">
        <f t="shared" si="251"/>
        <v>0</v>
      </c>
      <c r="AR558" s="40">
        <f t="shared" si="252"/>
        <v>0</v>
      </c>
      <c r="AS558" s="40">
        <f t="shared" si="253"/>
        <v>0</v>
      </c>
    </row>
    <row r="559" spans="2:45" ht="14.4" customHeight="1" x14ac:dyDescent="0.25">
      <c r="B559" s="56" t="s">
        <v>44</v>
      </c>
      <c r="C559" s="57" t="s">
        <v>26</v>
      </c>
      <c r="D559" s="58" t="s">
        <v>32</v>
      </c>
      <c r="E559" s="62">
        <v>3.0499999999999996E-2</v>
      </c>
      <c r="F559" s="65">
        <f t="shared" si="254"/>
        <v>-3.4900285953687713</v>
      </c>
      <c r="S559" s="40">
        <f t="shared" si="227"/>
        <v>0</v>
      </c>
      <c r="T559" s="40">
        <f t="shared" si="228"/>
        <v>0</v>
      </c>
      <c r="U559" s="40">
        <f t="shared" si="229"/>
        <v>0</v>
      </c>
      <c r="V559" s="40">
        <f t="shared" si="230"/>
        <v>0</v>
      </c>
      <c r="W559" s="40">
        <f t="shared" si="231"/>
        <v>1</v>
      </c>
      <c r="X559" s="40">
        <f t="shared" si="232"/>
        <v>0</v>
      </c>
      <c r="Y559" s="40">
        <f t="shared" si="233"/>
        <v>0</v>
      </c>
      <c r="Z559" s="40">
        <f t="shared" si="234"/>
        <v>0</v>
      </c>
      <c r="AA559" s="40">
        <f t="shared" si="235"/>
        <v>0</v>
      </c>
      <c r="AB559" s="40">
        <f t="shared" si="236"/>
        <v>0</v>
      </c>
      <c r="AC559" s="40">
        <f t="shared" si="237"/>
        <v>0</v>
      </c>
      <c r="AD559" s="40">
        <f t="shared" si="238"/>
        <v>0</v>
      </c>
      <c r="AE559" s="40">
        <f t="shared" si="239"/>
        <v>0</v>
      </c>
      <c r="AF559" s="40">
        <f t="shared" si="240"/>
        <v>1</v>
      </c>
      <c r="AG559" s="40">
        <f t="shared" si="241"/>
        <v>0</v>
      </c>
      <c r="AH559" s="40">
        <f t="shared" si="242"/>
        <v>0</v>
      </c>
      <c r="AI559" s="40">
        <f t="shared" si="243"/>
        <v>0</v>
      </c>
      <c r="AJ559" s="40">
        <f t="shared" si="244"/>
        <v>1</v>
      </c>
      <c r="AK559" s="40">
        <f t="shared" si="245"/>
        <v>0</v>
      </c>
      <c r="AL559" s="40">
        <f t="shared" si="246"/>
        <v>0</v>
      </c>
      <c r="AM559" s="40">
        <f t="shared" si="247"/>
        <v>0</v>
      </c>
      <c r="AN559" s="40">
        <f t="shared" si="248"/>
        <v>0</v>
      </c>
      <c r="AO559" s="40">
        <f t="shared" si="249"/>
        <v>0</v>
      </c>
      <c r="AP559" s="40">
        <f t="shared" si="250"/>
        <v>0</v>
      </c>
      <c r="AQ559" s="40">
        <f t="shared" si="251"/>
        <v>0</v>
      </c>
      <c r="AR559" s="40">
        <f t="shared" si="252"/>
        <v>0</v>
      </c>
      <c r="AS559" s="40">
        <f t="shared" si="253"/>
        <v>0</v>
      </c>
    </row>
    <row r="560" spans="2:45" ht="14.4" customHeight="1" x14ac:dyDescent="0.25">
      <c r="B560" s="56" t="s">
        <v>44</v>
      </c>
      <c r="C560" s="57" t="s">
        <v>26</v>
      </c>
      <c r="D560" s="58" t="s">
        <v>37</v>
      </c>
      <c r="E560" s="62">
        <v>5.4599999999999996E-3</v>
      </c>
      <c r="F560" s="65">
        <f t="shared" si="254"/>
        <v>-5.2103064892253235</v>
      </c>
      <c r="S560" s="40">
        <f t="shared" si="227"/>
        <v>0</v>
      </c>
      <c r="T560" s="40">
        <f t="shared" si="228"/>
        <v>0</v>
      </c>
      <c r="U560" s="40">
        <f t="shared" si="229"/>
        <v>0</v>
      </c>
      <c r="V560" s="40">
        <f t="shared" si="230"/>
        <v>0</v>
      </c>
      <c r="W560" s="40">
        <f t="shared" si="231"/>
        <v>1</v>
      </c>
      <c r="X560" s="40">
        <f t="shared" si="232"/>
        <v>0</v>
      </c>
      <c r="Y560" s="40">
        <f t="shared" si="233"/>
        <v>0</v>
      </c>
      <c r="Z560" s="40">
        <f t="shared" si="234"/>
        <v>0</v>
      </c>
      <c r="AA560" s="40">
        <f t="shared" si="235"/>
        <v>0</v>
      </c>
      <c r="AB560" s="40">
        <f t="shared" si="236"/>
        <v>0</v>
      </c>
      <c r="AC560" s="40">
        <f t="shared" si="237"/>
        <v>0</v>
      </c>
      <c r="AD560" s="40">
        <f t="shared" si="238"/>
        <v>0</v>
      </c>
      <c r="AE560" s="40">
        <f t="shared" si="239"/>
        <v>0</v>
      </c>
      <c r="AF560" s="40">
        <f t="shared" si="240"/>
        <v>1</v>
      </c>
      <c r="AG560" s="40">
        <f t="shared" si="241"/>
        <v>0</v>
      </c>
      <c r="AH560" s="40">
        <f t="shared" si="242"/>
        <v>0</v>
      </c>
      <c r="AI560" s="40">
        <f t="shared" si="243"/>
        <v>0</v>
      </c>
      <c r="AJ560" s="40">
        <f t="shared" si="244"/>
        <v>1</v>
      </c>
      <c r="AK560" s="40">
        <f t="shared" si="245"/>
        <v>0</v>
      </c>
      <c r="AL560" s="40">
        <f t="shared" si="246"/>
        <v>0</v>
      </c>
      <c r="AM560" s="40">
        <f t="shared" si="247"/>
        <v>0</v>
      </c>
      <c r="AN560" s="40">
        <f t="shared" si="248"/>
        <v>0</v>
      </c>
      <c r="AO560" s="40">
        <f t="shared" si="249"/>
        <v>0</v>
      </c>
      <c r="AP560" s="40">
        <f t="shared" si="250"/>
        <v>0</v>
      </c>
      <c r="AQ560" s="40">
        <f t="shared" si="251"/>
        <v>0</v>
      </c>
      <c r="AR560" s="40">
        <f t="shared" si="252"/>
        <v>0</v>
      </c>
      <c r="AS560" s="40">
        <f t="shared" si="253"/>
        <v>0</v>
      </c>
    </row>
    <row r="561" spans="2:45" ht="14.4" customHeight="1" x14ac:dyDescent="0.25">
      <c r="B561" s="56" t="s">
        <v>44</v>
      </c>
      <c r="C561" s="57" t="s">
        <v>26</v>
      </c>
      <c r="D561" s="58" t="s">
        <v>37</v>
      </c>
      <c r="E561" s="62">
        <v>1.6360000000000006E-2</v>
      </c>
      <c r="F561" s="65">
        <f t="shared" si="254"/>
        <v>-4.1129159478075357</v>
      </c>
      <c r="S561" s="40">
        <f t="shared" si="227"/>
        <v>0</v>
      </c>
      <c r="T561" s="40">
        <f t="shared" si="228"/>
        <v>0</v>
      </c>
      <c r="U561" s="40">
        <f t="shared" si="229"/>
        <v>0</v>
      </c>
      <c r="V561" s="40">
        <f t="shared" si="230"/>
        <v>0</v>
      </c>
      <c r="W561" s="40">
        <f t="shared" si="231"/>
        <v>1</v>
      </c>
      <c r="X561" s="40">
        <f t="shared" si="232"/>
        <v>0</v>
      </c>
      <c r="Y561" s="40">
        <f t="shared" si="233"/>
        <v>0</v>
      </c>
      <c r="Z561" s="40">
        <f t="shared" si="234"/>
        <v>0</v>
      </c>
      <c r="AA561" s="40">
        <f t="shared" si="235"/>
        <v>0</v>
      </c>
      <c r="AB561" s="40">
        <f t="shared" si="236"/>
        <v>0</v>
      </c>
      <c r="AC561" s="40">
        <f t="shared" si="237"/>
        <v>0</v>
      </c>
      <c r="AD561" s="40">
        <f t="shared" si="238"/>
        <v>0</v>
      </c>
      <c r="AE561" s="40">
        <f t="shared" si="239"/>
        <v>0</v>
      </c>
      <c r="AF561" s="40">
        <f t="shared" si="240"/>
        <v>1</v>
      </c>
      <c r="AG561" s="40">
        <f t="shared" si="241"/>
        <v>0</v>
      </c>
      <c r="AH561" s="40">
        <f t="shared" si="242"/>
        <v>0</v>
      </c>
      <c r="AI561" s="40">
        <f t="shared" si="243"/>
        <v>0</v>
      </c>
      <c r="AJ561" s="40">
        <f t="shared" si="244"/>
        <v>1</v>
      </c>
      <c r="AK561" s="40">
        <f t="shared" si="245"/>
        <v>0</v>
      </c>
      <c r="AL561" s="40">
        <f t="shared" si="246"/>
        <v>0</v>
      </c>
      <c r="AM561" s="40">
        <f t="shared" si="247"/>
        <v>0</v>
      </c>
      <c r="AN561" s="40">
        <f t="shared" si="248"/>
        <v>0</v>
      </c>
      <c r="AO561" s="40">
        <f t="shared" si="249"/>
        <v>0</v>
      </c>
      <c r="AP561" s="40">
        <f t="shared" si="250"/>
        <v>0</v>
      </c>
      <c r="AQ561" s="40">
        <f t="shared" si="251"/>
        <v>0</v>
      </c>
      <c r="AR561" s="40">
        <f t="shared" si="252"/>
        <v>0</v>
      </c>
      <c r="AS561" s="40">
        <f t="shared" si="253"/>
        <v>0</v>
      </c>
    </row>
    <row r="562" spans="2:45" ht="14.4" customHeight="1" x14ac:dyDescent="0.25">
      <c r="B562" s="56" t="s">
        <v>44</v>
      </c>
      <c r="C562" s="57" t="s">
        <v>26</v>
      </c>
      <c r="D562" s="58" t="s">
        <v>37</v>
      </c>
      <c r="E562" s="62">
        <v>1.6329999999999997E-2</v>
      </c>
      <c r="F562" s="65">
        <f t="shared" si="254"/>
        <v>-4.1147513719997635</v>
      </c>
      <c r="S562" s="40">
        <f t="shared" si="227"/>
        <v>0</v>
      </c>
      <c r="T562" s="40">
        <f t="shared" si="228"/>
        <v>0</v>
      </c>
      <c r="U562" s="40">
        <f t="shared" si="229"/>
        <v>0</v>
      </c>
      <c r="V562" s="40">
        <f t="shared" si="230"/>
        <v>0</v>
      </c>
      <c r="W562" s="40">
        <f t="shared" si="231"/>
        <v>1</v>
      </c>
      <c r="X562" s="40">
        <f t="shared" si="232"/>
        <v>0</v>
      </c>
      <c r="Y562" s="40">
        <f t="shared" si="233"/>
        <v>0</v>
      </c>
      <c r="Z562" s="40">
        <f t="shared" si="234"/>
        <v>0</v>
      </c>
      <c r="AA562" s="40">
        <f t="shared" si="235"/>
        <v>0</v>
      </c>
      <c r="AB562" s="40">
        <f t="shared" si="236"/>
        <v>0</v>
      </c>
      <c r="AC562" s="40">
        <f t="shared" si="237"/>
        <v>0</v>
      </c>
      <c r="AD562" s="40">
        <f t="shared" si="238"/>
        <v>0</v>
      </c>
      <c r="AE562" s="40">
        <f t="shared" si="239"/>
        <v>0</v>
      </c>
      <c r="AF562" s="40">
        <f t="shared" si="240"/>
        <v>1</v>
      </c>
      <c r="AG562" s="40">
        <f t="shared" si="241"/>
        <v>0</v>
      </c>
      <c r="AH562" s="40">
        <f t="shared" si="242"/>
        <v>0</v>
      </c>
      <c r="AI562" s="40">
        <f t="shared" si="243"/>
        <v>0</v>
      </c>
      <c r="AJ562" s="40">
        <f t="shared" si="244"/>
        <v>1</v>
      </c>
      <c r="AK562" s="40">
        <f t="shared" si="245"/>
        <v>0</v>
      </c>
      <c r="AL562" s="40">
        <f t="shared" si="246"/>
        <v>0</v>
      </c>
      <c r="AM562" s="40">
        <f t="shared" si="247"/>
        <v>0</v>
      </c>
      <c r="AN562" s="40">
        <f t="shared" si="248"/>
        <v>0</v>
      </c>
      <c r="AO562" s="40">
        <f t="shared" si="249"/>
        <v>0</v>
      </c>
      <c r="AP562" s="40">
        <f t="shared" si="250"/>
        <v>0</v>
      </c>
      <c r="AQ562" s="40">
        <f t="shared" si="251"/>
        <v>0</v>
      </c>
      <c r="AR562" s="40">
        <f t="shared" si="252"/>
        <v>0</v>
      </c>
      <c r="AS562" s="40">
        <f t="shared" si="253"/>
        <v>0</v>
      </c>
    </row>
    <row r="563" spans="2:45" ht="14.4" customHeight="1" x14ac:dyDescent="0.25">
      <c r="B563" s="56" t="s">
        <v>44</v>
      </c>
      <c r="C563" s="57" t="s">
        <v>26</v>
      </c>
      <c r="D563" s="58" t="s">
        <v>37</v>
      </c>
      <c r="E563" s="62">
        <v>2.1170000000000005E-2</v>
      </c>
      <c r="F563" s="65">
        <f t="shared" si="254"/>
        <v>-3.8551701938353631</v>
      </c>
      <c r="S563" s="40">
        <f t="shared" si="227"/>
        <v>0</v>
      </c>
      <c r="T563" s="40">
        <f t="shared" si="228"/>
        <v>0</v>
      </c>
      <c r="U563" s="40">
        <f t="shared" si="229"/>
        <v>0</v>
      </c>
      <c r="V563" s="40">
        <f t="shared" si="230"/>
        <v>0</v>
      </c>
      <c r="W563" s="40">
        <f t="shared" si="231"/>
        <v>1</v>
      </c>
      <c r="X563" s="40">
        <f t="shared" si="232"/>
        <v>0</v>
      </c>
      <c r="Y563" s="40">
        <f t="shared" si="233"/>
        <v>0</v>
      </c>
      <c r="Z563" s="40">
        <f t="shared" si="234"/>
        <v>0</v>
      </c>
      <c r="AA563" s="40">
        <f t="shared" si="235"/>
        <v>0</v>
      </c>
      <c r="AB563" s="40">
        <f t="shared" si="236"/>
        <v>0</v>
      </c>
      <c r="AC563" s="40">
        <f t="shared" si="237"/>
        <v>1</v>
      </c>
      <c r="AD563" s="40">
        <f t="shared" si="238"/>
        <v>0</v>
      </c>
      <c r="AE563" s="40">
        <f t="shared" si="239"/>
        <v>0</v>
      </c>
      <c r="AF563" s="40">
        <f t="shared" si="240"/>
        <v>0</v>
      </c>
      <c r="AG563" s="40">
        <f t="shared" si="241"/>
        <v>0</v>
      </c>
      <c r="AH563" s="40">
        <f t="shared" si="242"/>
        <v>0</v>
      </c>
      <c r="AI563" s="40">
        <f t="shared" si="243"/>
        <v>1</v>
      </c>
      <c r="AJ563" s="40">
        <f t="shared" si="244"/>
        <v>0</v>
      </c>
      <c r="AK563" s="40">
        <f t="shared" si="245"/>
        <v>0</v>
      </c>
      <c r="AL563" s="40">
        <f t="shared" si="246"/>
        <v>0</v>
      </c>
      <c r="AM563" s="40">
        <f t="shared" si="247"/>
        <v>0</v>
      </c>
      <c r="AN563" s="40">
        <f t="shared" si="248"/>
        <v>0</v>
      </c>
      <c r="AO563" s="40">
        <f t="shared" si="249"/>
        <v>0</v>
      </c>
      <c r="AP563" s="40">
        <f t="shared" si="250"/>
        <v>0</v>
      </c>
      <c r="AQ563" s="40">
        <f t="shared" si="251"/>
        <v>0</v>
      </c>
      <c r="AR563" s="40">
        <f t="shared" si="252"/>
        <v>0</v>
      </c>
      <c r="AS563" s="40">
        <f t="shared" si="253"/>
        <v>0</v>
      </c>
    </row>
    <row r="564" spans="2:45" ht="14.4" customHeight="1" x14ac:dyDescent="0.25">
      <c r="B564" s="56" t="s">
        <v>44</v>
      </c>
      <c r="C564" s="57" t="s">
        <v>23</v>
      </c>
      <c r="D564" s="58" t="s">
        <v>28</v>
      </c>
      <c r="E564" s="62">
        <v>1.3719999999999994E-2</v>
      </c>
      <c r="F564" s="65">
        <f t="shared" si="254"/>
        <v>-4.2889006566843983</v>
      </c>
      <c r="S564" s="40">
        <f t="shared" si="227"/>
        <v>0</v>
      </c>
      <c r="T564" s="40">
        <f t="shared" si="228"/>
        <v>0</v>
      </c>
      <c r="U564" s="40">
        <f t="shared" si="229"/>
        <v>0</v>
      </c>
      <c r="V564" s="40">
        <f t="shared" si="230"/>
        <v>0</v>
      </c>
      <c r="W564" s="40">
        <f t="shared" si="231"/>
        <v>1</v>
      </c>
      <c r="X564" s="40">
        <f t="shared" si="232"/>
        <v>0</v>
      </c>
      <c r="Y564" s="40">
        <f t="shared" si="233"/>
        <v>0</v>
      </c>
      <c r="Z564" s="40">
        <f t="shared" si="234"/>
        <v>0</v>
      </c>
      <c r="AA564" s="40">
        <f t="shared" si="235"/>
        <v>0</v>
      </c>
      <c r="AB564" s="40">
        <f t="shared" si="236"/>
        <v>0</v>
      </c>
      <c r="AC564" s="40">
        <f t="shared" si="237"/>
        <v>0</v>
      </c>
      <c r="AD564" s="40">
        <f t="shared" si="238"/>
        <v>0</v>
      </c>
      <c r="AE564" s="40">
        <f t="shared" si="239"/>
        <v>0</v>
      </c>
      <c r="AF564" s="40">
        <f t="shared" si="240"/>
        <v>1</v>
      </c>
      <c r="AG564" s="40">
        <f t="shared" si="241"/>
        <v>0</v>
      </c>
      <c r="AH564" s="40">
        <f t="shared" si="242"/>
        <v>0</v>
      </c>
      <c r="AI564" s="40">
        <f t="shared" si="243"/>
        <v>0</v>
      </c>
      <c r="AJ564" s="40">
        <f t="shared" si="244"/>
        <v>0</v>
      </c>
      <c r="AK564" s="40">
        <f t="shared" si="245"/>
        <v>0</v>
      </c>
      <c r="AL564" s="40">
        <f t="shared" si="246"/>
        <v>1</v>
      </c>
      <c r="AM564" s="40">
        <f t="shared" si="247"/>
        <v>0</v>
      </c>
      <c r="AN564" s="40">
        <f t="shared" si="248"/>
        <v>0</v>
      </c>
      <c r="AO564" s="40">
        <f t="shared" si="249"/>
        <v>0</v>
      </c>
      <c r="AP564" s="40">
        <f t="shared" si="250"/>
        <v>0</v>
      </c>
      <c r="AQ564" s="40">
        <f t="shared" si="251"/>
        <v>0</v>
      </c>
      <c r="AR564" s="40">
        <f t="shared" si="252"/>
        <v>0</v>
      </c>
      <c r="AS564" s="40">
        <f t="shared" si="253"/>
        <v>0</v>
      </c>
    </row>
    <row r="565" spans="2:45" ht="14.4" customHeight="1" x14ac:dyDescent="0.25">
      <c r="B565" s="56" t="s">
        <v>44</v>
      </c>
      <c r="C565" s="57" t="s">
        <v>26</v>
      </c>
      <c r="D565" s="58" t="s">
        <v>24</v>
      </c>
      <c r="E565" s="62">
        <v>1.8900000000000004E-2</v>
      </c>
      <c r="F565" s="65">
        <f t="shared" si="254"/>
        <v>-3.9685933569165401</v>
      </c>
      <c r="S565" s="40">
        <f t="shared" si="227"/>
        <v>0</v>
      </c>
      <c r="T565" s="40">
        <f t="shared" si="228"/>
        <v>0</v>
      </c>
      <c r="U565" s="40">
        <f t="shared" si="229"/>
        <v>0</v>
      </c>
      <c r="V565" s="40">
        <f t="shared" si="230"/>
        <v>0</v>
      </c>
      <c r="W565" s="40">
        <f t="shared" si="231"/>
        <v>1</v>
      </c>
      <c r="X565" s="40">
        <f t="shared" si="232"/>
        <v>0</v>
      </c>
      <c r="Y565" s="40">
        <f t="shared" si="233"/>
        <v>0</v>
      </c>
      <c r="Z565" s="40">
        <f t="shared" si="234"/>
        <v>0</v>
      </c>
      <c r="AA565" s="40">
        <f t="shared" si="235"/>
        <v>0</v>
      </c>
      <c r="AB565" s="40">
        <f t="shared" si="236"/>
        <v>0</v>
      </c>
      <c r="AC565" s="40">
        <f t="shared" si="237"/>
        <v>0</v>
      </c>
      <c r="AD565" s="40">
        <f t="shared" si="238"/>
        <v>0</v>
      </c>
      <c r="AE565" s="40">
        <f t="shared" si="239"/>
        <v>0</v>
      </c>
      <c r="AF565" s="40">
        <f t="shared" si="240"/>
        <v>1</v>
      </c>
      <c r="AG565" s="40">
        <f t="shared" si="241"/>
        <v>0</v>
      </c>
      <c r="AH565" s="40">
        <f t="shared" si="242"/>
        <v>0</v>
      </c>
      <c r="AI565" s="40">
        <f t="shared" si="243"/>
        <v>0</v>
      </c>
      <c r="AJ565" s="40">
        <f t="shared" si="244"/>
        <v>0</v>
      </c>
      <c r="AK565" s="40">
        <f t="shared" si="245"/>
        <v>0</v>
      </c>
      <c r="AL565" s="40">
        <f t="shared" si="246"/>
        <v>0</v>
      </c>
      <c r="AM565" s="40">
        <f t="shared" si="247"/>
        <v>0</v>
      </c>
      <c r="AN565" s="40">
        <f t="shared" si="248"/>
        <v>0</v>
      </c>
      <c r="AO565" s="40">
        <f t="shared" si="249"/>
        <v>0</v>
      </c>
      <c r="AP565" s="40">
        <f t="shared" si="250"/>
        <v>0</v>
      </c>
      <c r="AQ565" s="40">
        <f t="shared" si="251"/>
        <v>0</v>
      </c>
      <c r="AR565" s="40">
        <f t="shared" si="252"/>
        <v>1</v>
      </c>
      <c r="AS565" s="40">
        <f t="shared" si="253"/>
        <v>0</v>
      </c>
    </row>
    <row r="566" spans="2:45" ht="14.4" customHeight="1" x14ac:dyDescent="0.25">
      <c r="B566" s="56" t="s">
        <v>44</v>
      </c>
      <c r="C566" s="57" t="s">
        <v>26</v>
      </c>
      <c r="D566" s="58" t="s">
        <v>33</v>
      </c>
      <c r="E566" s="62">
        <v>1.2810000000000005E-2</v>
      </c>
      <c r="F566" s="65">
        <f t="shared" si="254"/>
        <v>-4.3575291630734938</v>
      </c>
      <c r="S566" s="40">
        <f t="shared" si="227"/>
        <v>0</v>
      </c>
      <c r="T566" s="40">
        <f t="shared" si="228"/>
        <v>0</v>
      </c>
      <c r="U566" s="40">
        <f t="shared" si="229"/>
        <v>0</v>
      </c>
      <c r="V566" s="40">
        <f t="shared" si="230"/>
        <v>0</v>
      </c>
      <c r="W566" s="40">
        <f t="shared" si="231"/>
        <v>1</v>
      </c>
      <c r="X566" s="40">
        <f t="shared" si="232"/>
        <v>0</v>
      </c>
      <c r="Y566" s="40">
        <f t="shared" si="233"/>
        <v>0</v>
      </c>
      <c r="Z566" s="40">
        <f t="shared" si="234"/>
        <v>0</v>
      </c>
      <c r="AA566" s="40">
        <f t="shared" si="235"/>
        <v>0</v>
      </c>
      <c r="AB566" s="40">
        <f t="shared" si="236"/>
        <v>0</v>
      </c>
      <c r="AC566" s="40">
        <f t="shared" si="237"/>
        <v>0</v>
      </c>
      <c r="AD566" s="40">
        <f t="shared" si="238"/>
        <v>0</v>
      </c>
      <c r="AE566" s="40">
        <f t="shared" si="239"/>
        <v>0</v>
      </c>
      <c r="AF566" s="40">
        <f t="shared" si="240"/>
        <v>1</v>
      </c>
      <c r="AG566" s="40">
        <f t="shared" si="241"/>
        <v>0</v>
      </c>
      <c r="AH566" s="40">
        <f t="shared" si="242"/>
        <v>0</v>
      </c>
      <c r="AI566" s="40">
        <f t="shared" si="243"/>
        <v>0</v>
      </c>
      <c r="AJ566" s="40">
        <f t="shared" si="244"/>
        <v>0</v>
      </c>
      <c r="AK566" s="40">
        <f t="shared" si="245"/>
        <v>1</v>
      </c>
      <c r="AL566" s="40">
        <f t="shared" si="246"/>
        <v>0</v>
      </c>
      <c r="AM566" s="40">
        <f t="shared" si="247"/>
        <v>0</v>
      </c>
      <c r="AN566" s="40">
        <f t="shared" si="248"/>
        <v>0</v>
      </c>
      <c r="AO566" s="40">
        <f t="shared" si="249"/>
        <v>0</v>
      </c>
      <c r="AP566" s="40">
        <f t="shared" si="250"/>
        <v>0</v>
      </c>
      <c r="AQ566" s="40">
        <f t="shared" si="251"/>
        <v>0</v>
      </c>
      <c r="AR566" s="40">
        <f t="shared" si="252"/>
        <v>0</v>
      </c>
      <c r="AS566" s="40">
        <f t="shared" si="253"/>
        <v>0</v>
      </c>
    </row>
    <row r="567" spans="2:45" ht="14.4" customHeight="1" x14ac:dyDescent="0.25">
      <c r="B567" s="56" t="s">
        <v>44</v>
      </c>
      <c r="C567" s="57" t="s">
        <v>26</v>
      </c>
      <c r="D567" s="58" t="s">
        <v>32</v>
      </c>
      <c r="E567" s="62">
        <v>9.1200000000000031E-3</v>
      </c>
      <c r="F567" s="65">
        <f t="shared" si="254"/>
        <v>-4.6972854748958968</v>
      </c>
      <c r="S567" s="40">
        <f t="shared" si="227"/>
        <v>0</v>
      </c>
      <c r="T567" s="40">
        <f t="shared" si="228"/>
        <v>0</v>
      </c>
      <c r="U567" s="40">
        <f t="shared" si="229"/>
        <v>0</v>
      </c>
      <c r="V567" s="40">
        <f t="shared" si="230"/>
        <v>0</v>
      </c>
      <c r="W567" s="40">
        <f t="shared" si="231"/>
        <v>1</v>
      </c>
      <c r="X567" s="40">
        <f t="shared" si="232"/>
        <v>0</v>
      </c>
      <c r="Y567" s="40">
        <f t="shared" si="233"/>
        <v>0</v>
      </c>
      <c r="Z567" s="40">
        <f t="shared" si="234"/>
        <v>0</v>
      </c>
      <c r="AA567" s="40">
        <f t="shared" si="235"/>
        <v>0</v>
      </c>
      <c r="AB567" s="40">
        <f t="shared" si="236"/>
        <v>0</v>
      </c>
      <c r="AC567" s="40">
        <f t="shared" si="237"/>
        <v>0</v>
      </c>
      <c r="AD567" s="40">
        <f t="shared" si="238"/>
        <v>0</v>
      </c>
      <c r="AE567" s="40">
        <f t="shared" si="239"/>
        <v>0</v>
      </c>
      <c r="AF567" s="40">
        <f t="shared" si="240"/>
        <v>1</v>
      </c>
      <c r="AG567" s="40">
        <f t="shared" si="241"/>
        <v>0</v>
      </c>
      <c r="AH567" s="40">
        <f t="shared" si="242"/>
        <v>0</v>
      </c>
      <c r="AI567" s="40">
        <f t="shared" si="243"/>
        <v>0</v>
      </c>
      <c r="AJ567" s="40">
        <f t="shared" si="244"/>
        <v>1</v>
      </c>
      <c r="AK567" s="40">
        <f t="shared" si="245"/>
        <v>0</v>
      </c>
      <c r="AL567" s="40">
        <f t="shared" si="246"/>
        <v>0</v>
      </c>
      <c r="AM567" s="40">
        <f t="shared" si="247"/>
        <v>0</v>
      </c>
      <c r="AN567" s="40">
        <f t="shared" si="248"/>
        <v>0</v>
      </c>
      <c r="AO567" s="40">
        <f t="shared" si="249"/>
        <v>0</v>
      </c>
      <c r="AP567" s="40">
        <f t="shared" si="250"/>
        <v>0</v>
      </c>
      <c r="AQ567" s="40">
        <f t="shared" si="251"/>
        <v>0</v>
      </c>
      <c r="AR567" s="40">
        <f t="shared" si="252"/>
        <v>0</v>
      </c>
      <c r="AS567" s="40">
        <f t="shared" si="253"/>
        <v>0</v>
      </c>
    </row>
    <row r="568" spans="2:45" ht="14.4" customHeight="1" x14ac:dyDescent="0.25">
      <c r="B568" s="56" t="s">
        <v>44</v>
      </c>
      <c r="C568" s="57" t="s">
        <v>26</v>
      </c>
      <c r="D568" s="58" t="s">
        <v>37</v>
      </c>
      <c r="E568" s="62">
        <v>1.5539999999999997E-2</v>
      </c>
      <c r="F568" s="65">
        <f t="shared" si="254"/>
        <v>-4.1643379340426359</v>
      </c>
      <c r="S568" s="40">
        <f t="shared" si="227"/>
        <v>0</v>
      </c>
      <c r="T568" s="40">
        <f t="shared" si="228"/>
        <v>0</v>
      </c>
      <c r="U568" s="40">
        <f t="shared" si="229"/>
        <v>0</v>
      </c>
      <c r="V568" s="40">
        <f t="shared" si="230"/>
        <v>0</v>
      </c>
      <c r="W568" s="40">
        <f t="shared" si="231"/>
        <v>1</v>
      </c>
      <c r="X568" s="40">
        <f t="shared" si="232"/>
        <v>0</v>
      </c>
      <c r="Y568" s="40">
        <f t="shared" si="233"/>
        <v>0</v>
      </c>
      <c r="Z568" s="40">
        <f t="shared" si="234"/>
        <v>0</v>
      </c>
      <c r="AA568" s="40">
        <f t="shared" si="235"/>
        <v>0</v>
      </c>
      <c r="AB568" s="40">
        <f t="shared" si="236"/>
        <v>1</v>
      </c>
      <c r="AC568" s="40">
        <f t="shared" si="237"/>
        <v>0</v>
      </c>
      <c r="AD568" s="40">
        <f t="shared" si="238"/>
        <v>0</v>
      </c>
      <c r="AE568" s="40">
        <f t="shared" si="239"/>
        <v>0</v>
      </c>
      <c r="AF568" s="40">
        <f t="shared" si="240"/>
        <v>0</v>
      </c>
      <c r="AG568" s="40">
        <f t="shared" si="241"/>
        <v>0</v>
      </c>
      <c r="AH568" s="40">
        <f t="shared" si="242"/>
        <v>0</v>
      </c>
      <c r="AI568" s="40">
        <f t="shared" si="243"/>
        <v>0</v>
      </c>
      <c r="AJ568" s="40">
        <f t="shared" si="244"/>
        <v>1</v>
      </c>
      <c r="AK568" s="40">
        <f t="shared" si="245"/>
        <v>0</v>
      </c>
      <c r="AL568" s="40">
        <f t="shared" si="246"/>
        <v>0</v>
      </c>
      <c r="AM568" s="40">
        <f t="shared" si="247"/>
        <v>0</v>
      </c>
      <c r="AN568" s="40">
        <f t="shared" si="248"/>
        <v>0</v>
      </c>
      <c r="AO568" s="40">
        <f t="shared" si="249"/>
        <v>0</v>
      </c>
      <c r="AP568" s="40">
        <f t="shared" si="250"/>
        <v>0</v>
      </c>
      <c r="AQ568" s="40">
        <f t="shared" si="251"/>
        <v>0</v>
      </c>
      <c r="AR568" s="40">
        <f t="shared" si="252"/>
        <v>0</v>
      </c>
      <c r="AS568" s="40">
        <f t="shared" si="253"/>
        <v>0</v>
      </c>
    </row>
    <row r="569" spans="2:45" ht="14.4" customHeight="1" x14ac:dyDescent="0.25">
      <c r="B569" s="56" t="s">
        <v>44</v>
      </c>
      <c r="C569" s="57" t="s">
        <v>25</v>
      </c>
      <c r="D569" s="58" t="s">
        <v>37</v>
      </c>
      <c r="E569" s="62">
        <v>1.0979999999999997E-2</v>
      </c>
      <c r="F569" s="65">
        <f t="shared" si="254"/>
        <v>-4.5116798429007527</v>
      </c>
      <c r="S569" s="40">
        <f t="shared" si="227"/>
        <v>0</v>
      </c>
      <c r="T569" s="40">
        <f t="shared" si="228"/>
        <v>0</v>
      </c>
      <c r="U569" s="40">
        <f t="shared" si="229"/>
        <v>0</v>
      </c>
      <c r="V569" s="40">
        <f t="shared" si="230"/>
        <v>0</v>
      </c>
      <c r="W569" s="40">
        <f t="shared" si="231"/>
        <v>1</v>
      </c>
      <c r="X569" s="40">
        <f t="shared" si="232"/>
        <v>0</v>
      </c>
      <c r="Y569" s="40">
        <f t="shared" si="233"/>
        <v>0</v>
      </c>
      <c r="Z569" s="40">
        <f t="shared" si="234"/>
        <v>0</v>
      </c>
      <c r="AA569" s="40">
        <f t="shared" si="235"/>
        <v>0</v>
      </c>
      <c r="AB569" s="40">
        <f t="shared" si="236"/>
        <v>0</v>
      </c>
      <c r="AC569" s="40">
        <f t="shared" si="237"/>
        <v>0</v>
      </c>
      <c r="AD569" s="40">
        <f t="shared" si="238"/>
        <v>0</v>
      </c>
      <c r="AE569" s="40">
        <f t="shared" si="239"/>
        <v>0</v>
      </c>
      <c r="AF569" s="40">
        <f t="shared" si="240"/>
        <v>1</v>
      </c>
      <c r="AG569" s="40">
        <f t="shared" si="241"/>
        <v>0</v>
      </c>
      <c r="AH569" s="40">
        <f t="shared" si="242"/>
        <v>0</v>
      </c>
      <c r="AI569" s="40">
        <f t="shared" si="243"/>
        <v>0</v>
      </c>
      <c r="AJ569" s="40">
        <f t="shared" si="244"/>
        <v>1</v>
      </c>
      <c r="AK569" s="40">
        <f t="shared" si="245"/>
        <v>0</v>
      </c>
      <c r="AL569" s="40">
        <f t="shared" si="246"/>
        <v>0</v>
      </c>
      <c r="AM569" s="40">
        <f t="shared" si="247"/>
        <v>0</v>
      </c>
      <c r="AN569" s="40">
        <f t="shared" si="248"/>
        <v>0</v>
      </c>
      <c r="AO569" s="40">
        <f t="shared" si="249"/>
        <v>0</v>
      </c>
      <c r="AP569" s="40">
        <f t="shared" si="250"/>
        <v>0</v>
      </c>
      <c r="AQ569" s="40">
        <f t="shared" si="251"/>
        <v>0</v>
      </c>
      <c r="AR569" s="40">
        <f t="shared" si="252"/>
        <v>0</v>
      </c>
      <c r="AS569" s="40">
        <f t="shared" si="253"/>
        <v>0</v>
      </c>
    </row>
    <row r="570" spans="2:45" ht="14.4" customHeight="1" x14ac:dyDescent="0.25">
      <c r="B570" s="56" t="s">
        <v>44</v>
      </c>
      <c r="C570" s="57" t="s">
        <v>26</v>
      </c>
      <c r="D570" s="58" t="s">
        <v>37</v>
      </c>
      <c r="E570" s="62">
        <v>6.8899999999999994E-3</v>
      </c>
      <c r="F570" s="65">
        <f t="shared" si="254"/>
        <v>-4.9776841939565699</v>
      </c>
      <c r="S570" s="40">
        <f t="shared" si="227"/>
        <v>0</v>
      </c>
      <c r="T570" s="40">
        <f t="shared" si="228"/>
        <v>0</v>
      </c>
      <c r="U570" s="40">
        <f t="shared" si="229"/>
        <v>0</v>
      </c>
      <c r="V570" s="40">
        <f t="shared" si="230"/>
        <v>0</v>
      </c>
      <c r="W570" s="40">
        <f t="shared" si="231"/>
        <v>1</v>
      </c>
      <c r="X570" s="40">
        <f t="shared" si="232"/>
        <v>0</v>
      </c>
      <c r="Y570" s="40">
        <f t="shared" si="233"/>
        <v>0</v>
      </c>
      <c r="Z570" s="40">
        <f t="shared" si="234"/>
        <v>0</v>
      </c>
      <c r="AA570" s="40">
        <f t="shared" si="235"/>
        <v>0</v>
      </c>
      <c r="AB570" s="40">
        <f t="shared" si="236"/>
        <v>0</v>
      </c>
      <c r="AC570" s="40">
        <f t="shared" si="237"/>
        <v>0</v>
      </c>
      <c r="AD570" s="40">
        <f t="shared" si="238"/>
        <v>0</v>
      </c>
      <c r="AE570" s="40">
        <f t="shared" si="239"/>
        <v>0</v>
      </c>
      <c r="AF570" s="40">
        <f t="shared" si="240"/>
        <v>1</v>
      </c>
      <c r="AG570" s="40">
        <f t="shared" si="241"/>
        <v>0</v>
      </c>
      <c r="AH570" s="40">
        <f t="shared" si="242"/>
        <v>0</v>
      </c>
      <c r="AI570" s="40">
        <f t="shared" si="243"/>
        <v>0</v>
      </c>
      <c r="AJ570" s="40">
        <f t="shared" si="244"/>
        <v>1</v>
      </c>
      <c r="AK570" s="40">
        <f t="shared" si="245"/>
        <v>0</v>
      </c>
      <c r="AL570" s="40">
        <f t="shared" si="246"/>
        <v>0</v>
      </c>
      <c r="AM570" s="40">
        <f t="shared" si="247"/>
        <v>0</v>
      </c>
      <c r="AN570" s="40">
        <f t="shared" si="248"/>
        <v>0</v>
      </c>
      <c r="AO570" s="40">
        <f t="shared" si="249"/>
        <v>0</v>
      </c>
      <c r="AP570" s="40">
        <f t="shared" si="250"/>
        <v>0</v>
      </c>
      <c r="AQ570" s="40">
        <f t="shared" si="251"/>
        <v>0</v>
      </c>
      <c r="AR570" s="40">
        <f t="shared" si="252"/>
        <v>0</v>
      </c>
      <c r="AS570" s="40">
        <f t="shared" si="253"/>
        <v>0</v>
      </c>
    </row>
    <row r="571" spans="2:45" ht="14.4" customHeight="1" x14ac:dyDescent="0.25">
      <c r="B571" s="56" t="s">
        <v>44</v>
      </c>
      <c r="C571" s="57" t="s">
        <v>26</v>
      </c>
      <c r="D571" s="58" t="s">
        <v>37</v>
      </c>
      <c r="E571" s="62">
        <v>8.5900000000000021E-3</v>
      </c>
      <c r="F571" s="65">
        <f t="shared" si="254"/>
        <v>-4.7571565429859728</v>
      </c>
      <c r="S571" s="40">
        <f t="shared" si="227"/>
        <v>0</v>
      </c>
      <c r="T571" s="40">
        <f t="shared" si="228"/>
        <v>0</v>
      </c>
      <c r="U571" s="40">
        <f t="shared" si="229"/>
        <v>0</v>
      </c>
      <c r="V571" s="40">
        <f t="shared" si="230"/>
        <v>0</v>
      </c>
      <c r="W571" s="40">
        <f t="shared" si="231"/>
        <v>1</v>
      </c>
      <c r="X571" s="40">
        <f t="shared" si="232"/>
        <v>0</v>
      </c>
      <c r="Y571" s="40">
        <f t="shared" si="233"/>
        <v>0</v>
      </c>
      <c r="Z571" s="40">
        <f t="shared" si="234"/>
        <v>0</v>
      </c>
      <c r="AA571" s="40">
        <f t="shared" si="235"/>
        <v>0</v>
      </c>
      <c r="AB571" s="40">
        <f t="shared" si="236"/>
        <v>0</v>
      </c>
      <c r="AC571" s="40">
        <f t="shared" si="237"/>
        <v>0</v>
      </c>
      <c r="AD571" s="40">
        <f t="shared" si="238"/>
        <v>0</v>
      </c>
      <c r="AE571" s="40">
        <f t="shared" si="239"/>
        <v>0</v>
      </c>
      <c r="AF571" s="40">
        <f t="shared" si="240"/>
        <v>1</v>
      </c>
      <c r="AG571" s="40">
        <f t="shared" si="241"/>
        <v>0</v>
      </c>
      <c r="AH571" s="40">
        <f t="shared" si="242"/>
        <v>0</v>
      </c>
      <c r="AI571" s="40">
        <f t="shared" si="243"/>
        <v>1</v>
      </c>
      <c r="AJ571" s="40">
        <f t="shared" si="244"/>
        <v>0</v>
      </c>
      <c r="AK571" s="40">
        <f t="shared" si="245"/>
        <v>0</v>
      </c>
      <c r="AL571" s="40">
        <f t="shared" si="246"/>
        <v>0</v>
      </c>
      <c r="AM571" s="40">
        <f t="shared" si="247"/>
        <v>0</v>
      </c>
      <c r="AN571" s="40">
        <f t="shared" si="248"/>
        <v>0</v>
      </c>
      <c r="AO571" s="40">
        <f t="shared" si="249"/>
        <v>0</v>
      </c>
      <c r="AP571" s="40">
        <f t="shared" si="250"/>
        <v>0</v>
      </c>
      <c r="AQ571" s="40">
        <f t="shared" si="251"/>
        <v>0</v>
      </c>
      <c r="AR571" s="40">
        <f t="shared" si="252"/>
        <v>0</v>
      </c>
      <c r="AS571" s="40">
        <f t="shared" si="253"/>
        <v>0</v>
      </c>
    </row>
    <row r="572" spans="2:45" ht="14.4" customHeight="1" x14ac:dyDescent="0.25">
      <c r="B572" s="56" t="s">
        <v>44</v>
      </c>
      <c r="C572" s="57" t="s">
        <v>26</v>
      </c>
      <c r="D572" s="58" t="s">
        <v>28</v>
      </c>
      <c r="E572" s="62">
        <v>9.9599999999999966E-3</v>
      </c>
      <c r="F572" s="65">
        <f t="shared" si="254"/>
        <v>-4.6091782073856304</v>
      </c>
      <c r="S572" s="40">
        <f t="shared" si="227"/>
        <v>0</v>
      </c>
      <c r="T572" s="40">
        <f t="shared" si="228"/>
        <v>0</v>
      </c>
      <c r="U572" s="40">
        <f t="shared" si="229"/>
        <v>0</v>
      </c>
      <c r="V572" s="40">
        <f t="shared" si="230"/>
        <v>0</v>
      </c>
      <c r="W572" s="40">
        <f t="shared" si="231"/>
        <v>1</v>
      </c>
      <c r="X572" s="40">
        <f t="shared" si="232"/>
        <v>0</v>
      </c>
      <c r="Y572" s="40">
        <f t="shared" si="233"/>
        <v>0</v>
      </c>
      <c r="Z572" s="40">
        <f t="shared" si="234"/>
        <v>0</v>
      </c>
      <c r="AA572" s="40">
        <f t="shared" si="235"/>
        <v>0</v>
      </c>
      <c r="AB572" s="40">
        <f t="shared" si="236"/>
        <v>0</v>
      </c>
      <c r="AC572" s="40">
        <f t="shared" si="237"/>
        <v>1</v>
      </c>
      <c r="AD572" s="40">
        <f t="shared" si="238"/>
        <v>0</v>
      </c>
      <c r="AE572" s="40">
        <f t="shared" si="239"/>
        <v>0</v>
      </c>
      <c r="AF572" s="40">
        <f t="shared" si="240"/>
        <v>0</v>
      </c>
      <c r="AG572" s="40">
        <f t="shared" si="241"/>
        <v>0</v>
      </c>
      <c r="AH572" s="40">
        <f t="shared" si="242"/>
        <v>0</v>
      </c>
      <c r="AI572" s="40">
        <f t="shared" si="243"/>
        <v>0</v>
      </c>
      <c r="AJ572" s="40">
        <f t="shared" si="244"/>
        <v>0</v>
      </c>
      <c r="AK572" s="40">
        <f t="shared" si="245"/>
        <v>0</v>
      </c>
      <c r="AL572" s="40">
        <f t="shared" si="246"/>
        <v>0</v>
      </c>
      <c r="AM572" s="40">
        <f t="shared" si="247"/>
        <v>0</v>
      </c>
      <c r="AN572" s="40">
        <f t="shared" si="248"/>
        <v>0</v>
      </c>
      <c r="AO572" s="40">
        <f t="shared" si="249"/>
        <v>1</v>
      </c>
      <c r="AP572" s="40">
        <f t="shared" si="250"/>
        <v>0</v>
      </c>
      <c r="AQ572" s="40">
        <f t="shared" si="251"/>
        <v>0</v>
      </c>
      <c r="AR572" s="40">
        <f t="shared" si="252"/>
        <v>0</v>
      </c>
      <c r="AS572" s="40">
        <f t="shared" si="253"/>
        <v>0</v>
      </c>
    </row>
    <row r="573" spans="2:45" ht="14.4" customHeight="1" x14ac:dyDescent="0.25">
      <c r="B573" s="56" t="s">
        <v>44</v>
      </c>
      <c r="C573" s="57" t="s">
        <v>23</v>
      </c>
      <c r="D573" s="58" t="s">
        <v>31</v>
      </c>
      <c r="E573" s="62">
        <v>8.2499999999999969E-3</v>
      </c>
      <c r="F573" s="65">
        <f t="shared" si="254"/>
        <v>-4.7975420786355478</v>
      </c>
      <c r="S573" s="40">
        <f t="shared" si="227"/>
        <v>0</v>
      </c>
      <c r="T573" s="40">
        <f t="shared" si="228"/>
        <v>0</v>
      </c>
      <c r="U573" s="40">
        <f t="shared" si="229"/>
        <v>0</v>
      </c>
      <c r="V573" s="40">
        <f t="shared" si="230"/>
        <v>0</v>
      </c>
      <c r="W573" s="40">
        <f t="shared" si="231"/>
        <v>1</v>
      </c>
      <c r="X573" s="40">
        <f t="shared" si="232"/>
        <v>0</v>
      </c>
      <c r="Y573" s="40">
        <f t="shared" si="233"/>
        <v>0</v>
      </c>
      <c r="Z573" s="40">
        <f t="shared" si="234"/>
        <v>0</v>
      </c>
      <c r="AA573" s="40">
        <f t="shared" si="235"/>
        <v>0</v>
      </c>
      <c r="AB573" s="40">
        <f t="shared" si="236"/>
        <v>0</v>
      </c>
      <c r="AC573" s="40">
        <f t="shared" si="237"/>
        <v>0</v>
      </c>
      <c r="AD573" s="40">
        <f t="shared" si="238"/>
        <v>0</v>
      </c>
      <c r="AE573" s="40">
        <f t="shared" si="239"/>
        <v>0</v>
      </c>
      <c r="AF573" s="40">
        <f t="shared" si="240"/>
        <v>1</v>
      </c>
      <c r="AG573" s="40">
        <f t="shared" si="241"/>
        <v>0</v>
      </c>
      <c r="AH573" s="40">
        <f t="shared" si="242"/>
        <v>0</v>
      </c>
      <c r="AI573" s="40">
        <f t="shared" si="243"/>
        <v>0</v>
      </c>
      <c r="AJ573" s="40">
        <f t="shared" si="244"/>
        <v>0</v>
      </c>
      <c r="AK573" s="40">
        <f t="shared" si="245"/>
        <v>0</v>
      </c>
      <c r="AL573" s="40">
        <f t="shared" si="246"/>
        <v>0</v>
      </c>
      <c r="AM573" s="40">
        <f t="shared" si="247"/>
        <v>0</v>
      </c>
      <c r="AN573" s="40">
        <f t="shared" si="248"/>
        <v>0</v>
      </c>
      <c r="AO573" s="40">
        <f t="shared" si="249"/>
        <v>0</v>
      </c>
      <c r="AP573" s="40">
        <f t="shared" si="250"/>
        <v>0</v>
      </c>
      <c r="AQ573" s="40">
        <f t="shared" si="251"/>
        <v>0</v>
      </c>
      <c r="AR573" s="40">
        <f t="shared" si="252"/>
        <v>0</v>
      </c>
      <c r="AS573" s="40">
        <f t="shared" si="253"/>
        <v>1</v>
      </c>
    </row>
    <row r="574" spans="2:45" ht="14.4" customHeight="1" x14ac:dyDescent="0.25">
      <c r="B574" s="56" t="s">
        <v>44</v>
      </c>
      <c r="C574" s="57" t="s">
        <v>26</v>
      </c>
      <c r="D574" s="58" t="s">
        <v>22</v>
      </c>
      <c r="E574" s="62">
        <v>2.9450000000000007E-2</v>
      </c>
      <c r="F574" s="65">
        <f t="shared" si="254"/>
        <v>-3.5250613688845411</v>
      </c>
      <c r="S574" s="40">
        <f t="shared" si="227"/>
        <v>0</v>
      </c>
      <c r="T574" s="40">
        <f t="shared" si="228"/>
        <v>0</v>
      </c>
      <c r="U574" s="40">
        <f t="shared" si="229"/>
        <v>0</v>
      </c>
      <c r="V574" s="40">
        <f t="shared" si="230"/>
        <v>0</v>
      </c>
      <c r="W574" s="40">
        <f t="shared" si="231"/>
        <v>1</v>
      </c>
      <c r="X574" s="40">
        <f t="shared" si="232"/>
        <v>0</v>
      </c>
      <c r="Y574" s="40">
        <f t="shared" si="233"/>
        <v>0</v>
      </c>
      <c r="Z574" s="40">
        <f t="shared" si="234"/>
        <v>0</v>
      </c>
      <c r="AA574" s="40">
        <f t="shared" si="235"/>
        <v>0</v>
      </c>
      <c r="AB574" s="40">
        <f t="shared" si="236"/>
        <v>0</v>
      </c>
      <c r="AC574" s="40">
        <f t="shared" si="237"/>
        <v>0</v>
      </c>
      <c r="AD574" s="40">
        <f t="shared" si="238"/>
        <v>0</v>
      </c>
      <c r="AE574" s="40">
        <f t="shared" si="239"/>
        <v>0</v>
      </c>
      <c r="AF574" s="40">
        <f t="shared" si="240"/>
        <v>1</v>
      </c>
      <c r="AG574" s="40">
        <f t="shared" si="241"/>
        <v>0</v>
      </c>
      <c r="AH574" s="40">
        <f t="shared" si="242"/>
        <v>0</v>
      </c>
      <c r="AI574" s="40">
        <f t="shared" si="243"/>
        <v>0</v>
      </c>
      <c r="AJ574" s="40">
        <f t="shared" si="244"/>
        <v>0</v>
      </c>
      <c r="AK574" s="40">
        <f t="shared" si="245"/>
        <v>0</v>
      </c>
      <c r="AL574" s="40">
        <f t="shared" si="246"/>
        <v>0</v>
      </c>
      <c r="AM574" s="40">
        <f t="shared" si="247"/>
        <v>0</v>
      </c>
      <c r="AN574" s="40">
        <f t="shared" si="248"/>
        <v>0</v>
      </c>
      <c r="AO574" s="40">
        <f t="shared" si="249"/>
        <v>1</v>
      </c>
      <c r="AP574" s="40">
        <f t="shared" si="250"/>
        <v>0</v>
      </c>
      <c r="AQ574" s="40">
        <f t="shared" si="251"/>
        <v>0</v>
      </c>
      <c r="AR574" s="40">
        <f t="shared" si="252"/>
        <v>0</v>
      </c>
      <c r="AS574" s="40">
        <f t="shared" si="253"/>
        <v>0</v>
      </c>
    </row>
    <row r="575" spans="2:45" ht="14.4" customHeight="1" x14ac:dyDescent="0.25">
      <c r="B575" s="56" t="s">
        <v>44</v>
      </c>
      <c r="C575" s="57" t="s">
        <v>26</v>
      </c>
      <c r="D575" s="58" t="s">
        <v>31</v>
      </c>
      <c r="E575" s="62">
        <v>1.0200000000000006E-2</v>
      </c>
      <c r="F575" s="65">
        <f t="shared" si="254"/>
        <v>-4.5853675586919111</v>
      </c>
      <c r="S575" s="40">
        <f t="shared" si="227"/>
        <v>0</v>
      </c>
      <c r="T575" s="40">
        <f t="shared" si="228"/>
        <v>0</v>
      </c>
      <c r="U575" s="40">
        <f t="shared" si="229"/>
        <v>0</v>
      </c>
      <c r="V575" s="40">
        <f t="shared" si="230"/>
        <v>0</v>
      </c>
      <c r="W575" s="40">
        <f t="shared" si="231"/>
        <v>1</v>
      </c>
      <c r="X575" s="40">
        <f t="shared" si="232"/>
        <v>0</v>
      </c>
      <c r="Y575" s="40">
        <f t="shared" si="233"/>
        <v>0</v>
      </c>
      <c r="Z575" s="40">
        <f t="shared" si="234"/>
        <v>0</v>
      </c>
      <c r="AA575" s="40">
        <f t="shared" si="235"/>
        <v>0</v>
      </c>
      <c r="AB575" s="40">
        <f t="shared" si="236"/>
        <v>0</v>
      </c>
      <c r="AC575" s="40">
        <f t="shared" si="237"/>
        <v>0</v>
      </c>
      <c r="AD575" s="40">
        <f t="shared" si="238"/>
        <v>0</v>
      </c>
      <c r="AE575" s="40">
        <f t="shared" si="239"/>
        <v>0</v>
      </c>
      <c r="AF575" s="40">
        <f t="shared" si="240"/>
        <v>1</v>
      </c>
      <c r="AG575" s="40">
        <f t="shared" si="241"/>
        <v>0</v>
      </c>
      <c r="AH575" s="40">
        <f t="shared" si="242"/>
        <v>0</v>
      </c>
      <c r="AI575" s="40">
        <f t="shared" si="243"/>
        <v>0</v>
      </c>
      <c r="AJ575" s="40">
        <f t="shared" si="244"/>
        <v>0</v>
      </c>
      <c r="AK575" s="40">
        <f t="shared" si="245"/>
        <v>0</v>
      </c>
      <c r="AL575" s="40">
        <f t="shared" si="246"/>
        <v>0</v>
      </c>
      <c r="AM575" s="40">
        <f t="shared" si="247"/>
        <v>0</v>
      </c>
      <c r="AN575" s="40">
        <f t="shared" si="248"/>
        <v>0</v>
      </c>
      <c r="AO575" s="40">
        <f t="shared" si="249"/>
        <v>1</v>
      </c>
      <c r="AP575" s="40">
        <f t="shared" si="250"/>
        <v>0</v>
      </c>
      <c r="AQ575" s="40">
        <f t="shared" si="251"/>
        <v>0</v>
      </c>
      <c r="AR575" s="40">
        <f t="shared" si="252"/>
        <v>0</v>
      </c>
      <c r="AS575" s="40">
        <f t="shared" si="253"/>
        <v>0</v>
      </c>
    </row>
    <row r="576" spans="2:45" ht="14.4" customHeight="1" x14ac:dyDescent="0.25">
      <c r="B576" s="56" t="s">
        <v>44</v>
      </c>
      <c r="C576" s="57" t="s">
        <v>26</v>
      </c>
      <c r="D576" s="58" t="s">
        <v>31</v>
      </c>
      <c r="E576" s="62">
        <v>1.5789999999999995E-2</v>
      </c>
      <c r="F576" s="65">
        <f t="shared" si="254"/>
        <v>-4.1483784507145867</v>
      </c>
      <c r="S576" s="40">
        <f t="shared" si="227"/>
        <v>0</v>
      </c>
      <c r="T576" s="40">
        <f t="shared" si="228"/>
        <v>0</v>
      </c>
      <c r="U576" s="40">
        <f t="shared" si="229"/>
        <v>0</v>
      </c>
      <c r="V576" s="40">
        <f t="shared" si="230"/>
        <v>0</v>
      </c>
      <c r="W576" s="40">
        <f t="shared" si="231"/>
        <v>1</v>
      </c>
      <c r="X576" s="40">
        <f t="shared" si="232"/>
        <v>0</v>
      </c>
      <c r="Y576" s="40">
        <f t="shared" si="233"/>
        <v>0</v>
      </c>
      <c r="Z576" s="40">
        <f t="shared" si="234"/>
        <v>0</v>
      </c>
      <c r="AA576" s="40">
        <f t="shared" si="235"/>
        <v>0</v>
      </c>
      <c r="AB576" s="40">
        <f t="shared" si="236"/>
        <v>0</v>
      </c>
      <c r="AC576" s="40">
        <f t="shared" si="237"/>
        <v>0</v>
      </c>
      <c r="AD576" s="40">
        <f t="shared" si="238"/>
        <v>0</v>
      </c>
      <c r="AE576" s="40">
        <f t="shared" si="239"/>
        <v>0</v>
      </c>
      <c r="AF576" s="40">
        <f t="shared" si="240"/>
        <v>1</v>
      </c>
      <c r="AG576" s="40">
        <f t="shared" si="241"/>
        <v>0</v>
      </c>
      <c r="AH576" s="40">
        <f t="shared" si="242"/>
        <v>0</v>
      </c>
      <c r="AI576" s="40">
        <f t="shared" si="243"/>
        <v>0</v>
      </c>
      <c r="AJ576" s="40">
        <f t="shared" si="244"/>
        <v>0</v>
      </c>
      <c r="AK576" s="40">
        <f t="shared" si="245"/>
        <v>0</v>
      </c>
      <c r="AL576" s="40">
        <f t="shared" si="246"/>
        <v>0</v>
      </c>
      <c r="AM576" s="40">
        <f t="shared" si="247"/>
        <v>0</v>
      </c>
      <c r="AN576" s="40">
        <f t="shared" si="248"/>
        <v>1</v>
      </c>
      <c r="AO576" s="40">
        <f t="shared" si="249"/>
        <v>0</v>
      </c>
      <c r="AP576" s="40">
        <f t="shared" si="250"/>
        <v>0</v>
      </c>
      <c r="AQ576" s="40">
        <f t="shared" si="251"/>
        <v>0</v>
      </c>
      <c r="AR576" s="40">
        <f t="shared" si="252"/>
        <v>0</v>
      </c>
      <c r="AS576" s="40">
        <f t="shared" si="253"/>
        <v>0</v>
      </c>
    </row>
    <row r="577" spans="2:45" ht="14.4" customHeight="1" x14ac:dyDescent="0.25">
      <c r="B577" s="56" t="s">
        <v>44</v>
      </c>
      <c r="C577" s="57" t="s">
        <v>26</v>
      </c>
      <c r="D577" s="58" t="s">
        <v>29</v>
      </c>
      <c r="E577" s="62">
        <v>5.1099999999999991E-3</v>
      </c>
      <c r="F577" s="65">
        <f t="shared" si="254"/>
        <v>-5.2765558747665242</v>
      </c>
      <c r="S577" s="40">
        <f t="shared" si="227"/>
        <v>0</v>
      </c>
      <c r="T577" s="40">
        <f t="shared" si="228"/>
        <v>0</v>
      </c>
      <c r="U577" s="40">
        <f t="shared" si="229"/>
        <v>0</v>
      </c>
      <c r="V577" s="40">
        <f t="shared" si="230"/>
        <v>0</v>
      </c>
      <c r="W577" s="40">
        <f t="shared" si="231"/>
        <v>1</v>
      </c>
      <c r="X577" s="40">
        <f t="shared" si="232"/>
        <v>0</v>
      </c>
      <c r="Y577" s="40">
        <f t="shared" si="233"/>
        <v>0</v>
      </c>
      <c r="Z577" s="40">
        <f t="shared" si="234"/>
        <v>1</v>
      </c>
      <c r="AA577" s="40">
        <f t="shared" si="235"/>
        <v>0</v>
      </c>
      <c r="AB577" s="40">
        <f t="shared" si="236"/>
        <v>0</v>
      </c>
      <c r="AC577" s="40">
        <f t="shared" si="237"/>
        <v>0</v>
      </c>
      <c r="AD577" s="40">
        <f t="shared" si="238"/>
        <v>0</v>
      </c>
      <c r="AE577" s="40">
        <f t="shared" si="239"/>
        <v>0</v>
      </c>
      <c r="AF577" s="40">
        <f t="shared" si="240"/>
        <v>0</v>
      </c>
      <c r="AG577" s="40">
        <f t="shared" si="241"/>
        <v>0</v>
      </c>
      <c r="AH577" s="40">
        <f t="shared" si="242"/>
        <v>0</v>
      </c>
      <c r="AI577" s="40">
        <f t="shared" si="243"/>
        <v>0</v>
      </c>
      <c r="AJ577" s="40">
        <f t="shared" si="244"/>
        <v>0</v>
      </c>
      <c r="AK577" s="40">
        <f t="shared" si="245"/>
        <v>0</v>
      </c>
      <c r="AL577" s="40">
        <f t="shared" si="246"/>
        <v>0</v>
      </c>
      <c r="AM577" s="40">
        <f t="shared" si="247"/>
        <v>1</v>
      </c>
      <c r="AN577" s="40">
        <f t="shared" si="248"/>
        <v>0</v>
      </c>
      <c r="AO577" s="40">
        <f t="shared" si="249"/>
        <v>0</v>
      </c>
      <c r="AP577" s="40">
        <f t="shared" si="250"/>
        <v>0</v>
      </c>
      <c r="AQ577" s="40">
        <f t="shared" si="251"/>
        <v>0</v>
      </c>
      <c r="AR577" s="40">
        <f t="shared" si="252"/>
        <v>0</v>
      </c>
      <c r="AS577" s="40">
        <f t="shared" si="253"/>
        <v>0</v>
      </c>
    </row>
    <row r="578" spans="2:45" ht="14.4" customHeight="1" x14ac:dyDescent="0.25">
      <c r="B578" s="56" t="s">
        <v>44</v>
      </c>
      <c r="C578" s="57" t="s">
        <v>36</v>
      </c>
      <c r="D578" s="58" t="s">
        <v>35</v>
      </c>
      <c r="E578" s="62">
        <v>1.1199999999999996E-2</v>
      </c>
      <c r="F578" s="65">
        <f t="shared" si="254"/>
        <v>-4.4918415006810886</v>
      </c>
      <c r="S578" s="40">
        <f t="shared" si="227"/>
        <v>0</v>
      </c>
      <c r="T578" s="40">
        <f t="shared" si="228"/>
        <v>0</v>
      </c>
      <c r="U578" s="40">
        <f t="shared" si="229"/>
        <v>0</v>
      </c>
      <c r="V578" s="40">
        <f t="shared" si="230"/>
        <v>0</v>
      </c>
      <c r="W578" s="40">
        <f t="shared" si="231"/>
        <v>1</v>
      </c>
      <c r="X578" s="40">
        <f t="shared" si="232"/>
        <v>0</v>
      </c>
      <c r="Y578" s="40">
        <f t="shared" si="233"/>
        <v>0</v>
      </c>
      <c r="Z578" s="40">
        <f t="shared" si="234"/>
        <v>0</v>
      </c>
      <c r="AA578" s="40">
        <f t="shared" si="235"/>
        <v>0</v>
      </c>
      <c r="AB578" s="40">
        <f t="shared" si="236"/>
        <v>0</v>
      </c>
      <c r="AC578" s="40">
        <f t="shared" si="237"/>
        <v>0</v>
      </c>
      <c r="AD578" s="40">
        <f t="shared" si="238"/>
        <v>0</v>
      </c>
      <c r="AE578" s="40">
        <f t="shared" si="239"/>
        <v>0</v>
      </c>
      <c r="AF578" s="40">
        <f t="shared" si="240"/>
        <v>1</v>
      </c>
      <c r="AG578" s="40">
        <f t="shared" si="241"/>
        <v>0</v>
      </c>
      <c r="AH578" s="40">
        <f t="shared" si="242"/>
        <v>0</v>
      </c>
      <c r="AI578" s="40">
        <f t="shared" si="243"/>
        <v>0</v>
      </c>
      <c r="AJ578" s="40">
        <f t="shared" si="244"/>
        <v>0</v>
      </c>
      <c r="AK578" s="40">
        <f t="shared" si="245"/>
        <v>1</v>
      </c>
      <c r="AL578" s="40">
        <f t="shared" si="246"/>
        <v>0</v>
      </c>
      <c r="AM578" s="40">
        <f t="shared" si="247"/>
        <v>0</v>
      </c>
      <c r="AN578" s="40">
        <f t="shared" si="248"/>
        <v>0</v>
      </c>
      <c r="AO578" s="40">
        <f t="shared" si="249"/>
        <v>0</v>
      </c>
      <c r="AP578" s="40">
        <f t="shared" si="250"/>
        <v>0</v>
      </c>
      <c r="AQ578" s="40">
        <f t="shared" si="251"/>
        <v>0</v>
      </c>
      <c r="AR578" s="40">
        <f t="shared" si="252"/>
        <v>0</v>
      </c>
      <c r="AS578" s="40">
        <f t="shared" si="253"/>
        <v>0</v>
      </c>
    </row>
    <row r="579" spans="2:45" ht="14.4" customHeight="1" x14ac:dyDescent="0.25">
      <c r="B579" s="56" t="s">
        <v>44</v>
      </c>
      <c r="C579" s="57" t="s">
        <v>26</v>
      </c>
      <c r="D579" s="58" t="s">
        <v>32</v>
      </c>
      <c r="E579" s="62">
        <v>1.8669999999999999E-2</v>
      </c>
      <c r="F579" s="65">
        <f t="shared" si="254"/>
        <v>-3.9808373214285058</v>
      </c>
      <c r="S579" s="40">
        <f t="shared" si="227"/>
        <v>0</v>
      </c>
      <c r="T579" s="40">
        <f t="shared" si="228"/>
        <v>0</v>
      </c>
      <c r="U579" s="40">
        <f t="shared" si="229"/>
        <v>0</v>
      </c>
      <c r="V579" s="40">
        <f t="shared" si="230"/>
        <v>0</v>
      </c>
      <c r="W579" s="40">
        <f t="shared" si="231"/>
        <v>1</v>
      </c>
      <c r="X579" s="40">
        <f t="shared" si="232"/>
        <v>0</v>
      </c>
      <c r="Y579" s="40">
        <f t="shared" si="233"/>
        <v>0</v>
      </c>
      <c r="Z579" s="40">
        <f t="shared" si="234"/>
        <v>0</v>
      </c>
      <c r="AA579" s="40">
        <f t="shared" si="235"/>
        <v>0</v>
      </c>
      <c r="AB579" s="40">
        <f t="shared" si="236"/>
        <v>1</v>
      </c>
      <c r="AC579" s="40">
        <f t="shared" si="237"/>
        <v>0</v>
      </c>
      <c r="AD579" s="40">
        <f t="shared" si="238"/>
        <v>0</v>
      </c>
      <c r="AE579" s="40">
        <f t="shared" si="239"/>
        <v>0</v>
      </c>
      <c r="AF579" s="40">
        <f t="shared" si="240"/>
        <v>0</v>
      </c>
      <c r="AG579" s="40">
        <f t="shared" si="241"/>
        <v>0</v>
      </c>
      <c r="AH579" s="40">
        <f t="shared" si="242"/>
        <v>0</v>
      </c>
      <c r="AI579" s="40">
        <f t="shared" si="243"/>
        <v>0</v>
      </c>
      <c r="AJ579" s="40">
        <f t="shared" si="244"/>
        <v>0</v>
      </c>
      <c r="AK579" s="40">
        <f t="shared" si="245"/>
        <v>0</v>
      </c>
      <c r="AL579" s="40">
        <f t="shared" si="246"/>
        <v>0</v>
      </c>
      <c r="AM579" s="40">
        <f t="shared" si="247"/>
        <v>0</v>
      </c>
      <c r="AN579" s="40">
        <f t="shared" si="248"/>
        <v>0</v>
      </c>
      <c r="AO579" s="40">
        <f t="shared" si="249"/>
        <v>0</v>
      </c>
      <c r="AP579" s="40">
        <f t="shared" si="250"/>
        <v>0</v>
      </c>
      <c r="AQ579" s="40">
        <f t="shared" si="251"/>
        <v>0</v>
      </c>
      <c r="AR579" s="40">
        <f t="shared" si="252"/>
        <v>1</v>
      </c>
      <c r="AS579" s="40">
        <f t="shared" si="253"/>
        <v>0</v>
      </c>
    </row>
    <row r="580" spans="2:45" ht="14.4" customHeight="1" x14ac:dyDescent="0.25">
      <c r="B580" s="56" t="s">
        <v>44</v>
      </c>
      <c r="C580" s="57" t="s">
        <v>25</v>
      </c>
      <c r="D580" s="58" t="s">
        <v>33</v>
      </c>
      <c r="E580" s="62">
        <v>7.3799999999999985E-3</v>
      </c>
      <c r="F580" s="65">
        <f t="shared" si="254"/>
        <v>-4.9089816403697561</v>
      </c>
      <c r="S580" s="40">
        <f t="shared" si="227"/>
        <v>0</v>
      </c>
      <c r="T580" s="40">
        <f t="shared" si="228"/>
        <v>0</v>
      </c>
      <c r="U580" s="40">
        <f t="shared" si="229"/>
        <v>0</v>
      </c>
      <c r="V580" s="40">
        <f t="shared" si="230"/>
        <v>0</v>
      </c>
      <c r="W580" s="40">
        <f t="shared" si="231"/>
        <v>1</v>
      </c>
      <c r="X580" s="40">
        <f t="shared" si="232"/>
        <v>0</v>
      </c>
      <c r="Y580" s="40">
        <f t="shared" si="233"/>
        <v>0</v>
      </c>
      <c r="Z580" s="40">
        <f t="shared" si="234"/>
        <v>0</v>
      </c>
      <c r="AA580" s="40">
        <f t="shared" si="235"/>
        <v>0</v>
      </c>
      <c r="AB580" s="40">
        <f t="shared" si="236"/>
        <v>0</v>
      </c>
      <c r="AC580" s="40">
        <f t="shared" si="237"/>
        <v>0</v>
      </c>
      <c r="AD580" s="40">
        <f t="shared" si="238"/>
        <v>0</v>
      </c>
      <c r="AE580" s="40">
        <f t="shared" si="239"/>
        <v>0</v>
      </c>
      <c r="AF580" s="40">
        <f t="shared" si="240"/>
        <v>1</v>
      </c>
      <c r="AG580" s="40">
        <f t="shared" si="241"/>
        <v>0</v>
      </c>
      <c r="AH580" s="40">
        <f t="shared" si="242"/>
        <v>0</v>
      </c>
      <c r="AI580" s="40">
        <f t="shared" si="243"/>
        <v>0</v>
      </c>
      <c r="AJ580" s="40">
        <f t="shared" si="244"/>
        <v>1</v>
      </c>
      <c r="AK580" s="40">
        <f t="shared" si="245"/>
        <v>0</v>
      </c>
      <c r="AL580" s="40">
        <f t="shared" si="246"/>
        <v>0</v>
      </c>
      <c r="AM580" s="40">
        <f t="shared" si="247"/>
        <v>0</v>
      </c>
      <c r="AN580" s="40">
        <f t="shared" si="248"/>
        <v>0</v>
      </c>
      <c r="AO580" s="40">
        <f t="shared" si="249"/>
        <v>0</v>
      </c>
      <c r="AP580" s="40">
        <f t="shared" si="250"/>
        <v>0</v>
      </c>
      <c r="AQ580" s="40">
        <f t="shared" si="251"/>
        <v>0</v>
      </c>
      <c r="AR580" s="40">
        <f t="shared" si="252"/>
        <v>0</v>
      </c>
      <c r="AS580" s="40">
        <f t="shared" si="253"/>
        <v>0</v>
      </c>
    </row>
    <row r="581" spans="2:45" ht="14.4" customHeight="1" x14ac:dyDescent="0.25">
      <c r="B581" s="56" t="s">
        <v>44</v>
      </c>
      <c r="C581" s="57" t="s">
        <v>26</v>
      </c>
      <c r="D581" s="58" t="s">
        <v>37</v>
      </c>
      <c r="E581" s="62">
        <v>1.0389999999999998E-2</v>
      </c>
      <c r="F581" s="65">
        <f t="shared" si="254"/>
        <v>-4.5669114738710013</v>
      </c>
      <c r="S581" s="40">
        <f t="shared" si="227"/>
        <v>0</v>
      </c>
      <c r="T581" s="40">
        <f t="shared" si="228"/>
        <v>0</v>
      </c>
      <c r="U581" s="40">
        <f t="shared" si="229"/>
        <v>0</v>
      </c>
      <c r="V581" s="40">
        <f t="shared" si="230"/>
        <v>0</v>
      </c>
      <c r="W581" s="40">
        <f t="shared" si="231"/>
        <v>1</v>
      </c>
      <c r="X581" s="40">
        <f t="shared" si="232"/>
        <v>0</v>
      </c>
      <c r="Y581" s="40">
        <f t="shared" si="233"/>
        <v>0</v>
      </c>
      <c r="Z581" s="40">
        <f t="shared" si="234"/>
        <v>0</v>
      </c>
      <c r="AA581" s="40">
        <f t="shared" si="235"/>
        <v>0</v>
      </c>
      <c r="AB581" s="40">
        <f t="shared" si="236"/>
        <v>0</v>
      </c>
      <c r="AC581" s="40">
        <f t="shared" si="237"/>
        <v>0</v>
      </c>
      <c r="AD581" s="40">
        <f t="shared" si="238"/>
        <v>0</v>
      </c>
      <c r="AE581" s="40">
        <f t="shared" si="239"/>
        <v>0</v>
      </c>
      <c r="AF581" s="40">
        <f t="shared" si="240"/>
        <v>1</v>
      </c>
      <c r="AG581" s="40">
        <f t="shared" si="241"/>
        <v>0</v>
      </c>
      <c r="AH581" s="40">
        <f t="shared" si="242"/>
        <v>0</v>
      </c>
      <c r="AI581" s="40">
        <f t="shared" si="243"/>
        <v>0</v>
      </c>
      <c r="AJ581" s="40">
        <f t="shared" si="244"/>
        <v>0</v>
      </c>
      <c r="AK581" s="40">
        <f t="shared" si="245"/>
        <v>0</v>
      </c>
      <c r="AL581" s="40">
        <f t="shared" si="246"/>
        <v>0</v>
      </c>
      <c r="AM581" s="40">
        <f t="shared" si="247"/>
        <v>0</v>
      </c>
      <c r="AN581" s="40">
        <f t="shared" si="248"/>
        <v>0</v>
      </c>
      <c r="AO581" s="40">
        <f t="shared" si="249"/>
        <v>0</v>
      </c>
      <c r="AP581" s="40">
        <f t="shared" si="250"/>
        <v>0</v>
      </c>
      <c r="AQ581" s="40">
        <f t="shared" si="251"/>
        <v>1</v>
      </c>
      <c r="AR581" s="40">
        <f t="shared" si="252"/>
        <v>0</v>
      </c>
      <c r="AS581" s="40">
        <f t="shared" si="253"/>
        <v>0</v>
      </c>
    </row>
    <row r="582" spans="2:45" ht="14.4" customHeight="1" x14ac:dyDescent="0.25">
      <c r="B582" s="56" t="s">
        <v>44</v>
      </c>
      <c r="C582" s="57" t="s">
        <v>26</v>
      </c>
      <c r="D582" s="58" t="s">
        <v>30</v>
      </c>
      <c r="E582" s="62">
        <v>2.1159999999999998E-2</v>
      </c>
      <c r="F582" s="65">
        <f t="shared" si="254"/>
        <v>-3.8556426719920385</v>
      </c>
      <c r="S582" s="40">
        <f t="shared" si="227"/>
        <v>0</v>
      </c>
      <c r="T582" s="40">
        <f t="shared" si="228"/>
        <v>0</v>
      </c>
      <c r="U582" s="40">
        <f t="shared" si="229"/>
        <v>0</v>
      </c>
      <c r="V582" s="40">
        <f t="shared" si="230"/>
        <v>0</v>
      </c>
      <c r="W582" s="40">
        <f t="shared" si="231"/>
        <v>1</v>
      </c>
      <c r="X582" s="40">
        <f t="shared" si="232"/>
        <v>0</v>
      </c>
      <c r="Y582" s="40">
        <f t="shared" si="233"/>
        <v>0</v>
      </c>
      <c r="Z582" s="40">
        <f t="shared" si="234"/>
        <v>0</v>
      </c>
      <c r="AA582" s="40">
        <f t="shared" si="235"/>
        <v>0</v>
      </c>
      <c r="AB582" s="40">
        <f t="shared" si="236"/>
        <v>0</v>
      </c>
      <c r="AC582" s="40">
        <f t="shared" si="237"/>
        <v>0</v>
      </c>
      <c r="AD582" s="40">
        <f t="shared" si="238"/>
        <v>0</v>
      </c>
      <c r="AE582" s="40">
        <f t="shared" si="239"/>
        <v>0</v>
      </c>
      <c r="AF582" s="40">
        <f t="shared" si="240"/>
        <v>1</v>
      </c>
      <c r="AG582" s="40">
        <f t="shared" si="241"/>
        <v>0</v>
      </c>
      <c r="AH582" s="40">
        <f t="shared" si="242"/>
        <v>0</v>
      </c>
      <c r="AI582" s="40">
        <f t="shared" si="243"/>
        <v>0</v>
      </c>
      <c r="AJ582" s="40">
        <f t="shared" si="244"/>
        <v>1</v>
      </c>
      <c r="AK582" s="40">
        <f t="shared" si="245"/>
        <v>0</v>
      </c>
      <c r="AL582" s="40">
        <f t="shared" si="246"/>
        <v>0</v>
      </c>
      <c r="AM582" s="40">
        <f t="shared" si="247"/>
        <v>0</v>
      </c>
      <c r="AN582" s="40">
        <f t="shared" si="248"/>
        <v>0</v>
      </c>
      <c r="AO582" s="40">
        <f t="shared" si="249"/>
        <v>0</v>
      </c>
      <c r="AP582" s="40">
        <f t="shared" si="250"/>
        <v>0</v>
      </c>
      <c r="AQ582" s="40">
        <f t="shared" si="251"/>
        <v>0</v>
      </c>
      <c r="AR582" s="40">
        <f t="shared" si="252"/>
        <v>0</v>
      </c>
      <c r="AS582" s="40">
        <f t="shared" si="253"/>
        <v>0</v>
      </c>
    </row>
    <row r="583" spans="2:45" ht="14.4" customHeight="1" x14ac:dyDescent="0.25">
      <c r="B583" s="56" t="s">
        <v>44</v>
      </c>
      <c r="C583" s="57" t="s">
        <v>26</v>
      </c>
      <c r="D583" s="58" t="s">
        <v>37</v>
      </c>
      <c r="E583" s="62">
        <v>7.3699999999999972E-3</v>
      </c>
      <c r="F583" s="65">
        <f t="shared" si="254"/>
        <v>-4.9103375727808922</v>
      </c>
      <c r="S583" s="40">
        <f t="shared" si="227"/>
        <v>0</v>
      </c>
      <c r="T583" s="40">
        <f t="shared" si="228"/>
        <v>0</v>
      </c>
      <c r="U583" s="40">
        <f t="shared" si="229"/>
        <v>0</v>
      </c>
      <c r="V583" s="40">
        <f t="shared" si="230"/>
        <v>0</v>
      </c>
      <c r="W583" s="40">
        <f t="shared" si="231"/>
        <v>1</v>
      </c>
      <c r="X583" s="40">
        <f t="shared" si="232"/>
        <v>0</v>
      </c>
      <c r="Y583" s="40">
        <f t="shared" si="233"/>
        <v>0</v>
      </c>
      <c r="Z583" s="40">
        <f t="shared" si="234"/>
        <v>0</v>
      </c>
      <c r="AA583" s="40">
        <f t="shared" si="235"/>
        <v>0</v>
      </c>
      <c r="AB583" s="40">
        <f t="shared" si="236"/>
        <v>1</v>
      </c>
      <c r="AC583" s="40">
        <f t="shared" si="237"/>
        <v>0</v>
      </c>
      <c r="AD583" s="40">
        <f t="shared" si="238"/>
        <v>0</v>
      </c>
      <c r="AE583" s="40">
        <f t="shared" si="239"/>
        <v>0</v>
      </c>
      <c r="AF583" s="40">
        <f t="shared" si="240"/>
        <v>0</v>
      </c>
      <c r="AG583" s="40">
        <f t="shared" si="241"/>
        <v>0</v>
      </c>
      <c r="AH583" s="40">
        <f t="shared" si="242"/>
        <v>0</v>
      </c>
      <c r="AI583" s="40">
        <f t="shared" si="243"/>
        <v>0</v>
      </c>
      <c r="AJ583" s="40">
        <f t="shared" si="244"/>
        <v>0</v>
      </c>
      <c r="AK583" s="40">
        <f t="shared" si="245"/>
        <v>0</v>
      </c>
      <c r="AL583" s="40">
        <f t="shared" si="246"/>
        <v>1</v>
      </c>
      <c r="AM583" s="40">
        <f t="shared" si="247"/>
        <v>0</v>
      </c>
      <c r="AN583" s="40">
        <f t="shared" si="248"/>
        <v>0</v>
      </c>
      <c r="AO583" s="40">
        <f t="shared" si="249"/>
        <v>0</v>
      </c>
      <c r="AP583" s="40">
        <f t="shared" si="250"/>
        <v>0</v>
      </c>
      <c r="AQ583" s="40">
        <f t="shared" si="251"/>
        <v>0</v>
      </c>
      <c r="AR583" s="40">
        <f t="shared" si="252"/>
        <v>0</v>
      </c>
      <c r="AS583" s="40">
        <f t="shared" si="253"/>
        <v>0</v>
      </c>
    </row>
    <row r="584" spans="2:45" ht="14.4" customHeight="1" x14ac:dyDescent="0.25">
      <c r="B584" s="56" t="s">
        <v>44</v>
      </c>
      <c r="C584" s="57" t="s">
        <v>25</v>
      </c>
      <c r="D584" s="58" t="s">
        <v>24</v>
      </c>
      <c r="E584" s="62">
        <v>1.0919999999999999E-2</v>
      </c>
      <c r="F584" s="65">
        <f t="shared" si="254"/>
        <v>-4.5171593086653781</v>
      </c>
      <c r="S584" s="40">
        <f t="shared" si="227"/>
        <v>0</v>
      </c>
      <c r="T584" s="40">
        <f t="shared" si="228"/>
        <v>0</v>
      </c>
      <c r="U584" s="40">
        <f t="shared" si="229"/>
        <v>0</v>
      </c>
      <c r="V584" s="40">
        <f t="shared" si="230"/>
        <v>0</v>
      </c>
      <c r="W584" s="40">
        <f t="shared" si="231"/>
        <v>1</v>
      </c>
      <c r="X584" s="40">
        <f t="shared" si="232"/>
        <v>0</v>
      </c>
      <c r="Y584" s="40">
        <f t="shared" si="233"/>
        <v>0</v>
      </c>
      <c r="Z584" s="40">
        <f t="shared" si="234"/>
        <v>0</v>
      </c>
      <c r="AA584" s="40">
        <f t="shared" si="235"/>
        <v>0</v>
      </c>
      <c r="AB584" s="40">
        <f t="shared" si="236"/>
        <v>1</v>
      </c>
      <c r="AC584" s="40">
        <f t="shared" si="237"/>
        <v>0</v>
      </c>
      <c r="AD584" s="40">
        <f t="shared" si="238"/>
        <v>0</v>
      </c>
      <c r="AE584" s="40">
        <f t="shared" si="239"/>
        <v>0</v>
      </c>
      <c r="AF584" s="40">
        <f t="shared" si="240"/>
        <v>0</v>
      </c>
      <c r="AG584" s="40">
        <f t="shared" si="241"/>
        <v>0</v>
      </c>
      <c r="AH584" s="40">
        <f t="shared" si="242"/>
        <v>1</v>
      </c>
      <c r="AI584" s="40">
        <f t="shared" si="243"/>
        <v>0</v>
      </c>
      <c r="AJ584" s="40">
        <f t="shared" si="244"/>
        <v>0</v>
      </c>
      <c r="AK584" s="40">
        <f t="shared" si="245"/>
        <v>0</v>
      </c>
      <c r="AL584" s="40">
        <f t="shared" si="246"/>
        <v>0</v>
      </c>
      <c r="AM584" s="40">
        <f t="shared" si="247"/>
        <v>0</v>
      </c>
      <c r="AN584" s="40">
        <f t="shared" si="248"/>
        <v>0</v>
      </c>
      <c r="AO584" s="40">
        <f t="shared" si="249"/>
        <v>0</v>
      </c>
      <c r="AP584" s="40">
        <f t="shared" si="250"/>
        <v>0</v>
      </c>
      <c r="AQ584" s="40">
        <f t="shared" si="251"/>
        <v>0</v>
      </c>
      <c r="AR584" s="40">
        <f t="shared" si="252"/>
        <v>0</v>
      </c>
      <c r="AS584" s="40">
        <f t="shared" si="253"/>
        <v>0</v>
      </c>
    </row>
    <row r="585" spans="2:45" ht="14.4" customHeight="1" x14ac:dyDescent="0.25">
      <c r="B585" s="56" t="s">
        <v>44</v>
      </c>
      <c r="C585" s="57" t="s">
        <v>25</v>
      </c>
      <c r="D585" s="58" t="s">
        <v>27</v>
      </c>
      <c r="E585" s="62">
        <v>2.2460000000000001E-2</v>
      </c>
      <c r="F585" s="65">
        <f t="shared" si="254"/>
        <v>-3.7960193296718399</v>
      </c>
      <c r="S585" s="40">
        <f t="shared" si="227"/>
        <v>0</v>
      </c>
      <c r="T585" s="40">
        <f t="shared" si="228"/>
        <v>0</v>
      </c>
      <c r="U585" s="40">
        <f t="shared" si="229"/>
        <v>0</v>
      </c>
      <c r="V585" s="40">
        <f t="shared" si="230"/>
        <v>0</v>
      </c>
      <c r="W585" s="40">
        <f t="shared" si="231"/>
        <v>1</v>
      </c>
      <c r="X585" s="40">
        <f t="shared" si="232"/>
        <v>0</v>
      </c>
      <c r="Y585" s="40">
        <f t="shared" si="233"/>
        <v>0</v>
      </c>
      <c r="Z585" s="40">
        <f t="shared" si="234"/>
        <v>0</v>
      </c>
      <c r="AA585" s="40">
        <f t="shared" si="235"/>
        <v>0</v>
      </c>
      <c r="AB585" s="40">
        <f t="shared" si="236"/>
        <v>1</v>
      </c>
      <c r="AC585" s="40">
        <f t="shared" si="237"/>
        <v>0</v>
      </c>
      <c r="AD585" s="40">
        <f t="shared" si="238"/>
        <v>0</v>
      </c>
      <c r="AE585" s="40">
        <f t="shared" si="239"/>
        <v>0</v>
      </c>
      <c r="AF585" s="40">
        <f t="shared" si="240"/>
        <v>0</v>
      </c>
      <c r="AG585" s="40">
        <f t="shared" si="241"/>
        <v>0</v>
      </c>
      <c r="AH585" s="40">
        <f t="shared" si="242"/>
        <v>1</v>
      </c>
      <c r="AI585" s="40">
        <f t="shared" si="243"/>
        <v>0</v>
      </c>
      <c r="AJ585" s="40">
        <f t="shared" si="244"/>
        <v>0</v>
      </c>
      <c r="AK585" s="40">
        <f t="shared" si="245"/>
        <v>0</v>
      </c>
      <c r="AL585" s="40">
        <f t="shared" si="246"/>
        <v>0</v>
      </c>
      <c r="AM585" s="40">
        <f t="shared" si="247"/>
        <v>0</v>
      </c>
      <c r="AN585" s="40">
        <f t="shared" si="248"/>
        <v>0</v>
      </c>
      <c r="AO585" s="40">
        <f t="shared" si="249"/>
        <v>0</v>
      </c>
      <c r="AP585" s="40">
        <f t="shared" si="250"/>
        <v>0</v>
      </c>
      <c r="AQ585" s="40">
        <f t="shared" si="251"/>
        <v>0</v>
      </c>
      <c r="AR585" s="40">
        <f t="shared" si="252"/>
        <v>0</v>
      </c>
      <c r="AS585" s="40">
        <f t="shared" si="253"/>
        <v>0</v>
      </c>
    </row>
    <row r="586" spans="2:45" ht="14.4" customHeight="1" x14ac:dyDescent="0.25">
      <c r="B586" s="56" t="s">
        <v>44</v>
      </c>
      <c r="C586" s="57" t="s">
        <v>25</v>
      </c>
      <c r="D586" s="58" t="s">
        <v>27</v>
      </c>
      <c r="E586" s="62">
        <v>2.4780000000000003E-2</v>
      </c>
      <c r="F586" s="65">
        <f t="shared" si="254"/>
        <v>-3.6977184027811405</v>
      </c>
      <c r="S586" s="40">
        <f t="shared" ref="S586:S649" si="255">IF($B587=S$9,1,0)</f>
        <v>0</v>
      </c>
      <c r="T586" s="40">
        <f t="shared" ref="T586:T649" si="256">IF($B587=T$9,1,0)</f>
        <v>0</v>
      </c>
      <c r="U586" s="40">
        <f t="shared" ref="U586:U649" si="257">IF($B587=U$9,1,0)</f>
        <v>0</v>
      </c>
      <c r="V586" s="40">
        <f t="shared" ref="V586:V649" si="258">IF($B587=V$9,1,0)</f>
        <v>0</v>
      </c>
      <c r="W586" s="40">
        <f t="shared" ref="W586:W649" si="259">IF($B587=W$9,1,0)</f>
        <v>1</v>
      </c>
      <c r="X586" s="40">
        <f t="shared" ref="X586:X649" si="260">IF($B587=X$9,1,0)</f>
        <v>0</v>
      </c>
      <c r="Y586" s="40">
        <f t="shared" ref="Y586:Y649" si="261">IF($B587=Y$9,1,0)</f>
        <v>0</v>
      </c>
      <c r="Z586" s="40">
        <f t="shared" ref="Z586:Z649" si="262">IF($C587=Z$9,1,0)</f>
        <v>0</v>
      </c>
      <c r="AA586" s="40">
        <f t="shared" ref="AA586:AA649" si="263">IF($C587=AA$9,1,0)</f>
        <v>0</v>
      </c>
      <c r="AB586" s="40">
        <f t="shared" ref="AB586:AB649" si="264">IF($C587=AB$9,1,0)</f>
        <v>1</v>
      </c>
      <c r="AC586" s="40">
        <f t="shared" ref="AC586:AC649" si="265">IF($C587=AC$9,1,0)</f>
        <v>0</v>
      </c>
      <c r="AD586" s="40">
        <f t="shared" ref="AD586:AD649" si="266">IF($C587=AD$9,1,0)</f>
        <v>0</v>
      </c>
      <c r="AE586" s="40">
        <f t="shared" ref="AE586:AE649" si="267">IF($C587=AE$9,1,0)</f>
        <v>0</v>
      </c>
      <c r="AF586" s="40">
        <f t="shared" ref="AF586:AF649" si="268">IF($C587=AF$9,1,0)</f>
        <v>0</v>
      </c>
      <c r="AG586" s="40">
        <f t="shared" ref="AG586:AG649" si="269">IF($C587=AG$9,1,0)</f>
        <v>0</v>
      </c>
      <c r="AH586" s="40">
        <f t="shared" ref="AH586:AH649" si="270">IF($D587=AH$9,1,0)</f>
        <v>0</v>
      </c>
      <c r="AI586" s="40">
        <f t="shared" ref="AI586:AI649" si="271">IF($D587=AI$9,1,0)</f>
        <v>0</v>
      </c>
      <c r="AJ586" s="40">
        <f t="shared" ref="AJ586:AJ649" si="272">IF($D587=AJ$9,1,0)</f>
        <v>0</v>
      </c>
      <c r="AK586" s="40">
        <f t="shared" ref="AK586:AK649" si="273">IF($D587=AK$9,1,0)</f>
        <v>0</v>
      </c>
      <c r="AL586" s="40">
        <f t="shared" ref="AL586:AL649" si="274">IF($D587=AL$9,1,0)</f>
        <v>0</v>
      </c>
      <c r="AM586" s="40">
        <f t="shared" ref="AM586:AM649" si="275">IF($D587=AM$9,1,0)</f>
        <v>0</v>
      </c>
      <c r="AN586" s="40">
        <f t="shared" ref="AN586:AN649" si="276">IF($D587=AN$9,1,0)</f>
        <v>0</v>
      </c>
      <c r="AO586" s="40">
        <f t="shared" ref="AO586:AO649" si="277">IF($D587=AO$9,1,0)</f>
        <v>0</v>
      </c>
      <c r="AP586" s="40">
        <f t="shared" ref="AP586:AP649" si="278">IF($D587=AP$9,1,0)</f>
        <v>0</v>
      </c>
      <c r="AQ586" s="40">
        <f t="shared" ref="AQ586:AQ649" si="279">IF($D587=AQ$9,1,0)</f>
        <v>1</v>
      </c>
      <c r="AR586" s="40">
        <f t="shared" ref="AR586:AR649" si="280">IF($D587=AR$9,1,0)</f>
        <v>0</v>
      </c>
      <c r="AS586" s="40">
        <f t="shared" ref="AS586:AS649" si="281">IF($D587=AS$9,1,0)</f>
        <v>0</v>
      </c>
    </row>
    <row r="587" spans="2:45" ht="14.4" customHeight="1" x14ac:dyDescent="0.25">
      <c r="B587" s="56" t="s">
        <v>44</v>
      </c>
      <c r="C587" s="57" t="s">
        <v>25</v>
      </c>
      <c r="D587" s="58" t="s">
        <v>30</v>
      </c>
      <c r="E587" s="62">
        <v>1.5789999999999995E-2</v>
      </c>
      <c r="F587" s="65">
        <f t="shared" si="254"/>
        <v>-4.1483784507145867</v>
      </c>
      <c r="S587" s="40">
        <f t="shared" si="255"/>
        <v>0</v>
      </c>
      <c r="T587" s="40">
        <f t="shared" si="256"/>
        <v>0</v>
      </c>
      <c r="U587" s="40">
        <f t="shared" si="257"/>
        <v>0</v>
      </c>
      <c r="V587" s="40">
        <f t="shared" si="258"/>
        <v>0</v>
      </c>
      <c r="W587" s="40">
        <f t="shared" si="259"/>
        <v>1</v>
      </c>
      <c r="X587" s="40">
        <f t="shared" si="260"/>
        <v>0</v>
      </c>
      <c r="Y587" s="40">
        <f t="shared" si="261"/>
        <v>0</v>
      </c>
      <c r="Z587" s="40">
        <f t="shared" si="262"/>
        <v>0</v>
      </c>
      <c r="AA587" s="40">
        <f t="shared" si="263"/>
        <v>0</v>
      </c>
      <c r="AB587" s="40">
        <f t="shared" si="264"/>
        <v>1</v>
      </c>
      <c r="AC587" s="40">
        <f t="shared" si="265"/>
        <v>0</v>
      </c>
      <c r="AD587" s="40">
        <f t="shared" si="266"/>
        <v>0</v>
      </c>
      <c r="AE587" s="40">
        <f t="shared" si="267"/>
        <v>0</v>
      </c>
      <c r="AF587" s="40">
        <f t="shared" si="268"/>
        <v>0</v>
      </c>
      <c r="AG587" s="40">
        <f t="shared" si="269"/>
        <v>0</v>
      </c>
      <c r="AH587" s="40">
        <f t="shared" si="270"/>
        <v>0</v>
      </c>
      <c r="AI587" s="40">
        <f t="shared" si="271"/>
        <v>0</v>
      </c>
      <c r="AJ587" s="40">
        <f t="shared" si="272"/>
        <v>0</v>
      </c>
      <c r="AK587" s="40">
        <f t="shared" si="273"/>
        <v>0</v>
      </c>
      <c r="AL587" s="40">
        <f t="shared" si="274"/>
        <v>0</v>
      </c>
      <c r="AM587" s="40">
        <f t="shared" si="275"/>
        <v>0</v>
      </c>
      <c r="AN587" s="40">
        <f t="shared" si="276"/>
        <v>0</v>
      </c>
      <c r="AO587" s="40">
        <f t="shared" si="277"/>
        <v>0</v>
      </c>
      <c r="AP587" s="40">
        <f t="shared" si="278"/>
        <v>0</v>
      </c>
      <c r="AQ587" s="40">
        <f t="shared" si="279"/>
        <v>0</v>
      </c>
      <c r="AR587" s="40">
        <f t="shared" si="280"/>
        <v>0</v>
      </c>
      <c r="AS587" s="40">
        <f t="shared" si="281"/>
        <v>1</v>
      </c>
    </row>
    <row r="588" spans="2:45" ht="14.4" customHeight="1" x14ac:dyDescent="0.25">
      <c r="B588" s="56" t="s">
        <v>44</v>
      </c>
      <c r="C588" s="57" t="s">
        <v>25</v>
      </c>
      <c r="D588" s="58" t="s">
        <v>22</v>
      </c>
      <c r="E588" s="62">
        <v>5.3599999999999984E-3</v>
      </c>
      <c r="F588" s="65">
        <f t="shared" ref="F588:F651" si="282">LN(E588)</f>
        <v>-5.2287913038994267</v>
      </c>
      <c r="S588" s="40">
        <f t="shared" si="255"/>
        <v>0</v>
      </c>
      <c r="T588" s="40">
        <f t="shared" si="256"/>
        <v>0</v>
      </c>
      <c r="U588" s="40">
        <f t="shared" si="257"/>
        <v>0</v>
      </c>
      <c r="V588" s="40">
        <f t="shared" si="258"/>
        <v>0</v>
      </c>
      <c r="W588" s="40">
        <f t="shared" si="259"/>
        <v>1</v>
      </c>
      <c r="X588" s="40">
        <f t="shared" si="260"/>
        <v>0</v>
      </c>
      <c r="Y588" s="40">
        <f t="shared" si="261"/>
        <v>0</v>
      </c>
      <c r="Z588" s="40">
        <f t="shared" si="262"/>
        <v>0</v>
      </c>
      <c r="AA588" s="40">
        <f t="shared" si="263"/>
        <v>0</v>
      </c>
      <c r="AB588" s="40">
        <f t="shared" si="264"/>
        <v>1</v>
      </c>
      <c r="AC588" s="40">
        <f t="shared" si="265"/>
        <v>0</v>
      </c>
      <c r="AD588" s="40">
        <f t="shared" si="266"/>
        <v>0</v>
      </c>
      <c r="AE588" s="40">
        <f t="shared" si="267"/>
        <v>0</v>
      </c>
      <c r="AF588" s="40">
        <f t="shared" si="268"/>
        <v>0</v>
      </c>
      <c r="AG588" s="40">
        <f t="shared" si="269"/>
        <v>0</v>
      </c>
      <c r="AH588" s="40">
        <f t="shared" si="270"/>
        <v>0</v>
      </c>
      <c r="AI588" s="40">
        <f t="shared" si="271"/>
        <v>0</v>
      </c>
      <c r="AJ588" s="40">
        <f t="shared" si="272"/>
        <v>0</v>
      </c>
      <c r="AK588" s="40">
        <f t="shared" si="273"/>
        <v>0</v>
      </c>
      <c r="AL588" s="40">
        <f t="shared" si="274"/>
        <v>0</v>
      </c>
      <c r="AM588" s="40">
        <f t="shared" si="275"/>
        <v>0</v>
      </c>
      <c r="AN588" s="40">
        <f t="shared" si="276"/>
        <v>1</v>
      </c>
      <c r="AO588" s="40">
        <f t="shared" si="277"/>
        <v>0</v>
      </c>
      <c r="AP588" s="40">
        <f t="shared" si="278"/>
        <v>0</v>
      </c>
      <c r="AQ588" s="40">
        <f t="shared" si="279"/>
        <v>0</v>
      </c>
      <c r="AR588" s="40">
        <f t="shared" si="280"/>
        <v>0</v>
      </c>
      <c r="AS588" s="40">
        <f t="shared" si="281"/>
        <v>0</v>
      </c>
    </row>
    <row r="589" spans="2:45" ht="14.4" customHeight="1" x14ac:dyDescent="0.25">
      <c r="B589" s="56" t="s">
        <v>44</v>
      </c>
      <c r="C589" s="57" t="s">
        <v>25</v>
      </c>
      <c r="D589" s="58" t="s">
        <v>29</v>
      </c>
      <c r="E589" s="62">
        <v>9.389999999999999E-3</v>
      </c>
      <c r="F589" s="65">
        <f t="shared" si="282"/>
        <v>-4.6681099857619657</v>
      </c>
      <c r="S589" s="40">
        <f t="shared" si="255"/>
        <v>0</v>
      </c>
      <c r="T589" s="40">
        <f t="shared" si="256"/>
        <v>0</v>
      </c>
      <c r="U589" s="40">
        <f t="shared" si="257"/>
        <v>0</v>
      </c>
      <c r="V589" s="40">
        <f t="shared" si="258"/>
        <v>0</v>
      </c>
      <c r="W589" s="40">
        <f t="shared" si="259"/>
        <v>1</v>
      </c>
      <c r="X589" s="40">
        <f t="shared" si="260"/>
        <v>0</v>
      </c>
      <c r="Y589" s="40">
        <f t="shared" si="261"/>
        <v>0</v>
      </c>
      <c r="Z589" s="40">
        <f t="shared" si="262"/>
        <v>0</v>
      </c>
      <c r="AA589" s="40">
        <f t="shared" si="263"/>
        <v>0</v>
      </c>
      <c r="AB589" s="40">
        <f t="shared" si="264"/>
        <v>1</v>
      </c>
      <c r="AC589" s="40">
        <f t="shared" si="265"/>
        <v>0</v>
      </c>
      <c r="AD589" s="40">
        <f t="shared" si="266"/>
        <v>0</v>
      </c>
      <c r="AE589" s="40">
        <f t="shared" si="267"/>
        <v>0</v>
      </c>
      <c r="AF589" s="40">
        <f t="shared" si="268"/>
        <v>0</v>
      </c>
      <c r="AG589" s="40">
        <f t="shared" si="269"/>
        <v>0</v>
      </c>
      <c r="AH589" s="40">
        <f t="shared" si="270"/>
        <v>0</v>
      </c>
      <c r="AI589" s="40">
        <f t="shared" si="271"/>
        <v>0</v>
      </c>
      <c r="AJ589" s="40">
        <f t="shared" si="272"/>
        <v>0</v>
      </c>
      <c r="AK589" s="40">
        <f t="shared" si="273"/>
        <v>0</v>
      </c>
      <c r="AL589" s="40">
        <f t="shared" si="274"/>
        <v>0</v>
      </c>
      <c r="AM589" s="40">
        <f t="shared" si="275"/>
        <v>0</v>
      </c>
      <c r="AN589" s="40">
        <f t="shared" si="276"/>
        <v>0</v>
      </c>
      <c r="AO589" s="40">
        <f t="shared" si="277"/>
        <v>1</v>
      </c>
      <c r="AP589" s="40">
        <f t="shared" si="278"/>
        <v>0</v>
      </c>
      <c r="AQ589" s="40">
        <f t="shared" si="279"/>
        <v>0</v>
      </c>
      <c r="AR589" s="40">
        <f t="shared" si="280"/>
        <v>0</v>
      </c>
      <c r="AS589" s="40">
        <f t="shared" si="281"/>
        <v>0</v>
      </c>
    </row>
    <row r="590" spans="2:45" ht="14.4" customHeight="1" x14ac:dyDescent="0.25">
      <c r="B590" s="56" t="s">
        <v>44</v>
      </c>
      <c r="C590" s="57" t="s">
        <v>25</v>
      </c>
      <c r="D590" s="58" t="s">
        <v>31</v>
      </c>
      <c r="E590" s="62">
        <v>1.107E-2</v>
      </c>
      <c r="F590" s="65">
        <f t="shared" si="282"/>
        <v>-4.5035165322615915</v>
      </c>
      <c r="S590" s="40">
        <f t="shared" si="255"/>
        <v>0</v>
      </c>
      <c r="T590" s="40">
        <f t="shared" si="256"/>
        <v>0</v>
      </c>
      <c r="U590" s="40">
        <f t="shared" si="257"/>
        <v>0</v>
      </c>
      <c r="V590" s="40">
        <f t="shared" si="258"/>
        <v>0</v>
      </c>
      <c r="W590" s="40">
        <f t="shared" si="259"/>
        <v>1</v>
      </c>
      <c r="X590" s="40">
        <f t="shared" si="260"/>
        <v>0</v>
      </c>
      <c r="Y590" s="40">
        <f t="shared" si="261"/>
        <v>0</v>
      </c>
      <c r="Z590" s="40">
        <f t="shared" si="262"/>
        <v>0</v>
      </c>
      <c r="AA590" s="40">
        <f t="shared" si="263"/>
        <v>0</v>
      </c>
      <c r="AB590" s="40">
        <f t="shared" si="264"/>
        <v>1</v>
      </c>
      <c r="AC590" s="40">
        <f t="shared" si="265"/>
        <v>0</v>
      </c>
      <c r="AD590" s="40">
        <f t="shared" si="266"/>
        <v>0</v>
      </c>
      <c r="AE590" s="40">
        <f t="shared" si="267"/>
        <v>0</v>
      </c>
      <c r="AF590" s="40">
        <f t="shared" si="268"/>
        <v>0</v>
      </c>
      <c r="AG590" s="40">
        <f t="shared" si="269"/>
        <v>0</v>
      </c>
      <c r="AH590" s="40">
        <f t="shared" si="270"/>
        <v>0</v>
      </c>
      <c r="AI590" s="40">
        <f t="shared" si="271"/>
        <v>0</v>
      </c>
      <c r="AJ590" s="40">
        <f t="shared" si="272"/>
        <v>0</v>
      </c>
      <c r="AK590" s="40">
        <f t="shared" si="273"/>
        <v>0</v>
      </c>
      <c r="AL590" s="40">
        <f t="shared" si="274"/>
        <v>0</v>
      </c>
      <c r="AM590" s="40">
        <f t="shared" si="275"/>
        <v>0</v>
      </c>
      <c r="AN590" s="40">
        <f t="shared" si="276"/>
        <v>0</v>
      </c>
      <c r="AO590" s="40">
        <f t="shared" si="277"/>
        <v>1</v>
      </c>
      <c r="AP590" s="40">
        <f t="shared" si="278"/>
        <v>0</v>
      </c>
      <c r="AQ590" s="40">
        <f t="shared" si="279"/>
        <v>0</v>
      </c>
      <c r="AR590" s="40">
        <f t="shared" si="280"/>
        <v>0</v>
      </c>
      <c r="AS590" s="40">
        <f t="shared" si="281"/>
        <v>0</v>
      </c>
    </row>
    <row r="591" spans="2:45" ht="14.4" customHeight="1" x14ac:dyDescent="0.25">
      <c r="B591" s="56" t="s">
        <v>44</v>
      </c>
      <c r="C591" s="57" t="s">
        <v>25</v>
      </c>
      <c r="D591" s="58" t="s">
        <v>31</v>
      </c>
      <c r="E591" s="62">
        <v>2.8389999999999995E-2</v>
      </c>
      <c r="F591" s="65">
        <f t="shared" si="282"/>
        <v>-3.5617183084972575</v>
      </c>
      <c r="S591" s="40">
        <f t="shared" si="255"/>
        <v>0</v>
      </c>
      <c r="T591" s="40">
        <f t="shared" si="256"/>
        <v>0</v>
      </c>
      <c r="U591" s="40">
        <f t="shared" si="257"/>
        <v>0</v>
      </c>
      <c r="V591" s="40">
        <f t="shared" si="258"/>
        <v>0</v>
      </c>
      <c r="W591" s="40">
        <f t="shared" si="259"/>
        <v>1</v>
      </c>
      <c r="X591" s="40">
        <f t="shared" si="260"/>
        <v>0</v>
      </c>
      <c r="Y591" s="40">
        <f t="shared" si="261"/>
        <v>0</v>
      </c>
      <c r="Z591" s="40">
        <f t="shared" si="262"/>
        <v>0</v>
      </c>
      <c r="AA591" s="40">
        <f t="shared" si="263"/>
        <v>0</v>
      </c>
      <c r="AB591" s="40">
        <f t="shared" si="264"/>
        <v>1</v>
      </c>
      <c r="AC591" s="40">
        <f t="shared" si="265"/>
        <v>0</v>
      </c>
      <c r="AD591" s="40">
        <f t="shared" si="266"/>
        <v>0</v>
      </c>
      <c r="AE591" s="40">
        <f t="shared" si="267"/>
        <v>0</v>
      </c>
      <c r="AF591" s="40">
        <f t="shared" si="268"/>
        <v>0</v>
      </c>
      <c r="AG591" s="40">
        <f t="shared" si="269"/>
        <v>0</v>
      </c>
      <c r="AH591" s="40">
        <f t="shared" si="270"/>
        <v>0</v>
      </c>
      <c r="AI591" s="40">
        <f t="shared" si="271"/>
        <v>0</v>
      </c>
      <c r="AJ591" s="40">
        <f t="shared" si="272"/>
        <v>0</v>
      </c>
      <c r="AK591" s="40">
        <f t="shared" si="273"/>
        <v>1</v>
      </c>
      <c r="AL591" s="40">
        <f t="shared" si="274"/>
        <v>0</v>
      </c>
      <c r="AM591" s="40">
        <f t="shared" si="275"/>
        <v>0</v>
      </c>
      <c r="AN591" s="40">
        <f t="shared" si="276"/>
        <v>0</v>
      </c>
      <c r="AO591" s="40">
        <f t="shared" si="277"/>
        <v>0</v>
      </c>
      <c r="AP591" s="40">
        <f t="shared" si="278"/>
        <v>0</v>
      </c>
      <c r="AQ591" s="40">
        <f t="shared" si="279"/>
        <v>0</v>
      </c>
      <c r="AR591" s="40">
        <f t="shared" si="280"/>
        <v>0</v>
      </c>
      <c r="AS591" s="40">
        <f t="shared" si="281"/>
        <v>0</v>
      </c>
    </row>
    <row r="592" spans="2:45" ht="14.4" customHeight="1" x14ac:dyDescent="0.25">
      <c r="B592" s="56" t="s">
        <v>44</v>
      </c>
      <c r="C592" s="57" t="s">
        <v>25</v>
      </c>
      <c r="D592" s="58" t="s">
        <v>32</v>
      </c>
      <c r="E592" s="62">
        <v>1.4159999999999997E-2</v>
      </c>
      <c r="F592" s="65">
        <f t="shared" si="282"/>
        <v>-4.2573341907165636</v>
      </c>
      <c r="S592" s="40">
        <f t="shared" si="255"/>
        <v>0</v>
      </c>
      <c r="T592" s="40">
        <f t="shared" si="256"/>
        <v>0</v>
      </c>
      <c r="U592" s="40">
        <f t="shared" si="257"/>
        <v>0</v>
      </c>
      <c r="V592" s="40">
        <f t="shared" si="258"/>
        <v>0</v>
      </c>
      <c r="W592" s="40">
        <f t="shared" si="259"/>
        <v>1</v>
      </c>
      <c r="X592" s="40">
        <f t="shared" si="260"/>
        <v>0</v>
      </c>
      <c r="Y592" s="40">
        <f t="shared" si="261"/>
        <v>0</v>
      </c>
      <c r="Z592" s="40">
        <f t="shared" si="262"/>
        <v>0</v>
      </c>
      <c r="AA592" s="40">
        <f t="shared" si="263"/>
        <v>0</v>
      </c>
      <c r="AB592" s="40">
        <f t="shared" si="264"/>
        <v>1</v>
      </c>
      <c r="AC592" s="40">
        <f t="shared" si="265"/>
        <v>0</v>
      </c>
      <c r="AD592" s="40">
        <f t="shared" si="266"/>
        <v>0</v>
      </c>
      <c r="AE592" s="40">
        <f t="shared" si="267"/>
        <v>0</v>
      </c>
      <c r="AF592" s="40">
        <f t="shared" si="268"/>
        <v>0</v>
      </c>
      <c r="AG592" s="40">
        <f t="shared" si="269"/>
        <v>0</v>
      </c>
      <c r="AH592" s="40">
        <f t="shared" si="270"/>
        <v>0</v>
      </c>
      <c r="AI592" s="40">
        <f t="shared" si="271"/>
        <v>0</v>
      </c>
      <c r="AJ592" s="40">
        <f t="shared" si="272"/>
        <v>1</v>
      </c>
      <c r="AK592" s="40">
        <f t="shared" si="273"/>
        <v>0</v>
      </c>
      <c r="AL592" s="40">
        <f t="shared" si="274"/>
        <v>0</v>
      </c>
      <c r="AM592" s="40">
        <f t="shared" si="275"/>
        <v>0</v>
      </c>
      <c r="AN592" s="40">
        <f t="shared" si="276"/>
        <v>0</v>
      </c>
      <c r="AO592" s="40">
        <f t="shared" si="277"/>
        <v>0</v>
      </c>
      <c r="AP592" s="40">
        <f t="shared" si="278"/>
        <v>0</v>
      </c>
      <c r="AQ592" s="40">
        <f t="shared" si="279"/>
        <v>0</v>
      </c>
      <c r="AR592" s="40">
        <f t="shared" si="280"/>
        <v>0</v>
      </c>
      <c r="AS592" s="40">
        <f t="shared" si="281"/>
        <v>0</v>
      </c>
    </row>
    <row r="593" spans="2:45" ht="14.4" customHeight="1" x14ac:dyDescent="0.25">
      <c r="B593" s="56" t="s">
        <v>44</v>
      </c>
      <c r="C593" s="57" t="s">
        <v>25</v>
      </c>
      <c r="D593" s="58" t="s">
        <v>37</v>
      </c>
      <c r="E593" s="62">
        <v>1.238E-2</v>
      </c>
      <c r="F593" s="65">
        <f t="shared" si="282"/>
        <v>-4.391673011725687</v>
      </c>
      <c r="S593" s="40">
        <f t="shared" si="255"/>
        <v>0</v>
      </c>
      <c r="T593" s="40">
        <f t="shared" si="256"/>
        <v>0</v>
      </c>
      <c r="U593" s="40">
        <f t="shared" si="257"/>
        <v>0</v>
      </c>
      <c r="V593" s="40">
        <f t="shared" si="258"/>
        <v>0</v>
      </c>
      <c r="W593" s="40">
        <f t="shared" si="259"/>
        <v>1</v>
      </c>
      <c r="X593" s="40">
        <f t="shared" si="260"/>
        <v>0</v>
      </c>
      <c r="Y593" s="40">
        <f t="shared" si="261"/>
        <v>0</v>
      </c>
      <c r="Z593" s="40">
        <f t="shared" si="262"/>
        <v>0</v>
      </c>
      <c r="AA593" s="40">
        <f t="shared" si="263"/>
        <v>0</v>
      </c>
      <c r="AB593" s="40">
        <f t="shared" si="264"/>
        <v>1</v>
      </c>
      <c r="AC593" s="40">
        <f t="shared" si="265"/>
        <v>0</v>
      </c>
      <c r="AD593" s="40">
        <f t="shared" si="266"/>
        <v>0</v>
      </c>
      <c r="AE593" s="40">
        <f t="shared" si="267"/>
        <v>0</v>
      </c>
      <c r="AF593" s="40">
        <f t="shared" si="268"/>
        <v>0</v>
      </c>
      <c r="AG593" s="40">
        <f t="shared" si="269"/>
        <v>0</v>
      </c>
      <c r="AH593" s="40">
        <f t="shared" si="270"/>
        <v>0</v>
      </c>
      <c r="AI593" s="40">
        <f t="shared" si="271"/>
        <v>0</v>
      </c>
      <c r="AJ593" s="40">
        <f t="shared" si="272"/>
        <v>0</v>
      </c>
      <c r="AK593" s="40">
        <f t="shared" si="273"/>
        <v>0</v>
      </c>
      <c r="AL593" s="40">
        <f t="shared" si="274"/>
        <v>0</v>
      </c>
      <c r="AM593" s="40">
        <f t="shared" si="275"/>
        <v>0</v>
      </c>
      <c r="AN593" s="40">
        <f t="shared" si="276"/>
        <v>0</v>
      </c>
      <c r="AO593" s="40">
        <f t="shared" si="277"/>
        <v>0</v>
      </c>
      <c r="AP593" s="40">
        <f t="shared" si="278"/>
        <v>0</v>
      </c>
      <c r="AQ593" s="40">
        <f t="shared" si="279"/>
        <v>0</v>
      </c>
      <c r="AR593" s="40">
        <f t="shared" si="280"/>
        <v>1</v>
      </c>
      <c r="AS593" s="40">
        <f t="shared" si="281"/>
        <v>0</v>
      </c>
    </row>
    <row r="594" spans="2:45" ht="14.4" customHeight="1" x14ac:dyDescent="0.25">
      <c r="B594" s="56" t="s">
        <v>44</v>
      </c>
      <c r="C594" s="57" t="s">
        <v>25</v>
      </c>
      <c r="D594" s="58" t="s">
        <v>33</v>
      </c>
      <c r="E594" s="62">
        <v>1.1839999999999996E-2</v>
      </c>
      <c r="F594" s="65">
        <f t="shared" si="282"/>
        <v>-4.4362716495262777</v>
      </c>
      <c r="S594" s="40">
        <f t="shared" si="255"/>
        <v>0</v>
      </c>
      <c r="T594" s="40">
        <f t="shared" si="256"/>
        <v>0</v>
      </c>
      <c r="U594" s="40">
        <f t="shared" si="257"/>
        <v>0</v>
      </c>
      <c r="V594" s="40">
        <f t="shared" si="258"/>
        <v>0</v>
      </c>
      <c r="W594" s="40">
        <f t="shared" si="259"/>
        <v>1</v>
      </c>
      <c r="X594" s="40">
        <f t="shared" si="260"/>
        <v>0</v>
      </c>
      <c r="Y594" s="40">
        <f t="shared" si="261"/>
        <v>0</v>
      </c>
      <c r="Z594" s="40">
        <f t="shared" si="262"/>
        <v>0</v>
      </c>
      <c r="AA594" s="40">
        <f t="shared" si="263"/>
        <v>0</v>
      </c>
      <c r="AB594" s="40">
        <f t="shared" si="264"/>
        <v>1</v>
      </c>
      <c r="AC594" s="40">
        <f t="shared" si="265"/>
        <v>0</v>
      </c>
      <c r="AD594" s="40">
        <f t="shared" si="266"/>
        <v>0</v>
      </c>
      <c r="AE594" s="40">
        <f t="shared" si="267"/>
        <v>0</v>
      </c>
      <c r="AF594" s="40">
        <f t="shared" si="268"/>
        <v>0</v>
      </c>
      <c r="AG594" s="40">
        <f t="shared" si="269"/>
        <v>0</v>
      </c>
      <c r="AH594" s="40">
        <f t="shared" si="270"/>
        <v>0</v>
      </c>
      <c r="AI594" s="40">
        <f t="shared" si="271"/>
        <v>1</v>
      </c>
      <c r="AJ594" s="40">
        <f t="shared" si="272"/>
        <v>0</v>
      </c>
      <c r="AK594" s="40">
        <f t="shared" si="273"/>
        <v>0</v>
      </c>
      <c r="AL594" s="40">
        <f t="shared" si="274"/>
        <v>0</v>
      </c>
      <c r="AM594" s="40">
        <f t="shared" si="275"/>
        <v>0</v>
      </c>
      <c r="AN594" s="40">
        <f t="shared" si="276"/>
        <v>0</v>
      </c>
      <c r="AO594" s="40">
        <f t="shared" si="277"/>
        <v>0</v>
      </c>
      <c r="AP594" s="40">
        <f t="shared" si="278"/>
        <v>0</v>
      </c>
      <c r="AQ594" s="40">
        <f t="shared" si="279"/>
        <v>0</v>
      </c>
      <c r="AR594" s="40">
        <f t="shared" si="280"/>
        <v>0</v>
      </c>
      <c r="AS594" s="40">
        <f t="shared" si="281"/>
        <v>0</v>
      </c>
    </row>
    <row r="595" spans="2:45" ht="14.4" customHeight="1" x14ac:dyDescent="0.25">
      <c r="B595" s="56" t="s">
        <v>44</v>
      </c>
      <c r="C595" s="57" t="s">
        <v>25</v>
      </c>
      <c r="D595" s="58" t="s">
        <v>28</v>
      </c>
      <c r="E595" s="62">
        <v>1.1779999999999997E-2</v>
      </c>
      <c r="F595" s="65">
        <f t="shared" si="282"/>
        <v>-4.4413521007586967</v>
      </c>
      <c r="S595" s="40">
        <f t="shared" si="255"/>
        <v>0</v>
      </c>
      <c r="T595" s="40">
        <f t="shared" si="256"/>
        <v>0</v>
      </c>
      <c r="U595" s="40">
        <f t="shared" si="257"/>
        <v>0</v>
      </c>
      <c r="V595" s="40">
        <f t="shared" si="258"/>
        <v>0</v>
      </c>
      <c r="W595" s="40">
        <f t="shared" si="259"/>
        <v>1</v>
      </c>
      <c r="X595" s="40">
        <f t="shared" si="260"/>
        <v>0</v>
      </c>
      <c r="Y595" s="40">
        <f t="shared" si="261"/>
        <v>0</v>
      </c>
      <c r="Z595" s="40">
        <f t="shared" si="262"/>
        <v>0</v>
      </c>
      <c r="AA595" s="40">
        <f t="shared" si="263"/>
        <v>0</v>
      </c>
      <c r="AB595" s="40">
        <f t="shared" si="264"/>
        <v>1</v>
      </c>
      <c r="AC595" s="40">
        <f t="shared" si="265"/>
        <v>0</v>
      </c>
      <c r="AD595" s="40">
        <f t="shared" si="266"/>
        <v>0</v>
      </c>
      <c r="AE595" s="40">
        <f t="shared" si="267"/>
        <v>0</v>
      </c>
      <c r="AF595" s="40">
        <f t="shared" si="268"/>
        <v>0</v>
      </c>
      <c r="AG595" s="40">
        <f t="shared" si="269"/>
        <v>0</v>
      </c>
      <c r="AH595" s="40">
        <f t="shared" si="270"/>
        <v>0</v>
      </c>
      <c r="AI595" s="40">
        <f t="shared" si="271"/>
        <v>0</v>
      </c>
      <c r="AJ595" s="40">
        <f t="shared" si="272"/>
        <v>1</v>
      </c>
      <c r="AK595" s="40">
        <f t="shared" si="273"/>
        <v>0</v>
      </c>
      <c r="AL595" s="40">
        <f t="shared" si="274"/>
        <v>0</v>
      </c>
      <c r="AM595" s="40">
        <f t="shared" si="275"/>
        <v>0</v>
      </c>
      <c r="AN595" s="40">
        <f t="shared" si="276"/>
        <v>0</v>
      </c>
      <c r="AO595" s="40">
        <f t="shared" si="277"/>
        <v>0</v>
      </c>
      <c r="AP595" s="40">
        <f t="shared" si="278"/>
        <v>0</v>
      </c>
      <c r="AQ595" s="40">
        <f t="shared" si="279"/>
        <v>0</v>
      </c>
      <c r="AR595" s="40">
        <f t="shared" si="280"/>
        <v>0</v>
      </c>
      <c r="AS595" s="40">
        <f t="shared" si="281"/>
        <v>0</v>
      </c>
    </row>
    <row r="596" spans="2:45" ht="14.4" customHeight="1" x14ac:dyDescent="0.25">
      <c r="B596" s="56" t="s">
        <v>44</v>
      </c>
      <c r="C596" s="57" t="s">
        <v>25</v>
      </c>
      <c r="D596" s="58" t="s">
        <v>37</v>
      </c>
      <c r="E596" s="62">
        <v>2.0830000000000005E-2</v>
      </c>
      <c r="F596" s="65">
        <f t="shared" si="282"/>
        <v>-3.8713610237092562</v>
      </c>
      <c r="S596" s="40">
        <f t="shared" si="255"/>
        <v>0</v>
      </c>
      <c r="T596" s="40">
        <f t="shared" si="256"/>
        <v>0</v>
      </c>
      <c r="U596" s="40">
        <f t="shared" si="257"/>
        <v>0</v>
      </c>
      <c r="V596" s="40">
        <f t="shared" si="258"/>
        <v>0</v>
      </c>
      <c r="W596" s="40">
        <f t="shared" si="259"/>
        <v>1</v>
      </c>
      <c r="X596" s="40">
        <f t="shared" si="260"/>
        <v>0</v>
      </c>
      <c r="Y596" s="40">
        <f t="shared" si="261"/>
        <v>0</v>
      </c>
      <c r="Z596" s="40">
        <f t="shared" si="262"/>
        <v>0</v>
      </c>
      <c r="AA596" s="40">
        <f t="shared" si="263"/>
        <v>0</v>
      </c>
      <c r="AB596" s="40">
        <f t="shared" si="264"/>
        <v>1</v>
      </c>
      <c r="AC596" s="40">
        <f t="shared" si="265"/>
        <v>0</v>
      </c>
      <c r="AD596" s="40">
        <f t="shared" si="266"/>
        <v>0</v>
      </c>
      <c r="AE596" s="40">
        <f t="shared" si="267"/>
        <v>0</v>
      </c>
      <c r="AF596" s="40">
        <f t="shared" si="268"/>
        <v>0</v>
      </c>
      <c r="AG596" s="40">
        <f t="shared" si="269"/>
        <v>0</v>
      </c>
      <c r="AH596" s="40">
        <f t="shared" si="270"/>
        <v>0</v>
      </c>
      <c r="AI596" s="40">
        <f t="shared" si="271"/>
        <v>0</v>
      </c>
      <c r="AJ596" s="40">
        <f t="shared" si="272"/>
        <v>0</v>
      </c>
      <c r="AK596" s="40">
        <f t="shared" si="273"/>
        <v>0</v>
      </c>
      <c r="AL596" s="40">
        <f t="shared" si="274"/>
        <v>1</v>
      </c>
      <c r="AM596" s="40">
        <f t="shared" si="275"/>
        <v>0</v>
      </c>
      <c r="AN596" s="40">
        <f t="shared" si="276"/>
        <v>0</v>
      </c>
      <c r="AO596" s="40">
        <f t="shared" si="277"/>
        <v>0</v>
      </c>
      <c r="AP596" s="40">
        <f t="shared" si="278"/>
        <v>0</v>
      </c>
      <c r="AQ596" s="40">
        <f t="shared" si="279"/>
        <v>0</v>
      </c>
      <c r="AR596" s="40">
        <f t="shared" si="280"/>
        <v>0</v>
      </c>
      <c r="AS596" s="40">
        <f t="shared" si="281"/>
        <v>0</v>
      </c>
    </row>
    <row r="597" spans="2:45" ht="14.4" customHeight="1" x14ac:dyDescent="0.25">
      <c r="B597" s="56" t="s">
        <v>44</v>
      </c>
      <c r="C597" s="57" t="s">
        <v>25</v>
      </c>
      <c r="D597" s="58" t="s">
        <v>24</v>
      </c>
      <c r="E597" s="62">
        <v>2.307E-2</v>
      </c>
      <c r="F597" s="65">
        <f t="shared" si="282"/>
        <v>-3.7692222067964747</v>
      </c>
      <c r="S597" s="40">
        <f t="shared" si="255"/>
        <v>0</v>
      </c>
      <c r="T597" s="40">
        <f t="shared" si="256"/>
        <v>0</v>
      </c>
      <c r="U597" s="40">
        <f t="shared" si="257"/>
        <v>0</v>
      </c>
      <c r="V597" s="40">
        <f t="shared" si="258"/>
        <v>0</v>
      </c>
      <c r="W597" s="40">
        <f t="shared" si="259"/>
        <v>1</v>
      </c>
      <c r="X597" s="40">
        <f t="shared" si="260"/>
        <v>0</v>
      </c>
      <c r="Y597" s="40">
        <f t="shared" si="261"/>
        <v>0</v>
      </c>
      <c r="Z597" s="40">
        <f t="shared" si="262"/>
        <v>0</v>
      </c>
      <c r="AA597" s="40">
        <f t="shared" si="263"/>
        <v>0</v>
      </c>
      <c r="AB597" s="40">
        <f t="shared" si="264"/>
        <v>1</v>
      </c>
      <c r="AC597" s="40">
        <f t="shared" si="265"/>
        <v>0</v>
      </c>
      <c r="AD597" s="40">
        <f t="shared" si="266"/>
        <v>0</v>
      </c>
      <c r="AE597" s="40">
        <f t="shared" si="267"/>
        <v>0</v>
      </c>
      <c r="AF597" s="40">
        <f t="shared" si="268"/>
        <v>0</v>
      </c>
      <c r="AG597" s="40">
        <f t="shared" si="269"/>
        <v>0</v>
      </c>
      <c r="AH597" s="40">
        <f t="shared" si="270"/>
        <v>0</v>
      </c>
      <c r="AI597" s="40">
        <f t="shared" si="271"/>
        <v>0</v>
      </c>
      <c r="AJ597" s="40">
        <f t="shared" si="272"/>
        <v>0</v>
      </c>
      <c r="AK597" s="40">
        <f t="shared" si="273"/>
        <v>0</v>
      </c>
      <c r="AL597" s="40">
        <f t="shared" si="274"/>
        <v>0</v>
      </c>
      <c r="AM597" s="40">
        <f t="shared" si="275"/>
        <v>0</v>
      </c>
      <c r="AN597" s="40">
        <f t="shared" si="276"/>
        <v>0</v>
      </c>
      <c r="AO597" s="40">
        <f t="shared" si="277"/>
        <v>1</v>
      </c>
      <c r="AP597" s="40">
        <f t="shared" si="278"/>
        <v>0</v>
      </c>
      <c r="AQ597" s="40">
        <f t="shared" si="279"/>
        <v>0</v>
      </c>
      <c r="AR597" s="40">
        <f t="shared" si="280"/>
        <v>0</v>
      </c>
      <c r="AS597" s="40">
        <f t="shared" si="281"/>
        <v>0</v>
      </c>
    </row>
    <row r="598" spans="2:45" ht="14.4" customHeight="1" x14ac:dyDescent="0.25">
      <c r="B598" s="56" t="s">
        <v>44</v>
      </c>
      <c r="C598" s="57" t="s">
        <v>25</v>
      </c>
      <c r="D598" s="58" t="s">
        <v>31</v>
      </c>
      <c r="E598" s="62">
        <v>7.9699999999999997E-3</v>
      </c>
      <c r="F598" s="65">
        <f t="shared" si="282"/>
        <v>-4.8320707861800134</v>
      </c>
      <c r="S598" s="40">
        <f t="shared" si="255"/>
        <v>0</v>
      </c>
      <c r="T598" s="40">
        <f t="shared" si="256"/>
        <v>0</v>
      </c>
      <c r="U598" s="40">
        <f t="shared" si="257"/>
        <v>0</v>
      </c>
      <c r="V598" s="40">
        <f t="shared" si="258"/>
        <v>0</v>
      </c>
      <c r="W598" s="40">
        <f t="shared" si="259"/>
        <v>1</v>
      </c>
      <c r="X598" s="40">
        <f t="shared" si="260"/>
        <v>0</v>
      </c>
      <c r="Y598" s="40">
        <f t="shared" si="261"/>
        <v>0</v>
      </c>
      <c r="Z598" s="40">
        <f t="shared" si="262"/>
        <v>0</v>
      </c>
      <c r="AA598" s="40">
        <f t="shared" si="263"/>
        <v>0</v>
      </c>
      <c r="AB598" s="40">
        <f t="shared" si="264"/>
        <v>1</v>
      </c>
      <c r="AC598" s="40">
        <f t="shared" si="265"/>
        <v>0</v>
      </c>
      <c r="AD598" s="40">
        <f t="shared" si="266"/>
        <v>0</v>
      </c>
      <c r="AE598" s="40">
        <f t="shared" si="267"/>
        <v>0</v>
      </c>
      <c r="AF598" s="40">
        <f t="shared" si="268"/>
        <v>0</v>
      </c>
      <c r="AG598" s="40">
        <f t="shared" si="269"/>
        <v>0</v>
      </c>
      <c r="AH598" s="40">
        <f t="shared" si="270"/>
        <v>1</v>
      </c>
      <c r="AI598" s="40">
        <f t="shared" si="271"/>
        <v>0</v>
      </c>
      <c r="AJ598" s="40">
        <f t="shared" si="272"/>
        <v>0</v>
      </c>
      <c r="AK598" s="40">
        <f t="shared" si="273"/>
        <v>0</v>
      </c>
      <c r="AL598" s="40">
        <f t="shared" si="274"/>
        <v>0</v>
      </c>
      <c r="AM598" s="40">
        <f t="shared" si="275"/>
        <v>0</v>
      </c>
      <c r="AN598" s="40">
        <f t="shared" si="276"/>
        <v>0</v>
      </c>
      <c r="AO598" s="40">
        <f t="shared" si="277"/>
        <v>0</v>
      </c>
      <c r="AP598" s="40">
        <f t="shared" si="278"/>
        <v>0</v>
      </c>
      <c r="AQ598" s="40">
        <f t="shared" si="279"/>
        <v>0</v>
      </c>
      <c r="AR598" s="40">
        <f t="shared" si="280"/>
        <v>0</v>
      </c>
      <c r="AS598" s="40">
        <f t="shared" si="281"/>
        <v>0</v>
      </c>
    </row>
    <row r="599" spans="2:45" ht="14.4" customHeight="1" x14ac:dyDescent="0.25">
      <c r="B599" s="56" t="s">
        <v>44</v>
      </c>
      <c r="C599" s="57" t="s">
        <v>25</v>
      </c>
      <c r="D599" s="58" t="s">
        <v>27</v>
      </c>
      <c r="E599" s="62">
        <v>7.3900000000000025E-3</v>
      </c>
      <c r="F599" s="65">
        <f t="shared" si="282"/>
        <v>-4.9076275440220263</v>
      </c>
      <c r="S599" s="40">
        <f t="shared" si="255"/>
        <v>0</v>
      </c>
      <c r="T599" s="40">
        <f t="shared" si="256"/>
        <v>0</v>
      </c>
      <c r="U599" s="40">
        <f t="shared" si="257"/>
        <v>0</v>
      </c>
      <c r="V599" s="40">
        <f t="shared" si="258"/>
        <v>0</v>
      </c>
      <c r="W599" s="40">
        <f t="shared" si="259"/>
        <v>1</v>
      </c>
      <c r="X599" s="40">
        <f t="shared" si="260"/>
        <v>0</v>
      </c>
      <c r="Y599" s="40">
        <f t="shared" si="261"/>
        <v>0</v>
      </c>
      <c r="Z599" s="40">
        <f t="shared" si="262"/>
        <v>0</v>
      </c>
      <c r="AA599" s="40">
        <f t="shared" si="263"/>
        <v>0</v>
      </c>
      <c r="AB599" s="40">
        <f t="shared" si="264"/>
        <v>0</v>
      </c>
      <c r="AC599" s="40">
        <f t="shared" si="265"/>
        <v>1</v>
      </c>
      <c r="AD599" s="40">
        <f t="shared" si="266"/>
        <v>0</v>
      </c>
      <c r="AE599" s="40">
        <f t="shared" si="267"/>
        <v>0</v>
      </c>
      <c r="AF599" s="40">
        <f t="shared" si="268"/>
        <v>0</v>
      </c>
      <c r="AG599" s="40">
        <f t="shared" si="269"/>
        <v>0</v>
      </c>
      <c r="AH599" s="40">
        <f t="shared" si="270"/>
        <v>0</v>
      </c>
      <c r="AI599" s="40">
        <f t="shared" si="271"/>
        <v>0</v>
      </c>
      <c r="AJ599" s="40">
        <f t="shared" si="272"/>
        <v>0</v>
      </c>
      <c r="AK599" s="40">
        <f t="shared" si="273"/>
        <v>0</v>
      </c>
      <c r="AL599" s="40">
        <f t="shared" si="274"/>
        <v>0</v>
      </c>
      <c r="AM599" s="40">
        <f t="shared" si="275"/>
        <v>0</v>
      </c>
      <c r="AN599" s="40">
        <f t="shared" si="276"/>
        <v>0</v>
      </c>
      <c r="AO599" s="40">
        <f t="shared" si="277"/>
        <v>1</v>
      </c>
      <c r="AP599" s="40">
        <f t="shared" si="278"/>
        <v>0</v>
      </c>
      <c r="AQ599" s="40">
        <f t="shared" si="279"/>
        <v>0</v>
      </c>
      <c r="AR599" s="40">
        <f t="shared" si="280"/>
        <v>0</v>
      </c>
      <c r="AS599" s="40">
        <f t="shared" si="281"/>
        <v>0</v>
      </c>
    </row>
    <row r="600" spans="2:45" ht="14.4" customHeight="1" x14ac:dyDescent="0.25">
      <c r="B600" s="56" t="s">
        <v>44</v>
      </c>
      <c r="C600" s="57" t="s">
        <v>23</v>
      </c>
      <c r="D600" s="58" t="s">
        <v>31</v>
      </c>
      <c r="E600" s="62">
        <v>9.0500000000000025E-3</v>
      </c>
      <c r="F600" s="65">
        <f t="shared" si="282"/>
        <v>-4.704990521270302</v>
      </c>
      <c r="S600" s="40">
        <f t="shared" si="255"/>
        <v>0</v>
      </c>
      <c r="T600" s="40">
        <f t="shared" si="256"/>
        <v>0</v>
      </c>
      <c r="U600" s="40">
        <f t="shared" si="257"/>
        <v>0</v>
      </c>
      <c r="V600" s="40">
        <f t="shared" si="258"/>
        <v>0</v>
      </c>
      <c r="W600" s="40">
        <f t="shared" si="259"/>
        <v>1</v>
      </c>
      <c r="X600" s="40">
        <f t="shared" si="260"/>
        <v>0</v>
      </c>
      <c r="Y600" s="40">
        <f t="shared" si="261"/>
        <v>0</v>
      </c>
      <c r="Z600" s="40">
        <f t="shared" si="262"/>
        <v>0</v>
      </c>
      <c r="AA600" s="40">
        <f t="shared" si="263"/>
        <v>0</v>
      </c>
      <c r="AB600" s="40">
        <f t="shared" si="264"/>
        <v>0</v>
      </c>
      <c r="AC600" s="40">
        <f t="shared" si="265"/>
        <v>1</v>
      </c>
      <c r="AD600" s="40">
        <f t="shared" si="266"/>
        <v>0</v>
      </c>
      <c r="AE600" s="40">
        <f t="shared" si="267"/>
        <v>0</v>
      </c>
      <c r="AF600" s="40">
        <f t="shared" si="268"/>
        <v>0</v>
      </c>
      <c r="AG600" s="40">
        <f t="shared" si="269"/>
        <v>0</v>
      </c>
      <c r="AH600" s="40">
        <f t="shared" si="270"/>
        <v>0</v>
      </c>
      <c r="AI600" s="40">
        <f t="shared" si="271"/>
        <v>0</v>
      </c>
      <c r="AJ600" s="40">
        <f t="shared" si="272"/>
        <v>0</v>
      </c>
      <c r="AK600" s="40">
        <f t="shared" si="273"/>
        <v>0</v>
      </c>
      <c r="AL600" s="40">
        <f t="shared" si="274"/>
        <v>0</v>
      </c>
      <c r="AM600" s="40">
        <f t="shared" si="275"/>
        <v>0</v>
      </c>
      <c r="AN600" s="40">
        <f t="shared" si="276"/>
        <v>0</v>
      </c>
      <c r="AO600" s="40">
        <f t="shared" si="277"/>
        <v>0</v>
      </c>
      <c r="AP600" s="40">
        <f t="shared" si="278"/>
        <v>0</v>
      </c>
      <c r="AQ600" s="40">
        <f t="shared" si="279"/>
        <v>1</v>
      </c>
      <c r="AR600" s="40">
        <f t="shared" si="280"/>
        <v>0</v>
      </c>
      <c r="AS600" s="40">
        <f t="shared" si="281"/>
        <v>0</v>
      </c>
    </row>
    <row r="601" spans="2:45" ht="14.4" customHeight="1" x14ac:dyDescent="0.25">
      <c r="B601" s="56" t="s">
        <v>44</v>
      </c>
      <c r="C601" s="57" t="s">
        <v>23</v>
      </c>
      <c r="D601" s="58" t="s">
        <v>30</v>
      </c>
      <c r="E601" s="62">
        <v>1.4789999999999998E-2</v>
      </c>
      <c r="F601" s="65">
        <f t="shared" si="282"/>
        <v>-4.2138040022594287</v>
      </c>
      <c r="S601" s="40">
        <f t="shared" si="255"/>
        <v>0</v>
      </c>
      <c r="T601" s="40">
        <f t="shared" si="256"/>
        <v>0</v>
      </c>
      <c r="U601" s="40">
        <f t="shared" si="257"/>
        <v>0</v>
      </c>
      <c r="V601" s="40">
        <f t="shared" si="258"/>
        <v>0</v>
      </c>
      <c r="W601" s="40">
        <f t="shared" si="259"/>
        <v>1</v>
      </c>
      <c r="X601" s="40">
        <f t="shared" si="260"/>
        <v>0</v>
      </c>
      <c r="Y601" s="40">
        <f t="shared" si="261"/>
        <v>0</v>
      </c>
      <c r="Z601" s="40">
        <f t="shared" si="262"/>
        <v>0</v>
      </c>
      <c r="AA601" s="40">
        <f t="shared" si="263"/>
        <v>0</v>
      </c>
      <c r="AB601" s="40">
        <f t="shared" si="264"/>
        <v>0</v>
      </c>
      <c r="AC601" s="40">
        <f t="shared" si="265"/>
        <v>1</v>
      </c>
      <c r="AD601" s="40">
        <f t="shared" si="266"/>
        <v>0</v>
      </c>
      <c r="AE601" s="40">
        <f t="shared" si="267"/>
        <v>0</v>
      </c>
      <c r="AF601" s="40">
        <f t="shared" si="268"/>
        <v>0</v>
      </c>
      <c r="AG601" s="40">
        <f t="shared" si="269"/>
        <v>0</v>
      </c>
      <c r="AH601" s="40">
        <f t="shared" si="270"/>
        <v>0</v>
      </c>
      <c r="AI601" s="40">
        <f t="shared" si="271"/>
        <v>0</v>
      </c>
      <c r="AJ601" s="40">
        <f t="shared" si="272"/>
        <v>0</v>
      </c>
      <c r="AK601" s="40">
        <f t="shared" si="273"/>
        <v>0</v>
      </c>
      <c r="AL601" s="40">
        <f t="shared" si="274"/>
        <v>0</v>
      </c>
      <c r="AM601" s="40">
        <f t="shared" si="275"/>
        <v>0</v>
      </c>
      <c r="AN601" s="40">
        <f t="shared" si="276"/>
        <v>0</v>
      </c>
      <c r="AO601" s="40">
        <f t="shared" si="277"/>
        <v>0</v>
      </c>
      <c r="AP601" s="40">
        <f t="shared" si="278"/>
        <v>0</v>
      </c>
      <c r="AQ601" s="40">
        <f t="shared" si="279"/>
        <v>0</v>
      </c>
      <c r="AR601" s="40">
        <f t="shared" si="280"/>
        <v>0</v>
      </c>
      <c r="AS601" s="40">
        <f t="shared" si="281"/>
        <v>1</v>
      </c>
    </row>
    <row r="602" spans="2:45" ht="14.4" customHeight="1" x14ac:dyDescent="0.25">
      <c r="B602" s="56" t="s">
        <v>44</v>
      </c>
      <c r="C602" s="57" t="s">
        <v>23</v>
      </c>
      <c r="D602" s="58" t="s">
        <v>22</v>
      </c>
      <c r="E602" s="62">
        <v>6.3399999999999975E-3</v>
      </c>
      <c r="F602" s="65">
        <f t="shared" si="282"/>
        <v>-5.0608765105330029</v>
      </c>
      <c r="S602" s="40">
        <f t="shared" si="255"/>
        <v>0</v>
      </c>
      <c r="T602" s="40">
        <f t="shared" si="256"/>
        <v>0</v>
      </c>
      <c r="U602" s="40">
        <f t="shared" si="257"/>
        <v>0</v>
      </c>
      <c r="V602" s="40">
        <f t="shared" si="258"/>
        <v>0</v>
      </c>
      <c r="W602" s="40">
        <f t="shared" si="259"/>
        <v>1</v>
      </c>
      <c r="X602" s="40">
        <f t="shared" si="260"/>
        <v>0</v>
      </c>
      <c r="Y602" s="40">
        <f t="shared" si="261"/>
        <v>0</v>
      </c>
      <c r="Z602" s="40">
        <f t="shared" si="262"/>
        <v>0</v>
      </c>
      <c r="AA602" s="40">
        <f t="shared" si="263"/>
        <v>0</v>
      </c>
      <c r="AB602" s="40">
        <f t="shared" si="264"/>
        <v>1</v>
      </c>
      <c r="AC602" s="40">
        <f t="shared" si="265"/>
        <v>0</v>
      </c>
      <c r="AD602" s="40">
        <f t="shared" si="266"/>
        <v>0</v>
      </c>
      <c r="AE602" s="40">
        <f t="shared" si="267"/>
        <v>0</v>
      </c>
      <c r="AF602" s="40">
        <f t="shared" si="268"/>
        <v>0</v>
      </c>
      <c r="AG602" s="40">
        <f t="shared" si="269"/>
        <v>0</v>
      </c>
      <c r="AH602" s="40">
        <f t="shared" si="270"/>
        <v>1</v>
      </c>
      <c r="AI602" s="40">
        <f t="shared" si="271"/>
        <v>0</v>
      </c>
      <c r="AJ602" s="40">
        <f t="shared" si="272"/>
        <v>0</v>
      </c>
      <c r="AK602" s="40">
        <f t="shared" si="273"/>
        <v>0</v>
      </c>
      <c r="AL602" s="40">
        <f t="shared" si="274"/>
        <v>0</v>
      </c>
      <c r="AM602" s="40">
        <f t="shared" si="275"/>
        <v>0</v>
      </c>
      <c r="AN602" s="40">
        <f t="shared" si="276"/>
        <v>0</v>
      </c>
      <c r="AO602" s="40">
        <f t="shared" si="277"/>
        <v>0</v>
      </c>
      <c r="AP602" s="40">
        <f t="shared" si="278"/>
        <v>0</v>
      </c>
      <c r="AQ602" s="40">
        <f t="shared" si="279"/>
        <v>0</v>
      </c>
      <c r="AR602" s="40">
        <f t="shared" si="280"/>
        <v>0</v>
      </c>
      <c r="AS602" s="40">
        <f t="shared" si="281"/>
        <v>0</v>
      </c>
    </row>
    <row r="603" spans="2:45" ht="14.4" customHeight="1" x14ac:dyDescent="0.25">
      <c r="B603" s="56" t="s">
        <v>44</v>
      </c>
      <c r="C603" s="57" t="s">
        <v>25</v>
      </c>
      <c r="D603" s="58" t="s">
        <v>27</v>
      </c>
      <c r="E603" s="62">
        <v>1.2209999999999997E-2</v>
      </c>
      <c r="F603" s="65">
        <f t="shared" si="282"/>
        <v>-4.405499990859524</v>
      </c>
      <c r="S603" s="40">
        <f t="shared" si="255"/>
        <v>0</v>
      </c>
      <c r="T603" s="40">
        <f t="shared" si="256"/>
        <v>0</v>
      </c>
      <c r="U603" s="40">
        <f t="shared" si="257"/>
        <v>0</v>
      </c>
      <c r="V603" s="40">
        <f t="shared" si="258"/>
        <v>0</v>
      </c>
      <c r="W603" s="40">
        <f t="shared" si="259"/>
        <v>1</v>
      </c>
      <c r="X603" s="40">
        <f t="shared" si="260"/>
        <v>0</v>
      </c>
      <c r="Y603" s="40">
        <f t="shared" si="261"/>
        <v>0</v>
      </c>
      <c r="Z603" s="40">
        <f t="shared" si="262"/>
        <v>0</v>
      </c>
      <c r="AA603" s="40">
        <f t="shared" si="263"/>
        <v>0</v>
      </c>
      <c r="AB603" s="40">
        <f t="shared" si="264"/>
        <v>1</v>
      </c>
      <c r="AC603" s="40">
        <f t="shared" si="265"/>
        <v>0</v>
      </c>
      <c r="AD603" s="40">
        <f t="shared" si="266"/>
        <v>0</v>
      </c>
      <c r="AE603" s="40">
        <f t="shared" si="267"/>
        <v>0</v>
      </c>
      <c r="AF603" s="40">
        <f t="shared" si="268"/>
        <v>0</v>
      </c>
      <c r="AG603" s="40">
        <f t="shared" si="269"/>
        <v>0</v>
      </c>
      <c r="AH603" s="40">
        <f t="shared" si="270"/>
        <v>0</v>
      </c>
      <c r="AI603" s="40">
        <f t="shared" si="271"/>
        <v>0</v>
      </c>
      <c r="AJ603" s="40">
        <f t="shared" si="272"/>
        <v>0</v>
      </c>
      <c r="AK603" s="40">
        <f t="shared" si="273"/>
        <v>0</v>
      </c>
      <c r="AL603" s="40">
        <f t="shared" si="274"/>
        <v>0</v>
      </c>
      <c r="AM603" s="40">
        <f t="shared" si="275"/>
        <v>0</v>
      </c>
      <c r="AN603" s="40">
        <f t="shared" si="276"/>
        <v>1</v>
      </c>
      <c r="AO603" s="40">
        <f t="shared" si="277"/>
        <v>0</v>
      </c>
      <c r="AP603" s="40">
        <f t="shared" si="278"/>
        <v>0</v>
      </c>
      <c r="AQ603" s="40">
        <f t="shared" si="279"/>
        <v>0</v>
      </c>
      <c r="AR603" s="40">
        <f t="shared" si="280"/>
        <v>0</v>
      </c>
      <c r="AS603" s="40">
        <f t="shared" si="281"/>
        <v>0</v>
      </c>
    </row>
    <row r="604" spans="2:45" ht="14.4" customHeight="1" x14ac:dyDescent="0.25">
      <c r="B604" s="56" t="s">
        <v>44</v>
      </c>
      <c r="C604" s="57" t="s">
        <v>25</v>
      </c>
      <c r="D604" s="58" t="s">
        <v>29</v>
      </c>
      <c r="E604" s="62">
        <v>1.1999999999999995E-3</v>
      </c>
      <c r="F604" s="65">
        <f t="shared" si="282"/>
        <v>-6.7254337221881828</v>
      </c>
      <c r="S604" s="40">
        <f t="shared" si="255"/>
        <v>0</v>
      </c>
      <c r="T604" s="40">
        <f t="shared" si="256"/>
        <v>0</v>
      </c>
      <c r="U604" s="40">
        <f t="shared" si="257"/>
        <v>0</v>
      </c>
      <c r="V604" s="40">
        <f t="shared" si="258"/>
        <v>0</v>
      </c>
      <c r="W604" s="40">
        <f t="shared" si="259"/>
        <v>1</v>
      </c>
      <c r="X604" s="40">
        <f t="shared" si="260"/>
        <v>0</v>
      </c>
      <c r="Y604" s="40">
        <f t="shared" si="261"/>
        <v>0</v>
      </c>
      <c r="Z604" s="40">
        <f t="shared" si="262"/>
        <v>0</v>
      </c>
      <c r="AA604" s="40">
        <f t="shared" si="263"/>
        <v>0</v>
      </c>
      <c r="AB604" s="40">
        <f t="shared" si="264"/>
        <v>1</v>
      </c>
      <c r="AC604" s="40">
        <f t="shared" si="265"/>
        <v>0</v>
      </c>
      <c r="AD604" s="40">
        <f t="shared" si="266"/>
        <v>0</v>
      </c>
      <c r="AE604" s="40">
        <f t="shared" si="267"/>
        <v>0</v>
      </c>
      <c r="AF604" s="40">
        <f t="shared" si="268"/>
        <v>0</v>
      </c>
      <c r="AG604" s="40">
        <f t="shared" si="269"/>
        <v>0</v>
      </c>
      <c r="AH604" s="40">
        <f t="shared" si="270"/>
        <v>1</v>
      </c>
      <c r="AI604" s="40">
        <f t="shared" si="271"/>
        <v>0</v>
      </c>
      <c r="AJ604" s="40">
        <f t="shared" si="272"/>
        <v>0</v>
      </c>
      <c r="AK604" s="40">
        <f t="shared" si="273"/>
        <v>0</v>
      </c>
      <c r="AL604" s="40">
        <f t="shared" si="274"/>
        <v>0</v>
      </c>
      <c r="AM604" s="40">
        <f t="shared" si="275"/>
        <v>0</v>
      </c>
      <c r="AN604" s="40">
        <f t="shared" si="276"/>
        <v>0</v>
      </c>
      <c r="AO604" s="40">
        <f t="shared" si="277"/>
        <v>0</v>
      </c>
      <c r="AP604" s="40">
        <f t="shared" si="278"/>
        <v>0</v>
      </c>
      <c r="AQ604" s="40">
        <f t="shared" si="279"/>
        <v>0</v>
      </c>
      <c r="AR604" s="40">
        <f t="shared" si="280"/>
        <v>0</v>
      </c>
      <c r="AS604" s="40">
        <f t="shared" si="281"/>
        <v>0</v>
      </c>
    </row>
    <row r="605" spans="2:45" ht="14.4" customHeight="1" x14ac:dyDescent="0.25">
      <c r="B605" s="56" t="s">
        <v>44</v>
      </c>
      <c r="C605" s="57" t="s">
        <v>25</v>
      </c>
      <c r="D605" s="58" t="s">
        <v>27</v>
      </c>
      <c r="E605" s="62">
        <v>1.5719999999999998E-2</v>
      </c>
      <c r="F605" s="65">
        <f t="shared" si="282"/>
        <v>-4.1528214919810766</v>
      </c>
      <c r="S605" s="40">
        <f t="shared" si="255"/>
        <v>0</v>
      </c>
      <c r="T605" s="40">
        <f t="shared" si="256"/>
        <v>0</v>
      </c>
      <c r="U605" s="40">
        <f t="shared" si="257"/>
        <v>0</v>
      </c>
      <c r="V605" s="40">
        <f t="shared" si="258"/>
        <v>0</v>
      </c>
      <c r="W605" s="40">
        <f t="shared" si="259"/>
        <v>1</v>
      </c>
      <c r="X605" s="40">
        <f t="shared" si="260"/>
        <v>0</v>
      </c>
      <c r="Y605" s="40">
        <f t="shared" si="261"/>
        <v>0</v>
      </c>
      <c r="Z605" s="40">
        <f t="shared" si="262"/>
        <v>0</v>
      </c>
      <c r="AA605" s="40">
        <f t="shared" si="263"/>
        <v>0</v>
      </c>
      <c r="AB605" s="40">
        <f t="shared" si="264"/>
        <v>1</v>
      </c>
      <c r="AC605" s="40">
        <f t="shared" si="265"/>
        <v>0</v>
      </c>
      <c r="AD605" s="40">
        <f t="shared" si="266"/>
        <v>0</v>
      </c>
      <c r="AE605" s="40">
        <f t="shared" si="267"/>
        <v>0</v>
      </c>
      <c r="AF605" s="40">
        <f t="shared" si="268"/>
        <v>0</v>
      </c>
      <c r="AG605" s="40">
        <f t="shared" si="269"/>
        <v>0</v>
      </c>
      <c r="AH605" s="40">
        <f t="shared" si="270"/>
        <v>1</v>
      </c>
      <c r="AI605" s="40">
        <f t="shared" si="271"/>
        <v>0</v>
      </c>
      <c r="AJ605" s="40">
        <f t="shared" si="272"/>
        <v>0</v>
      </c>
      <c r="AK605" s="40">
        <f t="shared" si="273"/>
        <v>0</v>
      </c>
      <c r="AL605" s="40">
        <f t="shared" si="274"/>
        <v>0</v>
      </c>
      <c r="AM605" s="40">
        <f t="shared" si="275"/>
        <v>0</v>
      </c>
      <c r="AN605" s="40">
        <f t="shared" si="276"/>
        <v>0</v>
      </c>
      <c r="AO605" s="40">
        <f t="shared" si="277"/>
        <v>0</v>
      </c>
      <c r="AP605" s="40">
        <f t="shared" si="278"/>
        <v>0</v>
      </c>
      <c r="AQ605" s="40">
        <f t="shared" si="279"/>
        <v>0</v>
      </c>
      <c r="AR605" s="40">
        <f t="shared" si="280"/>
        <v>0</v>
      </c>
      <c r="AS605" s="40">
        <f t="shared" si="281"/>
        <v>0</v>
      </c>
    </row>
    <row r="606" spans="2:45" ht="14.4" customHeight="1" x14ac:dyDescent="0.25">
      <c r="B606" s="56" t="s">
        <v>44</v>
      </c>
      <c r="C606" s="57" t="s">
        <v>25</v>
      </c>
      <c r="D606" s="58" t="s">
        <v>27</v>
      </c>
      <c r="E606" s="62">
        <v>2.2229999999999996E-2</v>
      </c>
      <c r="F606" s="65">
        <f t="shared" si="282"/>
        <v>-3.8063125510060321</v>
      </c>
      <c r="S606" s="40">
        <f t="shared" si="255"/>
        <v>0</v>
      </c>
      <c r="T606" s="40">
        <f t="shared" si="256"/>
        <v>0</v>
      </c>
      <c r="U606" s="40">
        <f t="shared" si="257"/>
        <v>0</v>
      </c>
      <c r="V606" s="40">
        <f t="shared" si="258"/>
        <v>0</v>
      </c>
      <c r="W606" s="40">
        <f t="shared" si="259"/>
        <v>1</v>
      </c>
      <c r="X606" s="40">
        <f t="shared" si="260"/>
        <v>0</v>
      </c>
      <c r="Y606" s="40">
        <f t="shared" si="261"/>
        <v>0</v>
      </c>
      <c r="Z606" s="40">
        <f t="shared" si="262"/>
        <v>0</v>
      </c>
      <c r="AA606" s="40">
        <f t="shared" si="263"/>
        <v>0</v>
      </c>
      <c r="AB606" s="40">
        <f t="shared" si="264"/>
        <v>1</v>
      </c>
      <c r="AC606" s="40">
        <f t="shared" si="265"/>
        <v>0</v>
      </c>
      <c r="AD606" s="40">
        <f t="shared" si="266"/>
        <v>0</v>
      </c>
      <c r="AE606" s="40">
        <f t="shared" si="267"/>
        <v>0</v>
      </c>
      <c r="AF606" s="40">
        <f t="shared" si="268"/>
        <v>0</v>
      </c>
      <c r="AG606" s="40">
        <f t="shared" si="269"/>
        <v>0</v>
      </c>
      <c r="AH606" s="40">
        <f t="shared" si="270"/>
        <v>0</v>
      </c>
      <c r="AI606" s="40">
        <f t="shared" si="271"/>
        <v>0</v>
      </c>
      <c r="AJ606" s="40">
        <f t="shared" si="272"/>
        <v>0</v>
      </c>
      <c r="AK606" s="40">
        <f t="shared" si="273"/>
        <v>0</v>
      </c>
      <c r="AL606" s="40">
        <f t="shared" si="274"/>
        <v>0</v>
      </c>
      <c r="AM606" s="40">
        <f t="shared" si="275"/>
        <v>0</v>
      </c>
      <c r="AN606" s="40">
        <f t="shared" si="276"/>
        <v>0</v>
      </c>
      <c r="AO606" s="40">
        <f t="shared" si="277"/>
        <v>0</v>
      </c>
      <c r="AP606" s="40">
        <f t="shared" si="278"/>
        <v>0</v>
      </c>
      <c r="AQ606" s="40">
        <f t="shared" si="279"/>
        <v>0</v>
      </c>
      <c r="AR606" s="40">
        <f t="shared" si="280"/>
        <v>1</v>
      </c>
      <c r="AS606" s="40">
        <f t="shared" si="281"/>
        <v>0</v>
      </c>
    </row>
    <row r="607" spans="2:45" ht="14.4" customHeight="1" x14ac:dyDescent="0.25">
      <c r="B607" s="56" t="s">
        <v>44</v>
      </c>
      <c r="C607" s="57" t="s">
        <v>25</v>
      </c>
      <c r="D607" s="58" t="s">
        <v>33</v>
      </c>
      <c r="E607" s="62">
        <v>1.0259999999999997E-2</v>
      </c>
      <c r="F607" s="65">
        <f t="shared" si="282"/>
        <v>-4.5795024392395138</v>
      </c>
      <c r="S607" s="40">
        <f t="shared" si="255"/>
        <v>0</v>
      </c>
      <c r="T607" s="40">
        <f t="shared" si="256"/>
        <v>0</v>
      </c>
      <c r="U607" s="40">
        <f t="shared" si="257"/>
        <v>0</v>
      </c>
      <c r="V607" s="40">
        <f t="shared" si="258"/>
        <v>0</v>
      </c>
      <c r="W607" s="40">
        <f t="shared" si="259"/>
        <v>1</v>
      </c>
      <c r="X607" s="40">
        <f t="shared" si="260"/>
        <v>0</v>
      </c>
      <c r="Y607" s="40">
        <f t="shared" si="261"/>
        <v>0</v>
      </c>
      <c r="Z607" s="40">
        <f t="shared" si="262"/>
        <v>0</v>
      </c>
      <c r="AA607" s="40">
        <f t="shared" si="263"/>
        <v>0</v>
      </c>
      <c r="AB607" s="40">
        <f t="shared" si="264"/>
        <v>1</v>
      </c>
      <c r="AC607" s="40">
        <f t="shared" si="265"/>
        <v>0</v>
      </c>
      <c r="AD607" s="40">
        <f t="shared" si="266"/>
        <v>0</v>
      </c>
      <c r="AE607" s="40">
        <f t="shared" si="267"/>
        <v>0</v>
      </c>
      <c r="AF607" s="40">
        <f t="shared" si="268"/>
        <v>0</v>
      </c>
      <c r="AG607" s="40">
        <f t="shared" si="269"/>
        <v>0</v>
      </c>
      <c r="AH607" s="40">
        <f t="shared" si="270"/>
        <v>0</v>
      </c>
      <c r="AI607" s="40">
        <f t="shared" si="271"/>
        <v>0</v>
      </c>
      <c r="AJ607" s="40">
        <f t="shared" si="272"/>
        <v>0</v>
      </c>
      <c r="AK607" s="40">
        <f t="shared" si="273"/>
        <v>0</v>
      </c>
      <c r="AL607" s="40">
        <f t="shared" si="274"/>
        <v>0</v>
      </c>
      <c r="AM607" s="40">
        <f t="shared" si="275"/>
        <v>0</v>
      </c>
      <c r="AN607" s="40">
        <f t="shared" si="276"/>
        <v>0</v>
      </c>
      <c r="AO607" s="40">
        <f t="shared" si="277"/>
        <v>0</v>
      </c>
      <c r="AP607" s="40">
        <f t="shared" si="278"/>
        <v>0</v>
      </c>
      <c r="AQ607" s="40">
        <f t="shared" si="279"/>
        <v>0</v>
      </c>
      <c r="AR607" s="40">
        <f t="shared" si="280"/>
        <v>1</v>
      </c>
      <c r="AS607" s="40">
        <f t="shared" si="281"/>
        <v>0</v>
      </c>
    </row>
    <row r="608" spans="2:45" ht="14.4" customHeight="1" x14ac:dyDescent="0.25">
      <c r="B608" s="56" t="s">
        <v>44</v>
      </c>
      <c r="C608" s="57" t="s">
        <v>25</v>
      </c>
      <c r="D608" s="58" t="s">
        <v>33</v>
      </c>
      <c r="E608" s="62">
        <v>6.3699999999999981E-3</v>
      </c>
      <c r="F608" s="65">
        <f t="shared" si="282"/>
        <v>-5.0561558093980654</v>
      </c>
      <c r="S608" s="40">
        <f t="shared" si="255"/>
        <v>0</v>
      </c>
      <c r="T608" s="40">
        <f t="shared" si="256"/>
        <v>0</v>
      </c>
      <c r="U608" s="40">
        <f t="shared" si="257"/>
        <v>0</v>
      </c>
      <c r="V608" s="40">
        <f t="shared" si="258"/>
        <v>0</v>
      </c>
      <c r="W608" s="40">
        <f t="shared" si="259"/>
        <v>1</v>
      </c>
      <c r="X608" s="40">
        <f t="shared" si="260"/>
        <v>0</v>
      </c>
      <c r="Y608" s="40">
        <f t="shared" si="261"/>
        <v>0</v>
      </c>
      <c r="Z608" s="40">
        <f t="shared" si="262"/>
        <v>0</v>
      </c>
      <c r="AA608" s="40">
        <f t="shared" si="263"/>
        <v>0</v>
      </c>
      <c r="AB608" s="40">
        <f t="shared" si="264"/>
        <v>1</v>
      </c>
      <c r="AC608" s="40">
        <f t="shared" si="265"/>
        <v>0</v>
      </c>
      <c r="AD608" s="40">
        <f t="shared" si="266"/>
        <v>0</v>
      </c>
      <c r="AE608" s="40">
        <f t="shared" si="267"/>
        <v>0</v>
      </c>
      <c r="AF608" s="40">
        <f t="shared" si="268"/>
        <v>0</v>
      </c>
      <c r="AG608" s="40">
        <f t="shared" si="269"/>
        <v>0</v>
      </c>
      <c r="AH608" s="40">
        <f t="shared" si="270"/>
        <v>0</v>
      </c>
      <c r="AI608" s="40">
        <f t="shared" si="271"/>
        <v>0</v>
      </c>
      <c r="AJ608" s="40">
        <f t="shared" si="272"/>
        <v>0</v>
      </c>
      <c r="AK608" s="40">
        <f t="shared" si="273"/>
        <v>0</v>
      </c>
      <c r="AL608" s="40">
        <f t="shared" si="274"/>
        <v>0</v>
      </c>
      <c r="AM608" s="40">
        <f t="shared" si="275"/>
        <v>1</v>
      </c>
      <c r="AN608" s="40">
        <f t="shared" si="276"/>
        <v>0</v>
      </c>
      <c r="AO608" s="40">
        <f t="shared" si="277"/>
        <v>0</v>
      </c>
      <c r="AP608" s="40">
        <f t="shared" si="278"/>
        <v>0</v>
      </c>
      <c r="AQ608" s="40">
        <f t="shared" si="279"/>
        <v>0</v>
      </c>
      <c r="AR608" s="40">
        <f t="shared" si="280"/>
        <v>0</v>
      </c>
      <c r="AS608" s="40">
        <f t="shared" si="281"/>
        <v>0</v>
      </c>
    </row>
    <row r="609" spans="2:45" ht="14.4" customHeight="1" x14ac:dyDescent="0.25">
      <c r="B609" s="56" t="s">
        <v>44</v>
      </c>
      <c r="C609" s="57" t="s">
        <v>25</v>
      </c>
      <c r="D609" s="58" t="s">
        <v>35</v>
      </c>
      <c r="E609" s="62">
        <v>9.5200000000000024E-3</v>
      </c>
      <c r="F609" s="65">
        <f t="shared" si="282"/>
        <v>-4.6543604301788628</v>
      </c>
      <c r="S609" s="40">
        <f t="shared" si="255"/>
        <v>0</v>
      </c>
      <c r="T609" s="40">
        <f t="shared" si="256"/>
        <v>0</v>
      </c>
      <c r="U609" s="40">
        <f t="shared" si="257"/>
        <v>0</v>
      </c>
      <c r="V609" s="40">
        <f t="shared" si="258"/>
        <v>0</v>
      </c>
      <c r="W609" s="40">
        <f t="shared" si="259"/>
        <v>1</v>
      </c>
      <c r="X609" s="40">
        <f t="shared" si="260"/>
        <v>0</v>
      </c>
      <c r="Y609" s="40">
        <f t="shared" si="261"/>
        <v>0</v>
      </c>
      <c r="Z609" s="40">
        <f t="shared" si="262"/>
        <v>0</v>
      </c>
      <c r="AA609" s="40">
        <f t="shared" si="263"/>
        <v>0</v>
      </c>
      <c r="AB609" s="40">
        <f t="shared" si="264"/>
        <v>1</v>
      </c>
      <c r="AC609" s="40">
        <f t="shared" si="265"/>
        <v>0</v>
      </c>
      <c r="AD609" s="40">
        <f t="shared" si="266"/>
        <v>0</v>
      </c>
      <c r="AE609" s="40">
        <f t="shared" si="267"/>
        <v>0</v>
      </c>
      <c r="AF609" s="40">
        <f t="shared" si="268"/>
        <v>0</v>
      </c>
      <c r="AG609" s="40">
        <f t="shared" si="269"/>
        <v>0</v>
      </c>
      <c r="AH609" s="40">
        <f t="shared" si="270"/>
        <v>0</v>
      </c>
      <c r="AI609" s="40">
        <f t="shared" si="271"/>
        <v>0</v>
      </c>
      <c r="AJ609" s="40">
        <f t="shared" si="272"/>
        <v>1</v>
      </c>
      <c r="AK609" s="40">
        <f t="shared" si="273"/>
        <v>0</v>
      </c>
      <c r="AL609" s="40">
        <f t="shared" si="274"/>
        <v>0</v>
      </c>
      <c r="AM609" s="40">
        <f t="shared" si="275"/>
        <v>0</v>
      </c>
      <c r="AN609" s="40">
        <f t="shared" si="276"/>
        <v>0</v>
      </c>
      <c r="AO609" s="40">
        <f t="shared" si="277"/>
        <v>0</v>
      </c>
      <c r="AP609" s="40">
        <f t="shared" si="278"/>
        <v>0</v>
      </c>
      <c r="AQ609" s="40">
        <f t="shared" si="279"/>
        <v>0</v>
      </c>
      <c r="AR609" s="40">
        <f t="shared" si="280"/>
        <v>0</v>
      </c>
      <c r="AS609" s="40">
        <f t="shared" si="281"/>
        <v>0</v>
      </c>
    </row>
    <row r="610" spans="2:45" ht="14.4" customHeight="1" x14ac:dyDescent="0.25">
      <c r="B610" s="56" t="s">
        <v>44</v>
      </c>
      <c r="C610" s="57" t="s">
        <v>25</v>
      </c>
      <c r="D610" s="58" t="s">
        <v>37</v>
      </c>
      <c r="E610" s="62">
        <v>2.8070000000000001E-2</v>
      </c>
      <c r="F610" s="65">
        <f t="shared" si="282"/>
        <v>-3.5730538886083458</v>
      </c>
      <c r="S610" s="40">
        <f t="shared" si="255"/>
        <v>0</v>
      </c>
      <c r="T610" s="40">
        <f t="shared" si="256"/>
        <v>0</v>
      </c>
      <c r="U610" s="40">
        <f t="shared" si="257"/>
        <v>0</v>
      </c>
      <c r="V610" s="40">
        <f t="shared" si="258"/>
        <v>0</v>
      </c>
      <c r="W610" s="40">
        <f t="shared" si="259"/>
        <v>1</v>
      </c>
      <c r="X610" s="40">
        <f t="shared" si="260"/>
        <v>0</v>
      </c>
      <c r="Y610" s="40">
        <f t="shared" si="261"/>
        <v>0</v>
      </c>
      <c r="Z610" s="40">
        <f t="shared" si="262"/>
        <v>0</v>
      </c>
      <c r="AA610" s="40">
        <f t="shared" si="263"/>
        <v>0</v>
      </c>
      <c r="AB610" s="40">
        <f t="shared" si="264"/>
        <v>1</v>
      </c>
      <c r="AC610" s="40">
        <f t="shared" si="265"/>
        <v>0</v>
      </c>
      <c r="AD610" s="40">
        <f t="shared" si="266"/>
        <v>0</v>
      </c>
      <c r="AE610" s="40">
        <f t="shared" si="267"/>
        <v>0</v>
      </c>
      <c r="AF610" s="40">
        <f t="shared" si="268"/>
        <v>0</v>
      </c>
      <c r="AG610" s="40">
        <f t="shared" si="269"/>
        <v>0</v>
      </c>
      <c r="AH610" s="40">
        <f t="shared" si="270"/>
        <v>0</v>
      </c>
      <c r="AI610" s="40">
        <f t="shared" si="271"/>
        <v>1</v>
      </c>
      <c r="AJ610" s="40">
        <f t="shared" si="272"/>
        <v>0</v>
      </c>
      <c r="AK610" s="40">
        <f t="shared" si="273"/>
        <v>0</v>
      </c>
      <c r="AL610" s="40">
        <f t="shared" si="274"/>
        <v>0</v>
      </c>
      <c r="AM610" s="40">
        <f t="shared" si="275"/>
        <v>0</v>
      </c>
      <c r="AN610" s="40">
        <f t="shared" si="276"/>
        <v>0</v>
      </c>
      <c r="AO610" s="40">
        <f t="shared" si="277"/>
        <v>0</v>
      </c>
      <c r="AP610" s="40">
        <f t="shared" si="278"/>
        <v>0</v>
      </c>
      <c r="AQ610" s="40">
        <f t="shared" si="279"/>
        <v>0</v>
      </c>
      <c r="AR610" s="40">
        <f t="shared" si="280"/>
        <v>0</v>
      </c>
      <c r="AS610" s="40">
        <f t="shared" si="281"/>
        <v>0</v>
      </c>
    </row>
    <row r="611" spans="2:45" ht="14.4" customHeight="1" x14ac:dyDescent="0.25">
      <c r="B611" s="56" t="s">
        <v>44</v>
      </c>
      <c r="C611" s="57" t="s">
        <v>25</v>
      </c>
      <c r="D611" s="58" t="s">
        <v>28</v>
      </c>
      <c r="E611" s="62">
        <v>1.4599999999999998E-2</v>
      </c>
      <c r="F611" s="65">
        <f t="shared" si="282"/>
        <v>-4.2267337502678464</v>
      </c>
      <c r="S611" s="40">
        <f t="shared" si="255"/>
        <v>0</v>
      </c>
      <c r="T611" s="40">
        <f t="shared" si="256"/>
        <v>0</v>
      </c>
      <c r="U611" s="40">
        <f t="shared" si="257"/>
        <v>0</v>
      </c>
      <c r="V611" s="40">
        <f t="shared" si="258"/>
        <v>0</v>
      </c>
      <c r="W611" s="40">
        <f t="shared" si="259"/>
        <v>1</v>
      </c>
      <c r="X611" s="40">
        <f t="shared" si="260"/>
        <v>0</v>
      </c>
      <c r="Y611" s="40">
        <f t="shared" si="261"/>
        <v>0</v>
      </c>
      <c r="Z611" s="40">
        <f t="shared" si="262"/>
        <v>0</v>
      </c>
      <c r="AA611" s="40">
        <f t="shared" si="263"/>
        <v>0</v>
      </c>
      <c r="AB611" s="40">
        <f t="shared" si="264"/>
        <v>1</v>
      </c>
      <c r="AC611" s="40">
        <f t="shared" si="265"/>
        <v>0</v>
      </c>
      <c r="AD611" s="40">
        <f t="shared" si="266"/>
        <v>0</v>
      </c>
      <c r="AE611" s="40">
        <f t="shared" si="267"/>
        <v>0</v>
      </c>
      <c r="AF611" s="40">
        <f t="shared" si="268"/>
        <v>0</v>
      </c>
      <c r="AG611" s="40">
        <f t="shared" si="269"/>
        <v>0</v>
      </c>
      <c r="AH611" s="40">
        <f t="shared" si="270"/>
        <v>0</v>
      </c>
      <c r="AI611" s="40">
        <f t="shared" si="271"/>
        <v>0</v>
      </c>
      <c r="AJ611" s="40">
        <f t="shared" si="272"/>
        <v>0</v>
      </c>
      <c r="AK611" s="40">
        <f t="shared" si="273"/>
        <v>1</v>
      </c>
      <c r="AL611" s="40">
        <f t="shared" si="274"/>
        <v>0</v>
      </c>
      <c r="AM611" s="40">
        <f t="shared" si="275"/>
        <v>0</v>
      </c>
      <c r="AN611" s="40">
        <f t="shared" si="276"/>
        <v>0</v>
      </c>
      <c r="AO611" s="40">
        <f t="shared" si="277"/>
        <v>0</v>
      </c>
      <c r="AP611" s="40">
        <f t="shared" si="278"/>
        <v>0</v>
      </c>
      <c r="AQ611" s="40">
        <f t="shared" si="279"/>
        <v>0</v>
      </c>
      <c r="AR611" s="40">
        <f t="shared" si="280"/>
        <v>0</v>
      </c>
      <c r="AS611" s="40">
        <f t="shared" si="281"/>
        <v>0</v>
      </c>
    </row>
    <row r="612" spans="2:45" ht="14.4" customHeight="1" x14ac:dyDescent="0.25">
      <c r="B612" s="56" t="s">
        <v>44</v>
      </c>
      <c r="C612" s="57" t="s">
        <v>25</v>
      </c>
      <c r="D612" s="58" t="s">
        <v>32</v>
      </c>
      <c r="E612" s="62">
        <v>1.4400000000000001E-2</v>
      </c>
      <c r="F612" s="65">
        <f t="shared" si="282"/>
        <v>-4.240527072400182</v>
      </c>
      <c r="S612" s="40">
        <f t="shared" si="255"/>
        <v>0</v>
      </c>
      <c r="T612" s="40">
        <f t="shared" si="256"/>
        <v>0</v>
      </c>
      <c r="U612" s="40">
        <f t="shared" si="257"/>
        <v>0</v>
      </c>
      <c r="V612" s="40">
        <f t="shared" si="258"/>
        <v>0</v>
      </c>
      <c r="W612" s="40">
        <f t="shared" si="259"/>
        <v>1</v>
      </c>
      <c r="X612" s="40">
        <f t="shared" si="260"/>
        <v>0</v>
      </c>
      <c r="Y612" s="40">
        <f t="shared" si="261"/>
        <v>0</v>
      </c>
      <c r="Z612" s="40">
        <f t="shared" si="262"/>
        <v>0</v>
      </c>
      <c r="AA612" s="40">
        <f t="shared" si="263"/>
        <v>0</v>
      </c>
      <c r="AB612" s="40">
        <f t="shared" si="264"/>
        <v>1</v>
      </c>
      <c r="AC612" s="40">
        <f t="shared" si="265"/>
        <v>0</v>
      </c>
      <c r="AD612" s="40">
        <f t="shared" si="266"/>
        <v>0</v>
      </c>
      <c r="AE612" s="40">
        <f t="shared" si="267"/>
        <v>0</v>
      </c>
      <c r="AF612" s="40">
        <f t="shared" si="268"/>
        <v>0</v>
      </c>
      <c r="AG612" s="40">
        <f t="shared" si="269"/>
        <v>0</v>
      </c>
      <c r="AH612" s="40">
        <f t="shared" si="270"/>
        <v>0</v>
      </c>
      <c r="AI612" s="40">
        <f t="shared" si="271"/>
        <v>0</v>
      </c>
      <c r="AJ612" s="40">
        <f t="shared" si="272"/>
        <v>1</v>
      </c>
      <c r="AK612" s="40">
        <f t="shared" si="273"/>
        <v>0</v>
      </c>
      <c r="AL612" s="40">
        <f t="shared" si="274"/>
        <v>0</v>
      </c>
      <c r="AM612" s="40">
        <f t="shared" si="275"/>
        <v>0</v>
      </c>
      <c r="AN612" s="40">
        <f t="shared" si="276"/>
        <v>0</v>
      </c>
      <c r="AO612" s="40">
        <f t="shared" si="277"/>
        <v>0</v>
      </c>
      <c r="AP612" s="40">
        <f t="shared" si="278"/>
        <v>0</v>
      </c>
      <c r="AQ612" s="40">
        <f t="shared" si="279"/>
        <v>0</v>
      </c>
      <c r="AR612" s="40">
        <f t="shared" si="280"/>
        <v>0</v>
      </c>
      <c r="AS612" s="40">
        <f t="shared" si="281"/>
        <v>0</v>
      </c>
    </row>
    <row r="613" spans="2:45" ht="14.4" customHeight="1" x14ac:dyDescent="0.25">
      <c r="B613" s="56" t="s">
        <v>44</v>
      </c>
      <c r="C613" s="57" t="s">
        <v>25</v>
      </c>
      <c r="D613" s="58" t="s">
        <v>37</v>
      </c>
      <c r="E613" s="62">
        <v>4.9699999999999996E-3</v>
      </c>
      <c r="F613" s="65">
        <f t="shared" si="282"/>
        <v>-5.3043354388735997</v>
      </c>
      <c r="S613" s="40">
        <f t="shared" si="255"/>
        <v>0</v>
      </c>
      <c r="T613" s="40">
        <f t="shared" si="256"/>
        <v>0</v>
      </c>
      <c r="U613" s="40">
        <f t="shared" si="257"/>
        <v>0</v>
      </c>
      <c r="V613" s="40">
        <f t="shared" si="258"/>
        <v>0</v>
      </c>
      <c r="W613" s="40">
        <f t="shared" si="259"/>
        <v>1</v>
      </c>
      <c r="X613" s="40">
        <f t="shared" si="260"/>
        <v>0</v>
      </c>
      <c r="Y613" s="40">
        <f t="shared" si="261"/>
        <v>0</v>
      </c>
      <c r="Z613" s="40">
        <f t="shared" si="262"/>
        <v>0</v>
      </c>
      <c r="AA613" s="40">
        <f t="shared" si="263"/>
        <v>0</v>
      </c>
      <c r="AB613" s="40">
        <f t="shared" si="264"/>
        <v>1</v>
      </c>
      <c r="AC613" s="40">
        <f t="shared" si="265"/>
        <v>0</v>
      </c>
      <c r="AD613" s="40">
        <f t="shared" si="266"/>
        <v>0</v>
      </c>
      <c r="AE613" s="40">
        <f t="shared" si="267"/>
        <v>0</v>
      </c>
      <c r="AF613" s="40">
        <f t="shared" si="268"/>
        <v>0</v>
      </c>
      <c r="AG613" s="40">
        <f t="shared" si="269"/>
        <v>0</v>
      </c>
      <c r="AH613" s="40">
        <f t="shared" si="270"/>
        <v>0</v>
      </c>
      <c r="AI613" s="40">
        <f t="shared" si="271"/>
        <v>0</v>
      </c>
      <c r="AJ613" s="40">
        <f t="shared" si="272"/>
        <v>1</v>
      </c>
      <c r="AK613" s="40">
        <f t="shared" si="273"/>
        <v>0</v>
      </c>
      <c r="AL613" s="40">
        <f t="shared" si="274"/>
        <v>0</v>
      </c>
      <c r="AM613" s="40">
        <f t="shared" si="275"/>
        <v>0</v>
      </c>
      <c r="AN613" s="40">
        <f t="shared" si="276"/>
        <v>0</v>
      </c>
      <c r="AO613" s="40">
        <f t="shared" si="277"/>
        <v>0</v>
      </c>
      <c r="AP613" s="40">
        <f t="shared" si="278"/>
        <v>0</v>
      </c>
      <c r="AQ613" s="40">
        <f t="shared" si="279"/>
        <v>0</v>
      </c>
      <c r="AR613" s="40">
        <f t="shared" si="280"/>
        <v>0</v>
      </c>
      <c r="AS613" s="40">
        <f t="shared" si="281"/>
        <v>0</v>
      </c>
    </row>
    <row r="614" spans="2:45" ht="14.4" customHeight="1" x14ac:dyDescent="0.25">
      <c r="B614" s="56" t="s">
        <v>44</v>
      </c>
      <c r="C614" s="57" t="s">
        <v>25</v>
      </c>
      <c r="D614" s="58" t="s">
        <v>37</v>
      </c>
      <c r="E614" s="62">
        <v>1.5280000000000002E-2</v>
      </c>
      <c r="F614" s="65">
        <f t="shared" si="282"/>
        <v>-4.1812104952437625</v>
      </c>
      <c r="S614" s="40">
        <f t="shared" si="255"/>
        <v>0</v>
      </c>
      <c r="T614" s="40">
        <f t="shared" si="256"/>
        <v>0</v>
      </c>
      <c r="U614" s="40">
        <f t="shared" si="257"/>
        <v>0</v>
      </c>
      <c r="V614" s="40">
        <f t="shared" si="258"/>
        <v>0</v>
      </c>
      <c r="W614" s="40">
        <f t="shared" si="259"/>
        <v>1</v>
      </c>
      <c r="X614" s="40">
        <f t="shared" si="260"/>
        <v>0</v>
      </c>
      <c r="Y614" s="40">
        <f t="shared" si="261"/>
        <v>0</v>
      </c>
      <c r="Z614" s="40">
        <f t="shared" si="262"/>
        <v>0</v>
      </c>
      <c r="AA614" s="40">
        <f t="shared" si="263"/>
        <v>0</v>
      </c>
      <c r="AB614" s="40">
        <f t="shared" si="264"/>
        <v>0</v>
      </c>
      <c r="AC614" s="40">
        <f t="shared" si="265"/>
        <v>0</v>
      </c>
      <c r="AD614" s="40">
        <f t="shared" si="266"/>
        <v>0</v>
      </c>
      <c r="AE614" s="40">
        <f t="shared" si="267"/>
        <v>1</v>
      </c>
      <c r="AF614" s="40">
        <f t="shared" si="268"/>
        <v>0</v>
      </c>
      <c r="AG614" s="40">
        <f t="shared" si="269"/>
        <v>0</v>
      </c>
      <c r="AH614" s="40">
        <f t="shared" si="270"/>
        <v>0</v>
      </c>
      <c r="AI614" s="40">
        <f t="shared" si="271"/>
        <v>0</v>
      </c>
      <c r="AJ614" s="40">
        <f t="shared" si="272"/>
        <v>0</v>
      </c>
      <c r="AK614" s="40">
        <f t="shared" si="273"/>
        <v>0</v>
      </c>
      <c r="AL614" s="40">
        <f t="shared" si="274"/>
        <v>1</v>
      </c>
      <c r="AM614" s="40">
        <f t="shared" si="275"/>
        <v>0</v>
      </c>
      <c r="AN614" s="40">
        <f t="shared" si="276"/>
        <v>0</v>
      </c>
      <c r="AO614" s="40">
        <f t="shared" si="277"/>
        <v>0</v>
      </c>
      <c r="AP614" s="40">
        <f t="shared" si="278"/>
        <v>0</v>
      </c>
      <c r="AQ614" s="40">
        <f t="shared" si="279"/>
        <v>0</v>
      </c>
      <c r="AR614" s="40">
        <f t="shared" si="280"/>
        <v>0</v>
      </c>
      <c r="AS614" s="40">
        <f t="shared" si="281"/>
        <v>0</v>
      </c>
    </row>
    <row r="615" spans="2:45" ht="14.4" customHeight="1" x14ac:dyDescent="0.25">
      <c r="B615" s="56" t="s">
        <v>44</v>
      </c>
      <c r="C615" s="57" t="s">
        <v>34</v>
      </c>
      <c r="D615" s="58" t="s">
        <v>24</v>
      </c>
      <c r="E615" s="62">
        <v>1.5739999999999997E-2</v>
      </c>
      <c r="F615" s="65">
        <f t="shared" si="282"/>
        <v>-4.1515500359928801</v>
      </c>
      <c r="S615" s="40">
        <f t="shared" si="255"/>
        <v>0</v>
      </c>
      <c r="T615" s="40">
        <f t="shared" si="256"/>
        <v>0</v>
      </c>
      <c r="U615" s="40">
        <f t="shared" si="257"/>
        <v>0</v>
      </c>
      <c r="V615" s="40">
        <f t="shared" si="258"/>
        <v>0</v>
      </c>
      <c r="W615" s="40">
        <f t="shared" si="259"/>
        <v>1</v>
      </c>
      <c r="X615" s="40">
        <f t="shared" si="260"/>
        <v>0</v>
      </c>
      <c r="Y615" s="40">
        <f t="shared" si="261"/>
        <v>0</v>
      </c>
      <c r="Z615" s="40">
        <f t="shared" si="262"/>
        <v>0</v>
      </c>
      <c r="AA615" s="40">
        <f t="shared" si="263"/>
        <v>0</v>
      </c>
      <c r="AB615" s="40">
        <f t="shared" si="264"/>
        <v>0</v>
      </c>
      <c r="AC615" s="40">
        <f t="shared" si="265"/>
        <v>0</v>
      </c>
      <c r="AD615" s="40">
        <f t="shared" si="266"/>
        <v>0</v>
      </c>
      <c r="AE615" s="40">
        <f t="shared" si="267"/>
        <v>1</v>
      </c>
      <c r="AF615" s="40">
        <f t="shared" si="268"/>
        <v>0</v>
      </c>
      <c r="AG615" s="40">
        <f t="shared" si="269"/>
        <v>0</v>
      </c>
      <c r="AH615" s="40">
        <f t="shared" si="270"/>
        <v>0</v>
      </c>
      <c r="AI615" s="40">
        <f t="shared" si="271"/>
        <v>0</v>
      </c>
      <c r="AJ615" s="40">
        <f t="shared" si="272"/>
        <v>0</v>
      </c>
      <c r="AK615" s="40">
        <f t="shared" si="273"/>
        <v>0</v>
      </c>
      <c r="AL615" s="40">
        <f t="shared" si="274"/>
        <v>1</v>
      </c>
      <c r="AM615" s="40">
        <f t="shared" si="275"/>
        <v>0</v>
      </c>
      <c r="AN615" s="40">
        <f t="shared" si="276"/>
        <v>0</v>
      </c>
      <c r="AO615" s="40">
        <f t="shared" si="277"/>
        <v>0</v>
      </c>
      <c r="AP615" s="40">
        <f t="shared" si="278"/>
        <v>0</v>
      </c>
      <c r="AQ615" s="40">
        <f t="shared" si="279"/>
        <v>0</v>
      </c>
      <c r="AR615" s="40">
        <f t="shared" si="280"/>
        <v>0</v>
      </c>
      <c r="AS615" s="40">
        <f t="shared" si="281"/>
        <v>0</v>
      </c>
    </row>
    <row r="616" spans="2:45" ht="14.4" customHeight="1" x14ac:dyDescent="0.25">
      <c r="B616" s="56" t="s">
        <v>44</v>
      </c>
      <c r="C616" s="57" t="s">
        <v>34</v>
      </c>
      <c r="D616" s="58" t="s">
        <v>24</v>
      </c>
      <c r="E616" s="62">
        <v>1.4519999999999995E-2</v>
      </c>
      <c r="F616" s="65">
        <f t="shared" si="282"/>
        <v>-4.2322282695854874</v>
      </c>
      <c r="S616" s="40">
        <f t="shared" si="255"/>
        <v>0</v>
      </c>
      <c r="T616" s="40">
        <f t="shared" si="256"/>
        <v>0</v>
      </c>
      <c r="U616" s="40">
        <f t="shared" si="257"/>
        <v>0</v>
      </c>
      <c r="V616" s="40">
        <f t="shared" si="258"/>
        <v>0</v>
      </c>
      <c r="W616" s="40">
        <f t="shared" si="259"/>
        <v>1</v>
      </c>
      <c r="X616" s="40">
        <f t="shared" si="260"/>
        <v>0</v>
      </c>
      <c r="Y616" s="40">
        <f t="shared" si="261"/>
        <v>0</v>
      </c>
      <c r="Z616" s="40">
        <f t="shared" si="262"/>
        <v>0</v>
      </c>
      <c r="AA616" s="40">
        <f t="shared" si="263"/>
        <v>0</v>
      </c>
      <c r="AB616" s="40">
        <f t="shared" si="264"/>
        <v>0</v>
      </c>
      <c r="AC616" s="40">
        <f t="shared" si="265"/>
        <v>0</v>
      </c>
      <c r="AD616" s="40">
        <f t="shared" si="266"/>
        <v>0</v>
      </c>
      <c r="AE616" s="40">
        <f t="shared" si="267"/>
        <v>1</v>
      </c>
      <c r="AF616" s="40">
        <f t="shared" si="268"/>
        <v>0</v>
      </c>
      <c r="AG616" s="40">
        <f t="shared" si="269"/>
        <v>0</v>
      </c>
      <c r="AH616" s="40">
        <f t="shared" si="270"/>
        <v>0</v>
      </c>
      <c r="AI616" s="40">
        <f t="shared" si="271"/>
        <v>0</v>
      </c>
      <c r="AJ616" s="40">
        <f t="shared" si="272"/>
        <v>0</v>
      </c>
      <c r="AK616" s="40">
        <f t="shared" si="273"/>
        <v>0</v>
      </c>
      <c r="AL616" s="40">
        <f t="shared" si="274"/>
        <v>0</v>
      </c>
      <c r="AM616" s="40">
        <f t="shared" si="275"/>
        <v>0</v>
      </c>
      <c r="AN616" s="40">
        <f t="shared" si="276"/>
        <v>0</v>
      </c>
      <c r="AO616" s="40">
        <f t="shared" si="277"/>
        <v>1</v>
      </c>
      <c r="AP616" s="40">
        <f t="shared" si="278"/>
        <v>0</v>
      </c>
      <c r="AQ616" s="40">
        <f t="shared" si="279"/>
        <v>0</v>
      </c>
      <c r="AR616" s="40">
        <f t="shared" si="280"/>
        <v>0</v>
      </c>
      <c r="AS616" s="40">
        <f t="shared" si="281"/>
        <v>0</v>
      </c>
    </row>
    <row r="617" spans="2:45" ht="14.4" customHeight="1" x14ac:dyDescent="0.25">
      <c r="B617" s="56" t="s">
        <v>44</v>
      </c>
      <c r="C617" s="57" t="s">
        <v>34</v>
      </c>
      <c r="D617" s="58" t="s">
        <v>31</v>
      </c>
      <c r="E617" s="62">
        <v>2.4410000000000001E-2</v>
      </c>
      <c r="F617" s="65">
        <f t="shared" si="282"/>
        <v>-3.7127623945772683</v>
      </c>
      <c r="S617" s="40">
        <f t="shared" si="255"/>
        <v>0</v>
      </c>
      <c r="T617" s="40">
        <f t="shared" si="256"/>
        <v>0</v>
      </c>
      <c r="U617" s="40">
        <f t="shared" si="257"/>
        <v>0</v>
      </c>
      <c r="V617" s="40">
        <f t="shared" si="258"/>
        <v>0</v>
      </c>
      <c r="W617" s="40">
        <f t="shared" si="259"/>
        <v>1</v>
      </c>
      <c r="X617" s="40">
        <f t="shared" si="260"/>
        <v>0</v>
      </c>
      <c r="Y617" s="40">
        <f t="shared" si="261"/>
        <v>0</v>
      </c>
      <c r="Z617" s="40">
        <f t="shared" si="262"/>
        <v>0</v>
      </c>
      <c r="AA617" s="40">
        <f t="shared" si="263"/>
        <v>0</v>
      </c>
      <c r="AB617" s="40">
        <f t="shared" si="264"/>
        <v>1</v>
      </c>
      <c r="AC617" s="40">
        <f t="shared" si="265"/>
        <v>0</v>
      </c>
      <c r="AD617" s="40">
        <f t="shared" si="266"/>
        <v>0</v>
      </c>
      <c r="AE617" s="40">
        <f t="shared" si="267"/>
        <v>0</v>
      </c>
      <c r="AF617" s="40">
        <f t="shared" si="268"/>
        <v>0</v>
      </c>
      <c r="AG617" s="40">
        <f t="shared" si="269"/>
        <v>0</v>
      </c>
      <c r="AH617" s="40">
        <f t="shared" si="270"/>
        <v>0</v>
      </c>
      <c r="AI617" s="40">
        <f t="shared" si="271"/>
        <v>0</v>
      </c>
      <c r="AJ617" s="40">
        <f t="shared" si="272"/>
        <v>0</v>
      </c>
      <c r="AK617" s="40">
        <f t="shared" si="273"/>
        <v>0</v>
      </c>
      <c r="AL617" s="40">
        <f t="shared" si="274"/>
        <v>0</v>
      </c>
      <c r="AM617" s="40">
        <f t="shared" si="275"/>
        <v>0</v>
      </c>
      <c r="AN617" s="40">
        <f t="shared" si="276"/>
        <v>0</v>
      </c>
      <c r="AO617" s="40">
        <f t="shared" si="277"/>
        <v>0</v>
      </c>
      <c r="AP617" s="40">
        <f t="shared" si="278"/>
        <v>0</v>
      </c>
      <c r="AQ617" s="40">
        <f t="shared" si="279"/>
        <v>0</v>
      </c>
      <c r="AR617" s="40">
        <f t="shared" si="280"/>
        <v>1</v>
      </c>
      <c r="AS617" s="40">
        <f t="shared" si="281"/>
        <v>0</v>
      </c>
    </row>
    <row r="618" spans="2:45" ht="14.4" customHeight="1" x14ac:dyDescent="0.25">
      <c r="B618" s="56" t="s">
        <v>44</v>
      </c>
      <c r="C618" s="57" t="s">
        <v>25</v>
      </c>
      <c r="D618" s="58" t="s">
        <v>33</v>
      </c>
      <c r="E618" s="62">
        <v>1.8169999999999995E-2</v>
      </c>
      <c r="F618" s="65">
        <f t="shared" si="282"/>
        <v>-4.0079833965740574</v>
      </c>
      <c r="S618" s="40">
        <f t="shared" si="255"/>
        <v>0</v>
      </c>
      <c r="T618" s="40">
        <f t="shared" si="256"/>
        <v>0</v>
      </c>
      <c r="U618" s="40">
        <f t="shared" si="257"/>
        <v>0</v>
      </c>
      <c r="V618" s="40">
        <f t="shared" si="258"/>
        <v>0</v>
      </c>
      <c r="W618" s="40">
        <f t="shared" si="259"/>
        <v>1</v>
      </c>
      <c r="X618" s="40">
        <f t="shared" si="260"/>
        <v>0</v>
      </c>
      <c r="Y618" s="40">
        <f t="shared" si="261"/>
        <v>0</v>
      </c>
      <c r="Z618" s="40">
        <f t="shared" si="262"/>
        <v>0</v>
      </c>
      <c r="AA618" s="40">
        <f t="shared" si="263"/>
        <v>0</v>
      </c>
      <c r="AB618" s="40">
        <f t="shared" si="264"/>
        <v>1</v>
      </c>
      <c r="AC618" s="40">
        <f t="shared" si="265"/>
        <v>0</v>
      </c>
      <c r="AD618" s="40">
        <f t="shared" si="266"/>
        <v>0</v>
      </c>
      <c r="AE618" s="40">
        <f t="shared" si="267"/>
        <v>0</v>
      </c>
      <c r="AF618" s="40">
        <f t="shared" si="268"/>
        <v>0</v>
      </c>
      <c r="AG618" s="40">
        <f t="shared" si="269"/>
        <v>0</v>
      </c>
      <c r="AH618" s="40">
        <f t="shared" si="270"/>
        <v>0</v>
      </c>
      <c r="AI618" s="40">
        <f t="shared" si="271"/>
        <v>0</v>
      </c>
      <c r="AJ618" s="40">
        <f t="shared" si="272"/>
        <v>0</v>
      </c>
      <c r="AK618" s="40">
        <f t="shared" si="273"/>
        <v>0</v>
      </c>
      <c r="AL618" s="40">
        <f t="shared" si="274"/>
        <v>0</v>
      </c>
      <c r="AM618" s="40">
        <f t="shared" si="275"/>
        <v>0</v>
      </c>
      <c r="AN618" s="40">
        <f t="shared" si="276"/>
        <v>0</v>
      </c>
      <c r="AO618" s="40">
        <f t="shared" si="277"/>
        <v>1</v>
      </c>
      <c r="AP618" s="40">
        <f t="shared" si="278"/>
        <v>0</v>
      </c>
      <c r="AQ618" s="40">
        <f t="shared" si="279"/>
        <v>0</v>
      </c>
      <c r="AR618" s="40">
        <f t="shared" si="280"/>
        <v>0</v>
      </c>
      <c r="AS618" s="40">
        <f t="shared" si="281"/>
        <v>0</v>
      </c>
    </row>
    <row r="619" spans="2:45" ht="14.4" customHeight="1" x14ac:dyDescent="0.25">
      <c r="B619" s="56" t="s">
        <v>44</v>
      </c>
      <c r="C619" s="57" t="s">
        <v>25</v>
      </c>
      <c r="D619" s="58" t="s">
        <v>31</v>
      </c>
      <c r="E619" s="62">
        <v>9.099999999999997E-3</v>
      </c>
      <c r="F619" s="65">
        <f t="shared" si="282"/>
        <v>-4.699480865459333</v>
      </c>
      <c r="S619" s="40">
        <f t="shared" si="255"/>
        <v>0</v>
      </c>
      <c r="T619" s="40">
        <f t="shared" si="256"/>
        <v>0</v>
      </c>
      <c r="U619" s="40">
        <f t="shared" si="257"/>
        <v>0</v>
      </c>
      <c r="V619" s="40">
        <f t="shared" si="258"/>
        <v>0</v>
      </c>
      <c r="W619" s="40">
        <f t="shared" si="259"/>
        <v>1</v>
      </c>
      <c r="X619" s="40">
        <f t="shared" si="260"/>
        <v>0</v>
      </c>
      <c r="Y619" s="40">
        <f t="shared" si="261"/>
        <v>0</v>
      </c>
      <c r="Z619" s="40">
        <f t="shared" si="262"/>
        <v>0</v>
      </c>
      <c r="AA619" s="40">
        <f t="shared" si="263"/>
        <v>0</v>
      </c>
      <c r="AB619" s="40">
        <f t="shared" si="264"/>
        <v>0</v>
      </c>
      <c r="AC619" s="40">
        <f t="shared" si="265"/>
        <v>0</v>
      </c>
      <c r="AD619" s="40">
        <f t="shared" si="266"/>
        <v>0</v>
      </c>
      <c r="AE619" s="40">
        <f t="shared" si="267"/>
        <v>0</v>
      </c>
      <c r="AF619" s="40">
        <f t="shared" si="268"/>
        <v>1</v>
      </c>
      <c r="AG619" s="40">
        <f t="shared" si="269"/>
        <v>0</v>
      </c>
      <c r="AH619" s="40">
        <f t="shared" si="270"/>
        <v>0</v>
      </c>
      <c r="AI619" s="40">
        <f t="shared" si="271"/>
        <v>0</v>
      </c>
      <c r="AJ619" s="40">
        <f t="shared" si="272"/>
        <v>1</v>
      </c>
      <c r="AK619" s="40">
        <f t="shared" si="273"/>
        <v>0</v>
      </c>
      <c r="AL619" s="40">
        <f t="shared" si="274"/>
        <v>0</v>
      </c>
      <c r="AM619" s="40">
        <f t="shared" si="275"/>
        <v>0</v>
      </c>
      <c r="AN619" s="40">
        <f t="shared" si="276"/>
        <v>0</v>
      </c>
      <c r="AO619" s="40">
        <f t="shared" si="277"/>
        <v>0</v>
      </c>
      <c r="AP619" s="40">
        <f t="shared" si="278"/>
        <v>0</v>
      </c>
      <c r="AQ619" s="40">
        <f t="shared" si="279"/>
        <v>0</v>
      </c>
      <c r="AR619" s="40">
        <f t="shared" si="280"/>
        <v>0</v>
      </c>
      <c r="AS619" s="40">
        <f t="shared" si="281"/>
        <v>0</v>
      </c>
    </row>
    <row r="620" spans="2:45" ht="14.4" customHeight="1" x14ac:dyDescent="0.25">
      <c r="B620" s="56" t="s">
        <v>44</v>
      </c>
      <c r="C620" s="57" t="s">
        <v>26</v>
      </c>
      <c r="D620" s="58" t="s">
        <v>37</v>
      </c>
      <c r="E620" s="62">
        <v>2.3890000000000005E-2</v>
      </c>
      <c r="F620" s="65">
        <f t="shared" si="282"/>
        <v>-3.7342953176444187</v>
      </c>
      <c r="S620" s="40">
        <f t="shared" si="255"/>
        <v>0</v>
      </c>
      <c r="T620" s="40">
        <f t="shared" si="256"/>
        <v>0</v>
      </c>
      <c r="U620" s="40">
        <f t="shared" si="257"/>
        <v>0</v>
      </c>
      <c r="V620" s="40">
        <f t="shared" si="258"/>
        <v>0</v>
      </c>
      <c r="W620" s="40">
        <f t="shared" si="259"/>
        <v>1</v>
      </c>
      <c r="X620" s="40">
        <f t="shared" si="260"/>
        <v>0</v>
      </c>
      <c r="Y620" s="40">
        <f t="shared" si="261"/>
        <v>0</v>
      </c>
      <c r="Z620" s="40">
        <f t="shared" si="262"/>
        <v>0</v>
      </c>
      <c r="AA620" s="40">
        <f t="shared" si="263"/>
        <v>0</v>
      </c>
      <c r="AB620" s="40">
        <f t="shared" si="264"/>
        <v>1</v>
      </c>
      <c r="AC620" s="40">
        <f t="shared" si="265"/>
        <v>0</v>
      </c>
      <c r="AD620" s="40">
        <f t="shared" si="266"/>
        <v>0</v>
      </c>
      <c r="AE620" s="40">
        <f t="shared" si="267"/>
        <v>0</v>
      </c>
      <c r="AF620" s="40">
        <f t="shared" si="268"/>
        <v>0</v>
      </c>
      <c r="AG620" s="40">
        <f t="shared" si="269"/>
        <v>0</v>
      </c>
      <c r="AH620" s="40">
        <f t="shared" si="270"/>
        <v>0</v>
      </c>
      <c r="AI620" s="40">
        <f t="shared" si="271"/>
        <v>0</v>
      </c>
      <c r="AJ620" s="40">
        <f t="shared" si="272"/>
        <v>0</v>
      </c>
      <c r="AK620" s="40">
        <f t="shared" si="273"/>
        <v>0</v>
      </c>
      <c r="AL620" s="40">
        <f t="shared" si="274"/>
        <v>0</v>
      </c>
      <c r="AM620" s="40">
        <f t="shared" si="275"/>
        <v>0</v>
      </c>
      <c r="AN620" s="40">
        <f t="shared" si="276"/>
        <v>0</v>
      </c>
      <c r="AO620" s="40">
        <f t="shared" si="277"/>
        <v>0</v>
      </c>
      <c r="AP620" s="40">
        <f t="shared" si="278"/>
        <v>0</v>
      </c>
      <c r="AQ620" s="40">
        <f t="shared" si="279"/>
        <v>1</v>
      </c>
      <c r="AR620" s="40">
        <f t="shared" si="280"/>
        <v>0</v>
      </c>
      <c r="AS620" s="40">
        <f t="shared" si="281"/>
        <v>0</v>
      </c>
    </row>
    <row r="621" spans="2:45" ht="14.4" customHeight="1" x14ac:dyDescent="0.25">
      <c r="B621" s="56" t="s">
        <v>44</v>
      </c>
      <c r="C621" s="57" t="s">
        <v>25</v>
      </c>
      <c r="D621" s="58" t="s">
        <v>30</v>
      </c>
      <c r="E621" s="62">
        <v>7.5199999999999998E-3</v>
      </c>
      <c r="F621" s="65">
        <f t="shared" si="282"/>
        <v>-4.8901891410203886</v>
      </c>
      <c r="S621" s="40">
        <f t="shared" si="255"/>
        <v>0</v>
      </c>
      <c r="T621" s="40">
        <f t="shared" si="256"/>
        <v>0</v>
      </c>
      <c r="U621" s="40">
        <f t="shared" si="257"/>
        <v>0</v>
      </c>
      <c r="V621" s="40">
        <f t="shared" si="258"/>
        <v>0</v>
      </c>
      <c r="W621" s="40">
        <f t="shared" si="259"/>
        <v>1</v>
      </c>
      <c r="X621" s="40">
        <f t="shared" si="260"/>
        <v>0</v>
      </c>
      <c r="Y621" s="40">
        <f t="shared" si="261"/>
        <v>0</v>
      </c>
      <c r="Z621" s="40">
        <f t="shared" si="262"/>
        <v>0</v>
      </c>
      <c r="AA621" s="40">
        <f t="shared" si="263"/>
        <v>1</v>
      </c>
      <c r="AB621" s="40">
        <f t="shared" si="264"/>
        <v>0</v>
      </c>
      <c r="AC621" s="40">
        <f t="shared" si="265"/>
        <v>0</v>
      </c>
      <c r="AD621" s="40">
        <f t="shared" si="266"/>
        <v>0</v>
      </c>
      <c r="AE621" s="40">
        <f t="shared" si="267"/>
        <v>0</v>
      </c>
      <c r="AF621" s="40">
        <f t="shared" si="268"/>
        <v>0</v>
      </c>
      <c r="AG621" s="40">
        <f t="shared" si="269"/>
        <v>0</v>
      </c>
      <c r="AH621" s="40">
        <f t="shared" si="270"/>
        <v>0</v>
      </c>
      <c r="AI621" s="40">
        <f t="shared" si="271"/>
        <v>0</v>
      </c>
      <c r="AJ621" s="40">
        <f t="shared" si="272"/>
        <v>0</v>
      </c>
      <c r="AK621" s="40">
        <f t="shared" si="273"/>
        <v>0</v>
      </c>
      <c r="AL621" s="40">
        <f t="shared" si="274"/>
        <v>1</v>
      </c>
      <c r="AM621" s="40">
        <f t="shared" si="275"/>
        <v>0</v>
      </c>
      <c r="AN621" s="40">
        <f t="shared" si="276"/>
        <v>0</v>
      </c>
      <c r="AO621" s="40">
        <f t="shared" si="277"/>
        <v>0</v>
      </c>
      <c r="AP621" s="40">
        <f t="shared" si="278"/>
        <v>0</v>
      </c>
      <c r="AQ621" s="40">
        <f t="shared" si="279"/>
        <v>0</v>
      </c>
      <c r="AR621" s="40">
        <f t="shared" si="280"/>
        <v>0</v>
      </c>
      <c r="AS621" s="40">
        <f t="shared" si="281"/>
        <v>0</v>
      </c>
    </row>
    <row r="622" spans="2:45" ht="14.4" customHeight="1" x14ac:dyDescent="0.25">
      <c r="B622" s="56" t="s">
        <v>44</v>
      </c>
      <c r="C622" s="57" t="s">
        <v>39</v>
      </c>
      <c r="D622" s="58" t="s">
        <v>24</v>
      </c>
      <c r="E622" s="62">
        <v>1.0850000000000002E-2</v>
      </c>
      <c r="F622" s="65">
        <f t="shared" si="282"/>
        <v>-4.5235901989956684</v>
      </c>
      <c r="S622" s="40">
        <f t="shared" si="255"/>
        <v>0</v>
      </c>
      <c r="T622" s="40">
        <f t="shared" si="256"/>
        <v>0</v>
      </c>
      <c r="U622" s="40">
        <f t="shared" si="257"/>
        <v>0</v>
      </c>
      <c r="V622" s="40">
        <f t="shared" si="258"/>
        <v>0</v>
      </c>
      <c r="W622" s="40">
        <f t="shared" si="259"/>
        <v>1</v>
      </c>
      <c r="X622" s="40">
        <f t="shared" si="260"/>
        <v>0</v>
      </c>
      <c r="Y622" s="40">
        <f t="shared" si="261"/>
        <v>0</v>
      </c>
      <c r="Z622" s="40">
        <f t="shared" si="262"/>
        <v>0</v>
      </c>
      <c r="AA622" s="40">
        <f t="shared" si="263"/>
        <v>1</v>
      </c>
      <c r="AB622" s="40">
        <f t="shared" si="264"/>
        <v>0</v>
      </c>
      <c r="AC622" s="40">
        <f t="shared" si="265"/>
        <v>0</v>
      </c>
      <c r="AD622" s="40">
        <f t="shared" si="266"/>
        <v>0</v>
      </c>
      <c r="AE622" s="40">
        <f t="shared" si="267"/>
        <v>0</v>
      </c>
      <c r="AF622" s="40">
        <f t="shared" si="268"/>
        <v>0</v>
      </c>
      <c r="AG622" s="40">
        <f t="shared" si="269"/>
        <v>0</v>
      </c>
      <c r="AH622" s="40">
        <f t="shared" si="270"/>
        <v>0</v>
      </c>
      <c r="AI622" s="40">
        <f t="shared" si="271"/>
        <v>0</v>
      </c>
      <c r="AJ622" s="40">
        <f t="shared" si="272"/>
        <v>0</v>
      </c>
      <c r="AK622" s="40">
        <f t="shared" si="273"/>
        <v>0</v>
      </c>
      <c r="AL622" s="40">
        <f t="shared" si="274"/>
        <v>0</v>
      </c>
      <c r="AM622" s="40">
        <f t="shared" si="275"/>
        <v>1</v>
      </c>
      <c r="AN622" s="40">
        <f t="shared" si="276"/>
        <v>0</v>
      </c>
      <c r="AO622" s="40">
        <f t="shared" si="277"/>
        <v>0</v>
      </c>
      <c r="AP622" s="40">
        <f t="shared" si="278"/>
        <v>0</v>
      </c>
      <c r="AQ622" s="40">
        <f t="shared" si="279"/>
        <v>0</v>
      </c>
      <c r="AR622" s="40">
        <f t="shared" si="280"/>
        <v>0</v>
      </c>
      <c r="AS622" s="40">
        <f t="shared" si="281"/>
        <v>0</v>
      </c>
    </row>
    <row r="623" spans="2:45" ht="14.4" customHeight="1" x14ac:dyDescent="0.25">
      <c r="B623" s="56" t="s">
        <v>44</v>
      </c>
      <c r="C623" s="57" t="s">
        <v>39</v>
      </c>
      <c r="D623" s="58" t="s">
        <v>35</v>
      </c>
      <c r="E623" s="62">
        <v>8.0700000000000008E-3</v>
      </c>
      <c r="F623" s="65">
        <f t="shared" si="282"/>
        <v>-4.8196017967002796</v>
      </c>
      <c r="S623" s="40">
        <f t="shared" si="255"/>
        <v>0</v>
      </c>
      <c r="T623" s="40">
        <f t="shared" si="256"/>
        <v>0</v>
      </c>
      <c r="U623" s="40">
        <f t="shared" si="257"/>
        <v>0</v>
      </c>
      <c r="V623" s="40">
        <f t="shared" si="258"/>
        <v>0</v>
      </c>
      <c r="W623" s="40">
        <f t="shared" si="259"/>
        <v>1</v>
      </c>
      <c r="X623" s="40">
        <f t="shared" si="260"/>
        <v>0</v>
      </c>
      <c r="Y623" s="40">
        <f t="shared" si="261"/>
        <v>0</v>
      </c>
      <c r="Z623" s="40">
        <f t="shared" si="262"/>
        <v>0</v>
      </c>
      <c r="AA623" s="40">
        <f t="shared" si="263"/>
        <v>1</v>
      </c>
      <c r="AB623" s="40">
        <f t="shared" si="264"/>
        <v>0</v>
      </c>
      <c r="AC623" s="40">
        <f t="shared" si="265"/>
        <v>0</v>
      </c>
      <c r="AD623" s="40">
        <f t="shared" si="266"/>
        <v>0</v>
      </c>
      <c r="AE623" s="40">
        <f t="shared" si="267"/>
        <v>0</v>
      </c>
      <c r="AF623" s="40">
        <f t="shared" si="268"/>
        <v>0</v>
      </c>
      <c r="AG623" s="40">
        <f t="shared" si="269"/>
        <v>0</v>
      </c>
      <c r="AH623" s="40">
        <f t="shared" si="270"/>
        <v>0</v>
      </c>
      <c r="AI623" s="40">
        <f t="shared" si="271"/>
        <v>0</v>
      </c>
      <c r="AJ623" s="40">
        <f t="shared" si="272"/>
        <v>0</v>
      </c>
      <c r="AK623" s="40">
        <f t="shared" si="273"/>
        <v>0</v>
      </c>
      <c r="AL623" s="40">
        <f t="shared" si="274"/>
        <v>0</v>
      </c>
      <c r="AM623" s="40">
        <f t="shared" si="275"/>
        <v>0</v>
      </c>
      <c r="AN623" s="40">
        <f t="shared" si="276"/>
        <v>0</v>
      </c>
      <c r="AO623" s="40">
        <f t="shared" si="277"/>
        <v>0</v>
      </c>
      <c r="AP623" s="40">
        <f t="shared" si="278"/>
        <v>0</v>
      </c>
      <c r="AQ623" s="40">
        <f t="shared" si="279"/>
        <v>0</v>
      </c>
      <c r="AR623" s="40">
        <f t="shared" si="280"/>
        <v>1</v>
      </c>
      <c r="AS623" s="40">
        <f t="shared" si="281"/>
        <v>0</v>
      </c>
    </row>
    <row r="624" spans="2:45" ht="14.4" customHeight="1" x14ac:dyDescent="0.25">
      <c r="B624" s="56" t="s">
        <v>44</v>
      </c>
      <c r="C624" s="57" t="s">
        <v>39</v>
      </c>
      <c r="D624" s="58" t="s">
        <v>33</v>
      </c>
      <c r="E624" s="62">
        <v>9.7700000000000026E-3</v>
      </c>
      <c r="F624" s="65">
        <f t="shared" si="282"/>
        <v>-4.6284388129274454</v>
      </c>
      <c r="S624" s="40">
        <f t="shared" si="255"/>
        <v>0</v>
      </c>
      <c r="T624" s="40">
        <f t="shared" si="256"/>
        <v>0</v>
      </c>
      <c r="U624" s="40">
        <f t="shared" si="257"/>
        <v>0</v>
      </c>
      <c r="V624" s="40">
        <f t="shared" si="258"/>
        <v>0</v>
      </c>
      <c r="W624" s="40">
        <f t="shared" si="259"/>
        <v>1</v>
      </c>
      <c r="X624" s="40">
        <f t="shared" si="260"/>
        <v>0</v>
      </c>
      <c r="Y624" s="40">
        <f t="shared" si="261"/>
        <v>0</v>
      </c>
      <c r="Z624" s="40">
        <f t="shared" si="262"/>
        <v>0</v>
      </c>
      <c r="AA624" s="40">
        <f t="shared" si="263"/>
        <v>1</v>
      </c>
      <c r="AB624" s="40">
        <f t="shared" si="264"/>
        <v>0</v>
      </c>
      <c r="AC624" s="40">
        <f t="shared" si="265"/>
        <v>0</v>
      </c>
      <c r="AD624" s="40">
        <f t="shared" si="266"/>
        <v>0</v>
      </c>
      <c r="AE624" s="40">
        <f t="shared" si="267"/>
        <v>0</v>
      </c>
      <c r="AF624" s="40">
        <f t="shared" si="268"/>
        <v>0</v>
      </c>
      <c r="AG624" s="40">
        <f t="shared" si="269"/>
        <v>0</v>
      </c>
      <c r="AH624" s="40">
        <f t="shared" si="270"/>
        <v>0</v>
      </c>
      <c r="AI624" s="40">
        <f t="shared" si="271"/>
        <v>0</v>
      </c>
      <c r="AJ624" s="40">
        <f t="shared" si="272"/>
        <v>0</v>
      </c>
      <c r="AK624" s="40">
        <f t="shared" si="273"/>
        <v>0</v>
      </c>
      <c r="AL624" s="40">
        <f t="shared" si="274"/>
        <v>1</v>
      </c>
      <c r="AM624" s="40">
        <f t="shared" si="275"/>
        <v>0</v>
      </c>
      <c r="AN624" s="40">
        <f t="shared" si="276"/>
        <v>0</v>
      </c>
      <c r="AO624" s="40">
        <f t="shared" si="277"/>
        <v>0</v>
      </c>
      <c r="AP624" s="40">
        <f t="shared" si="278"/>
        <v>0</v>
      </c>
      <c r="AQ624" s="40">
        <f t="shared" si="279"/>
        <v>0</v>
      </c>
      <c r="AR624" s="40">
        <f t="shared" si="280"/>
        <v>0</v>
      </c>
      <c r="AS624" s="40">
        <f t="shared" si="281"/>
        <v>0</v>
      </c>
    </row>
    <row r="625" spans="2:45" ht="14.4" customHeight="1" x14ac:dyDescent="0.25">
      <c r="B625" s="56" t="s">
        <v>44</v>
      </c>
      <c r="C625" s="57" t="s">
        <v>39</v>
      </c>
      <c r="D625" s="58" t="s">
        <v>24</v>
      </c>
      <c r="E625" s="62">
        <v>1.7600000000000008E-2</v>
      </c>
      <c r="F625" s="65">
        <f t="shared" si="282"/>
        <v>-4.0398563769380305</v>
      </c>
      <c r="S625" s="40">
        <f t="shared" si="255"/>
        <v>0</v>
      </c>
      <c r="T625" s="40">
        <f t="shared" si="256"/>
        <v>0</v>
      </c>
      <c r="U625" s="40">
        <f t="shared" si="257"/>
        <v>0</v>
      </c>
      <c r="V625" s="40">
        <f t="shared" si="258"/>
        <v>0</v>
      </c>
      <c r="W625" s="40">
        <f t="shared" si="259"/>
        <v>1</v>
      </c>
      <c r="X625" s="40">
        <f t="shared" si="260"/>
        <v>0</v>
      </c>
      <c r="Y625" s="40">
        <f t="shared" si="261"/>
        <v>0</v>
      </c>
      <c r="Z625" s="40">
        <f t="shared" si="262"/>
        <v>0</v>
      </c>
      <c r="AA625" s="40">
        <f t="shared" si="263"/>
        <v>0</v>
      </c>
      <c r="AB625" s="40">
        <f t="shared" si="264"/>
        <v>1</v>
      </c>
      <c r="AC625" s="40">
        <f t="shared" si="265"/>
        <v>0</v>
      </c>
      <c r="AD625" s="40">
        <f t="shared" si="266"/>
        <v>0</v>
      </c>
      <c r="AE625" s="40">
        <f t="shared" si="267"/>
        <v>0</v>
      </c>
      <c r="AF625" s="40">
        <f t="shared" si="268"/>
        <v>0</v>
      </c>
      <c r="AG625" s="40">
        <f t="shared" si="269"/>
        <v>0</v>
      </c>
      <c r="AH625" s="40">
        <f t="shared" si="270"/>
        <v>0</v>
      </c>
      <c r="AI625" s="40">
        <f t="shared" si="271"/>
        <v>0</v>
      </c>
      <c r="AJ625" s="40">
        <f t="shared" si="272"/>
        <v>0</v>
      </c>
      <c r="AK625" s="40">
        <f t="shared" si="273"/>
        <v>0</v>
      </c>
      <c r="AL625" s="40">
        <f t="shared" si="274"/>
        <v>0</v>
      </c>
      <c r="AM625" s="40">
        <f t="shared" si="275"/>
        <v>0</v>
      </c>
      <c r="AN625" s="40">
        <f t="shared" si="276"/>
        <v>0</v>
      </c>
      <c r="AO625" s="40">
        <f t="shared" si="277"/>
        <v>0</v>
      </c>
      <c r="AP625" s="40">
        <f t="shared" si="278"/>
        <v>0</v>
      </c>
      <c r="AQ625" s="40">
        <f t="shared" si="279"/>
        <v>1</v>
      </c>
      <c r="AR625" s="40">
        <f t="shared" si="280"/>
        <v>0</v>
      </c>
      <c r="AS625" s="40">
        <f t="shared" si="281"/>
        <v>0</v>
      </c>
    </row>
    <row r="626" spans="2:45" ht="14.4" customHeight="1" x14ac:dyDescent="0.25">
      <c r="B626" s="56" t="s">
        <v>44</v>
      </c>
      <c r="C626" s="57" t="s">
        <v>25</v>
      </c>
      <c r="D626" s="58" t="s">
        <v>30</v>
      </c>
      <c r="E626" s="62">
        <v>8.1400000000000031E-3</v>
      </c>
      <c r="F626" s="65">
        <f t="shared" si="282"/>
        <v>-4.8109650989676878</v>
      </c>
      <c r="S626" s="40">
        <f t="shared" si="255"/>
        <v>0</v>
      </c>
      <c r="T626" s="40">
        <f t="shared" si="256"/>
        <v>0</v>
      </c>
      <c r="U626" s="40">
        <f t="shared" si="257"/>
        <v>0</v>
      </c>
      <c r="V626" s="40">
        <f t="shared" si="258"/>
        <v>0</v>
      </c>
      <c r="W626" s="40">
        <f t="shared" si="259"/>
        <v>1</v>
      </c>
      <c r="X626" s="40">
        <f t="shared" si="260"/>
        <v>0</v>
      </c>
      <c r="Y626" s="40">
        <f t="shared" si="261"/>
        <v>0</v>
      </c>
      <c r="Z626" s="40">
        <f t="shared" si="262"/>
        <v>0</v>
      </c>
      <c r="AA626" s="40">
        <f t="shared" si="263"/>
        <v>0</v>
      </c>
      <c r="AB626" s="40">
        <f t="shared" si="264"/>
        <v>1</v>
      </c>
      <c r="AC626" s="40">
        <f t="shared" si="265"/>
        <v>0</v>
      </c>
      <c r="AD626" s="40">
        <f t="shared" si="266"/>
        <v>0</v>
      </c>
      <c r="AE626" s="40">
        <f t="shared" si="267"/>
        <v>0</v>
      </c>
      <c r="AF626" s="40">
        <f t="shared" si="268"/>
        <v>0</v>
      </c>
      <c r="AG626" s="40">
        <f t="shared" si="269"/>
        <v>0</v>
      </c>
      <c r="AH626" s="40">
        <f t="shared" si="270"/>
        <v>0</v>
      </c>
      <c r="AI626" s="40">
        <f t="shared" si="271"/>
        <v>0</v>
      </c>
      <c r="AJ626" s="40">
        <f t="shared" si="272"/>
        <v>0</v>
      </c>
      <c r="AK626" s="40">
        <f t="shared" si="273"/>
        <v>0</v>
      </c>
      <c r="AL626" s="40">
        <f t="shared" si="274"/>
        <v>1</v>
      </c>
      <c r="AM626" s="40">
        <f t="shared" si="275"/>
        <v>0</v>
      </c>
      <c r="AN626" s="40">
        <f t="shared" si="276"/>
        <v>0</v>
      </c>
      <c r="AO626" s="40">
        <f t="shared" si="277"/>
        <v>0</v>
      </c>
      <c r="AP626" s="40">
        <f t="shared" si="278"/>
        <v>0</v>
      </c>
      <c r="AQ626" s="40">
        <f t="shared" si="279"/>
        <v>0</v>
      </c>
      <c r="AR626" s="40">
        <f t="shared" si="280"/>
        <v>0</v>
      </c>
      <c r="AS626" s="40">
        <f t="shared" si="281"/>
        <v>0</v>
      </c>
    </row>
    <row r="627" spans="2:45" ht="14.4" customHeight="1" x14ac:dyDescent="0.25">
      <c r="B627" s="56" t="s">
        <v>44</v>
      </c>
      <c r="C627" s="57" t="s">
        <v>25</v>
      </c>
      <c r="D627" s="58" t="s">
        <v>24</v>
      </c>
      <c r="E627" s="62">
        <v>1.272E-2</v>
      </c>
      <c r="F627" s="65">
        <f t="shared" si="282"/>
        <v>-4.3645797210701609</v>
      </c>
      <c r="S627" s="40">
        <f t="shared" si="255"/>
        <v>0</v>
      </c>
      <c r="T627" s="40">
        <f t="shared" si="256"/>
        <v>0</v>
      </c>
      <c r="U627" s="40">
        <f t="shared" si="257"/>
        <v>0</v>
      </c>
      <c r="V627" s="40">
        <f t="shared" si="258"/>
        <v>0</v>
      </c>
      <c r="W627" s="40">
        <f t="shared" si="259"/>
        <v>1</v>
      </c>
      <c r="X627" s="40">
        <f t="shared" si="260"/>
        <v>0</v>
      </c>
      <c r="Y627" s="40">
        <f t="shared" si="261"/>
        <v>0</v>
      </c>
      <c r="Z627" s="40">
        <f t="shared" si="262"/>
        <v>0</v>
      </c>
      <c r="AA627" s="40">
        <f t="shared" si="263"/>
        <v>0</v>
      </c>
      <c r="AB627" s="40">
        <f t="shared" si="264"/>
        <v>0</v>
      </c>
      <c r="AC627" s="40">
        <f t="shared" si="265"/>
        <v>0</v>
      </c>
      <c r="AD627" s="40">
        <f t="shared" si="266"/>
        <v>0</v>
      </c>
      <c r="AE627" s="40">
        <f t="shared" si="267"/>
        <v>0</v>
      </c>
      <c r="AF627" s="40">
        <f t="shared" si="268"/>
        <v>1</v>
      </c>
      <c r="AG627" s="40">
        <f t="shared" si="269"/>
        <v>0</v>
      </c>
      <c r="AH627" s="40">
        <f t="shared" si="270"/>
        <v>0</v>
      </c>
      <c r="AI627" s="40">
        <f t="shared" si="271"/>
        <v>0</v>
      </c>
      <c r="AJ627" s="40">
        <f t="shared" si="272"/>
        <v>0</v>
      </c>
      <c r="AK627" s="40">
        <f t="shared" si="273"/>
        <v>0</v>
      </c>
      <c r="AL627" s="40">
        <f t="shared" si="274"/>
        <v>0</v>
      </c>
      <c r="AM627" s="40">
        <f t="shared" si="275"/>
        <v>0</v>
      </c>
      <c r="AN627" s="40">
        <f t="shared" si="276"/>
        <v>0</v>
      </c>
      <c r="AO627" s="40">
        <f t="shared" si="277"/>
        <v>0</v>
      </c>
      <c r="AP627" s="40">
        <f t="shared" si="278"/>
        <v>1</v>
      </c>
      <c r="AQ627" s="40">
        <f t="shared" si="279"/>
        <v>0</v>
      </c>
      <c r="AR627" s="40">
        <f t="shared" si="280"/>
        <v>0</v>
      </c>
      <c r="AS627" s="40">
        <f t="shared" si="281"/>
        <v>0</v>
      </c>
    </row>
    <row r="628" spans="2:45" ht="14.4" customHeight="1" x14ac:dyDescent="0.25">
      <c r="B628" s="56" t="s">
        <v>44</v>
      </c>
      <c r="C628" s="57" t="s">
        <v>26</v>
      </c>
      <c r="D628" s="58" t="s">
        <v>40</v>
      </c>
      <c r="E628" s="62">
        <v>1.5989999999999997E-2</v>
      </c>
      <c r="F628" s="65">
        <f t="shared" si="282"/>
        <v>-4.1357917521362744</v>
      </c>
      <c r="S628" s="40">
        <f t="shared" si="255"/>
        <v>0</v>
      </c>
      <c r="T628" s="40">
        <f t="shared" si="256"/>
        <v>0</v>
      </c>
      <c r="U628" s="40">
        <f t="shared" si="257"/>
        <v>0</v>
      </c>
      <c r="V628" s="40">
        <f t="shared" si="258"/>
        <v>0</v>
      </c>
      <c r="W628" s="40">
        <f t="shared" si="259"/>
        <v>1</v>
      </c>
      <c r="X628" s="40">
        <f t="shared" si="260"/>
        <v>0</v>
      </c>
      <c r="Y628" s="40">
        <f t="shared" si="261"/>
        <v>0</v>
      </c>
      <c r="Z628" s="40">
        <f t="shared" si="262"/>
        <v>0</v>
      </c>
      <c r="AA628" s="40">
        <f t="shared" si="263"/>
        <v>0</v>
      </c>
      <c r="AB628" s="40">
        <f t="shared" si="264"/>
        <v>0</v>
      </c>
      <c r="AC628" s="40">
        <f t="shared" si="265"/>
        <v>0</v>
      </c>
      <c r="AD628" s="40">
        <f t="shared" si="266"/>
        <v>0</v>
      </c>
      <c r="AE628" s="40">
        <f t="shared" si="267"/>
        <v>0</v>
      </c>
      <c r="AF628" s="40">
        <f t="shared" si="268"/>
        <v>1</v>
      </c>
      <c r="AG628" s="40">
        <f t="shared" si="269"/>
        <v>0</v>
      </c>
      <c r="AH628" s="40">
        <f t="shared" si="270"/>
        <v>0</v>
      </c>
      <c r="AI628" s="40">
        <f t="shared" si="271"/>
        <v>0</v>
      </c>
      <c r="AJ628" s="40">
        <f t="shared" si="272"/>
        <v>0</v>
      </c>
      <c r="AK628" s="40">
        <f t="shared" si="273"/>
        <v>0</v>
      </c>
      <c r="AL628" s="40">
        <f t="shared" si="274"/>
        <v>0</v>
      </c>
      <c r="AM628" s="40">
        <f t="shared" si="275"/>
        <v>0</v>
      </c>
      <c r="AN628" s="40">
        <f t="shared" si="276"/>
        <v>0</v>
      </c>
      <c r="AO628" s="40">
        <f t="shared" si="277"/>
        <v>0</v>
      </c>
      <c r="AP628" s="40">
        <f t="shared" si="278"/>
        <v>1</v>
      </c>
      <c r="AQ628" s="40">
        <f t="shared" si="279"/>
        <v>0</v>
      </c>
      <c r="AR628" s="40">
        <f t="shared" si="280"/>
        <v>0</v>
      </c>
      <c r="AS628" s="40">
        <f t="shared" si="281"/>
        <v>0</v>
      </c>
    </row>
    <row r="629" spans="2:45" ht="14.4" customHeight="1" x14ac:dyDescent="0.25">
      <c r="B629" s="56" t="s">
        <v>44</v>
      </c>
      <c r="C629" s="57" t="s">
        <v>26</v>
      </c>
      <c r="D629" s="58" t="s">
        <v>40</v>
      </c>
      <c r="E629" s="62">
        <v>1.9380000000000001E-2</v>
      </c>
      <c r="F629" s="65">
        <f t="shared" si="282"/>
        <v>-3.9435136725195168</v>
      </c>
      <c r="S629" s="40">
        <f t="shared" si="255"/>
        <v>0</v>
      </c>
      <c r="T629" s="40">
        <f t="shared" si="256"/>
        <v>0</v>
      </c>
      <c r="U629" s="40">
        <f t="shared" si="257"/>
        <v>0</v>
      </c>
      <c r="V629" s="40">
        <f t="shared" si="258"/>
        <v>0</v>
      </c>
      <c r="W629" s="40">
        <f t="shared" si="259"/>
        <v>1</v>
      </c>
      <c r="X629" s="40">
        <f t="shared" si="260"/>
        <v>0</v>
      </c>
      <c r="Y629" s="40">
        <f t="shared" si="261"/>
        <v>0</v>
      </c>
      <c r="Z629" s="40">
        <f t="shared" si="262"/>
        <v>0</v>
      </c>
      <c r="AA629" s="40">
        <f t="shared" si="263"/>
        <v>0</v>
      </c>
      <c r="AB629" s="40">
        <f t="shared" si="264"/>
        <v>0</v>
      </c>
      <c r="AC629" s="40">
        <f t="shared" si="265"/>
        <v>0</v>
      </c>
      <c r="AD629" s="40">
        <f t="shared" si="266"/>
        <v>0</v>
      </c>
      <c r="AE629" s="40">
        <f t="shared" si="267"/>
        <v>0</v>
      </c>
      <c r="AF629" s="40">
        <f t="shared" si="268"/>
        <v>1</v>
      </c>
      <c r="AG629" s="40">
        <f t="shared" si="269"/>
        <v>0</v>
      </c>
      <c r="AH629" s="40">
        <f t="shared" si="270"/>
        <v>0</v>
      </c>
      <c r="AI629" s="40">
        <f t="shared" si="271"/>
        <v>0</v>
      </c>
      <c r="AJ629" s="40">
        <f t="shared" si="272"/>
        <v>0</v>
      </c>
      <c r="AK629" s="40">
        <f t="shared" si="273"/>
        <v>0</v>
      </c>
      <c r="AL629" s="40">
        <f t="shared" si="274"/>
        <v>0</v>
      </c>
      <c r="AM629" s="40">
        <f t="shared" si="275"/>
        <v>0</v>
      </c>
      <c r="AN629" s="40">
        <f t="shared" si="276"/>
        <v>0</v>
      </c>
      <c r="AO629" s="40">
        <f t="shared" si="277"/>
        <v>0</v>
      </c>
      <c r="AP629" s="40">
        <f t="shared" si="278"/>
        <v>1</v>
      </c>
      <c r="AQ629" s="40">
        <f t="shared" si="279"/>
        <v>0</v>
      </c>
      <c r="AR629" s="40">
        <f t="shared" si="280"/>
        <v>0</v>
      </c>
      <c r="AS629" s="40">
        <f t="shared" si="281"/>
        <v>0</v>
      </c>
    </row>
    <row r="630" spans="2:45" ht="14.4" customHeight="1" x14ac:dyDescent="0.25">
      <c r="B630" s="56" t="s">
        <v>44</v>
      </c>
      <c r="C630" s="57" t="s">
        <v>26</v>
      </c>
      <c r="D630" s="58" t="s">
        <v>40</v>
      </c>
      <c r="E630" s="62">
        <v>2.4019999999999996E-2</v>
      </c>
      <c r="F630" s="65">
        <f t="shared" si="282"/>
        <v>-3.7288684623302997</v>
      </c>
      <c r="S630" s="40">
        <f t="shared" si="255"/>
        <v>0</v>
      </c>
      <c r="T630" s="40">
        <f t="shared" si="256"/>
        <v>0</v>
      </c>
      <c r="U630" s="40">
        <f t="shared" si="257"/>
        <v>0</v>
      </c>
      <c r="V630" s="40">
        <f t="shared" si="258"/>
        <v>0</v>
      </c>
      <c r="W630" s="40">
        <f t="shared" si="259"/>
        <v>1</v>
      </c>
      <c r="X630" s="40">
        <f t="shared" si="260"/>
        <v>0</v>
      </c>
      <c r="Y630" s="40">
        <f t="shared" si="261"/>
        <v>0</v>
      </c>
      <c r="Z630" s="40">
        <f t="shared" si="262"/>
        <v>0</v>
      </c>
      <c r="AA630" s="40">
        <f t="shared" si="263"/>
        <v>0</v>
      </c>
      <c r="AB630" s="40">
        <f t="shared" si="264"/>
        <v>0</v>
      </c>
      <c r="AC630" s="40">
        <f t="shared" si="265"/>
        <v>0</v>
      </c>
      <c r="AD630" s="40">
        <f t="shared" si="266"/>
        <v>0</v>
      </c>
      <c r="AE630" s="40">
        <f t="shared" si="267"/>
        <v>0</v>
      </c>
      <c r="AF630" s="40">
        <f t="shared" si="268"/>
        <v>1</v>
      </c>
      <c r="AG630" s="40">
        <f t="shared" si="269"/>
        <v>0</v>
      </c>
      <c r="AH630" s="40">
        <f t="shared" si="270"/>
        <v>0</v>
      </c>
      <c r="AI630" s="40">
        <f t="shared" si="271"/>
        <v>0</v>
      </c>
      <c r="AJ630" s="40">
        <f t="shared" si="272"/>
        <v>0</v>
      </c>
      <c r="AK630" s="40">
        <f t="shared" si="273"/>
        <v>0</v>
      </c>
      <c r="AL630" s="40">
        <f t="shared" si="274"/>
        <v>0</v>
      </c>
      <c r="AM630" s="40">
        <f t="shared" si="275"/>
        <v>0</v>
      </c>
      <c r="AN630" s="40">
        <f t="shared" si="276"/>
        <v>0</v>
      </c>
      <c r="AO630" s="40">
        <f t="shared" si="277"/>
        <v>0</v>
      </c>
      <c r="AP630" s="40">
        <f t="shared" si="278"/>
        <v>1</v>
      </c>
      <c r="AQ630" s="40">
        <f t="shared" si="279"/>
        <v>0</v>
      </c>
      <c r="AR630" s="40">
        <f t="shared" si="280"/>
        <v>0</v>
      </c>
      <c r="AS630" s="40">
        <f t="shared" si="281"/>
        <v>0</v>
      </c>
    </row>
    <row r="631" spans="2:45" ht="14.4" customHeight="1" x14ac:dyDescent="0.25">
      <c r="B631" s="56" t="s">
        <v>44</v>
      </c>
      <c r="C631" s="57" t="s">
        <v>26</v>
      </c>
      <c r="D631" s="58" t="s">
        <v>40</v>
      </c>
      <c r="E631" s="62">
        <v>1.7310000000000006E-2</v>
      </c>
      <c r="F631" s="65">
        <f t="shared" si="282"/>
        <v>-4.0564709097940188</v>
      </c>
      <c r="S631" s="40">
        <f t="shared" si="255"/>
        <v>0</v>
      </c>
      <c r="T631" s="40">
        <f t="shared" si="256"/>
        <v>0</v>
      </c>
      <c r="U631" s="40">
        <f t="shared" si="257"/>
        <v>0</v>
      </c>
      <c r="V631" s="40">
        <f t="shared" si="258"/>
        <v>0</v>
      </c>
      <c r="W631" s="40">
        <f t="shared" si="259"/>
        <v>1</v>
      </c>
      <c r="X631" s="40">
        <f t="shared" si="260"/>
        <v>0</v>
      </c>
      <c r="Y631" s="40">
        <f t="shared" si="261"/>
        <v>0</v>
      </c>
      <c r="Z631" s="40">
        <f t="shared" si="262"/>
        <v>0</v>
      </c>
      <c r="AA631" s="40">
        <f t="shared" si="263"/>
        <v>0</v>
      </c>
      <c r="AB631" s="40">
        <f t="shared" si="264"/>
        <v>0</v>
      </c>
      <c r="AC631" s="40">
        <f t="shared" si="265"/>
        <v>0</v>
      </c>
      <c r="AD631" s="40">
        <f t="shared" si="266"/>
        <v>0</v>
      </c>
      <c r="AE631" s="40">
        <f t="shared" si="267"/>
        <v>0</v>
      </c>
      <c r="AF631" s="40">
        <f t="shared" si="268"/>
        <v>1</v>
      </c>
      <c r="AG631" s="40">
        <f t="shared" si="269"/>
        <v>0</v>
      </c>
      <c r="AH631" s="40">
        <f t="shared" si="270"/>
        <v>0</v>
      </c>
      <c r="AI631" s="40">
        <f t="shared" si="271"/>
        <v>0</v>
      </c>
      <c r="AJ631" s="40">
        <f t="shared" si="272"/>
        <v>0</v>
      </c>
      <c r="AK631" s="40">
        <f t="shared" si="273"/>
        <v>0</v>
      </c>
      <c r="AL631" s="40">
        <f t="shared" si="274"/>
        <v>0</v>
      </c>
      <c r="AM631" s="40">
        <f t="shared" si="275"/>
        <v>0</v>
      </c>
      <c r="AN631" s="40">
        <f t="shared" si="276"/>
        <v>0</v>
      </c>
      <c r="AO631" s="40">
        <f t="shared" si="277"/>
        <v>0</v>
      </c>
      <c r="AP631" s="40">
        <f t="shared" si="278"/>
        <v>1</v>
      </c>
      <c r="AQ631" s="40">
        <f t="shared" si="279"/>
        <v>0</v>
      </c>
      <c r="AR631" s="40">
        <f t="shared" si="280"/>
        <v>0</v>
      </c>
      <c r="AS631" s="40">
        <f t="shared" si="281"/>
        <v>0</v>
      </c>
    </row>
    <row r="632" spans="2:45" ht="14.4" customHeight="1" x14ac:dyDescent="0.25">
      <c r="B632" s="56" t="s">
        <v>44</v>
      </c>
      <c r="C632" s="57" t="s">
        <v>26</v>
      </c>
      <c r="D632" s="58" t="s">
        <v>40</v>
      </c>
      <c r="E632" s="62">
        <v>1.7470000000000006E-2</v>
      </c>
      <c r="F632" s="65">
        <f t="shared" si="282"/>
        <v>-4.0472701548361716</v>
      </c>
      <c r="S632" s="40">
        <f t="shared" si="255"/>
        <v>0</v>
      </c>
      <c r="T632" s="40">
        <f t="shared" si="256"/>
        <v>0</v>
      </c>
      <c r="U632" s="40">
        <f t="shared" si="257"/>
        <v>0</v>
      </c>
      <c r="V632" s="40">
        <f t="shared" si="258"/>
        <v>0</v>
      </c>
      <c r="W632" s="40">
        <f t="shared" si="259"/>
        <v>1</v>
      </c>
      <c r="X632" s="40">
        <f t="shared" si="260"/>
        <v>0</v>
      </c>
      <c r="Y632" s="40">
        <f t="shared" si="261"/>
        <v>0</v>
      </c>
      <c r="Z632" s="40">
        <f t="shared" si="262"/>
        <v>0</v>
      </c>
      <c r="AA632" s="40">
        <f t="shared" si="263"/>
        <v>0</v>
      </c>
      <c r="AB632" s="40">
        <f t="shared" si="264"/>
        <v>0</v>
      </c>
      <c r="AC632" s="40">
        <f t="shared" si="265"/>
        <v>0</v>
      </c>
      <c r="AD632" s="40">
        <f t="shared" si="266"/>
        <v>0</v>
      </c>
      <c r="AE632" s="40">
        <f t="shared" si="267"/>
        <v>0</v>
      </c>
      <c r="AF632" s="40">
        <f t="shared" si="268"/>
        <v>1</v>
      </c>
      <c r="AG632" s="40">
        <f t="shared" si="269"/>
        <v>0</v>
      </c>
      <c r="AH632" s="40">
        <f t="shared" si="270"/>
        <v>0</v>
      </c>
      <c r="AI632" s="40">
        <f t="shared" si="271"/>
        <v>0</v>
      </c>
      <c r="AJ632" s="40">
        <f t="shared" si="272"/>
        <v>0</v>
      </c>
      <c r="AK632" s="40">
        <f t="shared" si="273"/>
        <v>0</v>
      </c>
      <c r="AL632" s="40">
        <f t="shared" si="274"/>
        <v>0</v>
      </c>
      <c r="AM632" s="40">
        <f t="shared" si="275"/>
        <v>0</v>
      </c>
      <c r="AN632" s="40">
        <f t="shared" si="276"/>
        <v>0</v>
      </c>
      <c r="AO632" s="40">
        <f t="shared" si="277"/>
        <v>0</v>
      </c>
      <c r="AP632" s="40">
        <f t="shared" si="278"/>
        <v>1</v>
      </c>
      <c r="AQ632" s="40">
        <f t="shared" si="279"/>
        <v>0</v>
      </c>
      <c r="AR632" s="40">
        <f t="shared" si="280"/>
        <v>0</v>
      </c>
      <c r="AS632" s="40">
        <f t="shared" si="281"/>
        <v>0</v>
      </c>
    </row>
    <row r="633" spans="2:45" ht="14.4" customHeight="1" x14ac:dyDescent="0.25">
      <c r="B633" s="56" t="s">
        <v>44</v>
      </c>
      <c r="C633" s="57" t="s">
        <v>26</v>
      </c>
      <c r="D633" s="58" t="s">
        <v>40</v>
      </c>
      <c r="E633" s="62">
        <v>1.6319999999999994E-2</v>
      </c>
      <c r="F633" s="65">
        <f t="shared" si="282"/>
        <v>-4.1153639294461763</v>
      </c>
      <c r="S633" s="40">
        <f t="shared" si="255"/>
        <v>0</v>
      </c>
      <c r="T633" s="40">
        <f t="shared" si="256"/>
        <v>0</v>
      </c>
      <c r="U633" s="40">
        <f t="shared" si="257"/>
        <v>0</v>
      </c>
      <c r="V633" s="40">
        <f t="shared" si="258"/>
        <v>0</v>
      </c>
      <c r="W633" s="40">
        <f t="shared" si="259"/>
        <v>1</v>
      </c>
      <c r="X633" s="40">
        <f t="shared" si="260"/>
        <v>0</v>
      </c>
      <c r="Y633" s="40">
        <f t="shared" si="261"/>
        <v>0</v>
      </c>
      <c r="Z633" s="40">
        <f t="shared" si="262"/>
        <v>0</v>
      </c>
      <c r="AA633" s="40">
        <f t="shared" si="263"/>
        <v>0</v>
      </c>
      <c r="AB633" s="40">
        <f t="shared" si="264"/>
        <v>0</v>
      </c>
      <c r="AC633" s="40">
        <f t="shared" si="265"/>
        <v>0</v>
      </c>
      <c r="AD633" s="40">
        <f t="shared" si="266"/>
        <v>0</v>
      </c>
      <c r="AE633" s="40">
        <f t="shared" si="267"/>
        <v>0</v>
      </c>
      <c r="AF633" s="40">
        <f t="shared" si="268"/>
        <v>1</v>
      </c>
      <c r="AG633" s="40">
        <f t="shared" si="269"/>
        <v>0</v>
      </c>
      <c r="AH633" s="40">
        <f t="shared" si="270"/>
        <v>0</v>
      </c>
      <c r="AI633" s="40">
        <f t="shared" si="271"/>
        <v>0</v>
      </c>
      <c r="AJ633" s="40">
        <f t="shared" si="272"/>
        <v>0</v>
      </c>
      <c r="AK633" s="40">
        <f t="shared" si="273"/>
        <v>0</v>
      </c>
      <c r="AL633" s="40">
        <f t="shared" si="274"/>
        <v>0</v>
      </c>
      <c r="AM633" s="40">
        <f t="shared" si="275"/>
        <v>0</v>
      </c>
      <c r="AN633" s="40">
        <f t="shared" si="276"/>
        <v>0</v>
      </c>
      <c r="AO633" s="40">
        <f t="shared" si="277"/>
        <v>0</v>
      </c>
      <c r="AP633" s="40">
        <f t="shared" si="278"/>
        <v>1</v>
      </c>
      <c r="AQ633" s="40">
        <f t="shared" si="279"/>
        <v>0</v>
      </c>
      <c r="AR633" s="40">
        <f t="shared" si="280"/>
        <v>0</v>
      </c>
      <c r="AS633" s="40">
        <f t="shared" si="281"/>
        <v>0</v>
      </c>
    </row>
    <row r="634" spans="2:45" ht="14.4" customHeight="1" x14ac:dyDescent="0.25">
      <c r="B634" s="56" t="s">
        <v>44</v>
      </c>
      <c r="C634" s="57" t="s">
        <v>26</v>
      </c>
      <c r="D634" s="58" t="s">
        <v>40</v>
      </c>
      <c r="E634" s="62">
        <v>1.443E-2</v>
      </c>
      <c r="F634" s="65">
        <f t="shared" si="282"/>
        <v>-4.2384459061963575</v>
      </c>
      <c r="S634" s="40">
        <f t="shared" si="255"/>
        <v>0</v>
      </c>
      <c r="T634" s="40">
        <f t="shared" si="256"/>
        <v>0</v>
      </c>
      <c r="U634" s="40">
        <f t="shared" si="257"/>
        <v>0</v>
      </c>
      <c r="V634" s="40">
        <f t="shared" si="258"/>
        <v>0</v>
      </c>
      <c r="W634" s="40">
        <f t="shared" si="259"/>
        <v>1</v>
      </c>
      <c r="X634" s="40">
        <f t="shared" si="260"/>
        <v>0</v>
      </c>
      <c r="Y634" s="40">
        <f t="shared" si="261"/>
        <v>0</v>
      </c>
      <c r="Z634" s="40">
        <f t="shared" si="262"/>
        <v>0</v>
      </c>
      <c r="AA634" s="40">
        <f t="shared" si="263"/>
        <v>0</v>
      </c>
      <c r="AB634" s="40">
        <f t="shared" si="264"/>
        <v>0</v>
      </c>
      <c r="AC634" s="40">
        <f t="shared" si="265"/>
        <v>0</v>
      </c>
      <c r="AD634" s="40">
        <f t="shared" si="266"/>
        <v>0</v>
      </c>
      <c r="AE634" s="40">
        <f t="shared" si="267"/>
        <v>0</v>
      </c>
      <c r="AF634" s="40">
        <f t="shared" si="268"/>
        <v>1</v>
      </c>
      <c r="AG634" s="40">
        <f t="shared" si="269"/>
        <v>0</v>
      </c>
      <c r="AH634" s="40">
        <f t="shared" si="270"/>
        <v>0</v>
      </c>
      <c r="AI634" s="40">
        <f t="shared" si="271"/>
        <v>0</v>
      </c>
      <c r="AJ634" s="40">
        <f t="shared" si="272"/>
        <v>0</v>
      </c>
      <c r="AK634" s="40">
        <f t="shared" si="273"/>
        <v>0</v>
      </c>
      <c r="AL634" s="40">
        <f t="shared" si="274"/>
        <v>0</v>
      </c>
      <c r="AM634" s="40">
        <f t="shared" si="275"/>
        <v>0</v>
      </c>
      <c r="AN634" s="40">
        <f t="shared" si="276"/>
        <v>0</v>
      </c>
      <c r="AO634" s="40">
        <f t="shared" si="277"/>
        <v>0</v>
      </c>
      <c r="AP634" s="40">
        <f t="shared" si="278"/>
        <v>1</v>
      </c>
      <c r="AQ634" s="40">
        <f t="shared" si="279"/>
        <v>0</v>
      </c>
      <c r="AR634" s="40">
        <f t="shared" si="280"/>
        <v>0</v>
      </c>
      <c r="AS634" s="40">
        <f t="shared" si="281"/>
        <v>0</v>
      </c>
    </row>
    <row r="635" spans="2:45" ht="14.4" customHeight="1" x14ac:dyDescent="0.25">
      <c r="B635" s="56" t="s">
        <v>44</v>
      </c>
      <c r="C635" s="57" t="s">
        <v>26</v>
      </c>
      <c r="D635" s="58" t="s">
        <v>40</v>
      </c>
      <c r="E635" s="62">
        <v>1.2030000000000002E-2</v>
      </c>
      <c r="F635" s="65">
        <f t="shared" si="282"/>
        <v>-4.4203517489955493</v>
      </c>
      <c r="S635" s="40">
        <f t="shared" si="255"/>
        <v>0</v>
      </c>
      <c r="T635" s="40">
        <f t="shared" si="256"/>
        <v>0</v>
      </c>
      <c r="U635" s="40">
        <f t="shared" si="257"/>
        <v>0</v>
      </c>
      <c r="V635" s="40">
        <f t="shared" si="258"/>
        <v>0</v>
      </c>
      <c r="W635" s="40">
        <f t="shared" si="259"/>
        <v>1</v>
      </c>
      <c r="X635" s="40">
        <f t="shared" si="260"/>
        <v>0</v>
      </c>
      <c r="Y635" s="40">
        <f t="shared" si="261"/>
        <v>0</v>
      </c>
      <c r="Z635" s="40">
        <f t="shared" si="262"/>
        <v>0</v>
      </c>
      <c r="AA635" s="40">
        <f t="shared" si="263"/>
        <v>0</v>
      </c>
      <c r="AB635" s="40">
        <f t="shared" si="264"/>
        <v>0</v>
      </c>
      <c r="AC635" s="40">
        <f t="shared" si="265"/>
        <v>0</v>
      </c>
      <c r="AD635" s="40">
        <f t="shared" si="266"/>
        <v>0</v>
      </c>
      <c r="AE635" s="40">
        <f t="shared" si="267"/>
        <v>0</v>
      </c>
      <c r="AF635" s="40">
        <f t="shared" si="268"/>
        <v>1</v>
      </c>
      <c r="AG635" s="40">
        <f t="shared" si="269"/>
        <v>0</v>
      </c>
      <c r="AH635" s="40">
        <f t="shared" si="270"/>
        <v>0</v>
      </c>
      <c r="AI635" s="40">
        <f t="shared" si="271"/>
        <v>0</v>
      </c>
      <c r="AJ635" s="40">
        <f t="shared" si="272"/>
        <v>0</v>
      </c>
      <c r="AK635" s="40">
        <f t="shared" si="273"/>
        <v>0</v>
      </c>
      <c r="AL635" s="40">
        <f t="shared" si="274"/>
        <v>0</v>
      </c>
      <c r="AM635" s="40">
        <f t="shared" si="275"/>
        <v>0</v>
      </c>
      <c r="AN635" s="40">
        <f t="shared" si="276"/>
        <v>0</v>
      </c>
      <c r="AO635" s="40">
        <f t="shared" si="277"/>
        <v>0</v>
      </c>
      <c r="AP635" s="40">
        <f t="shared" si="278"/>
        <v>1</v>
      </c>
      <c r="AQ635" s="40">
        <f t="shared" si="279"/>
        <v>0</v>
      </c>
      <c r="AR635" s="40">
        <f t="shared" si="280"/>
        <v>0</v>
      </c>
      <c r="AS635" s="40">
        <f t="shared" si="281"/>
        <v>0</v>
      </c>
    </row>
    <row r="636" spans="2:45" ht="14.4" customHeight="1" x14ac:dyDescent="0.25">
      <c r="B636" s="56" t="s">
        <v>44</v>
      </c>
      <c r="C636" s="57" t="s">
        <v>26</v>
      </c>
      <c r="D636" s="58" t="s">
        <v>40</v>
      </c>
      <c r="E636" s="62">
        <v>1.443E-2</v>
      </c>
      <c r="F636" s="65">
        <f t="shared" si="282"/>
        <v>-4.2384459061963575</v>
      </c>
      <c r="S636" s="40">
        <f t="shared" si="255"/>
        <v>0</v>
      </c>
      <c r="T636" s="40">
        <f t="shared" si="256"/>
        <v>0</v>
      </c>
      <c r="U636" s="40">
        <f t="shared" si="257"/>
        <v>0</v>
      </c>
      <c r="V636" s="40">
        <f t="shared" si="258"/>
        <v>0</v>
      </c>
      <c r="W636" s="40">
        <f t="shared" si="259"/>
        <v>1</v>
      </c>
      <c r="X636" s="40">
        <f t="shared" si="260"/>
        <v>0</v>
      </c>
      <c r="Y636" s="40">
        <f t="shared" si="261"/>
        <v>0</v>
      </c>
      <c r="Z636" s="40">
        <f t="shared" si="262"/>
        <v>0</v>
      </c>
      <c r="AA636" s="40">
        <f t="shared" si="263"/>
        <v>0</v>
      </c>
      <c r="AB636" s="40">
        <f t="shared" si="264"/>
        <v>0</v>
      </c>
      <c r="AC636" s="40">
        <f t="shared" si="265"/>
        <v>0</v>
      </c>
      <c r="AD636" s="40">
        <f t="shared" si="266"/>
        <v>0</v>
      </c>
      <c r="AE636" s="40">
        <f t="shared" si="267"/>
        <v>0</v>
      </c>
      <c r="AF636" s="40">
        <f t="shared" si="268"/>
        <v>1</v>
      </c>
      <c r="AG636" s="40">
        <f t="shared" si="269"/>
        <v>0</v>
      </c>
      <c r="AH636" s="40">
        <f t="shared" si="270"/>
        <v>0</v>
      </c>
      <c r="AI636" s="40">
        <f t="shared" si="271"/>
        <v>0</v>
      </c>
      <c r="AJ636" s="40">
        <f t="shared" si="272"/>
        <v>0</v>
      </c>
      <c r="AK636" s="40">
        <f t="shared" si="273"/>
        <v>0</v>
      </c>
      <c r="AL636" s="40">
        <f t="shared" si="274"/>
        <v>0</v>
      </c>
      <c r="AM636" s="40">
        <f t="shared" si="275"/>
        <v>0</v>
      </c>
      <c r="AN636" s="40">
        <f t="shared" si="276"/>
        <v>0</v>
      </c>
      <c r="AO636" s="40">
        <f t="shared" si="277"/>
        <v>0</v>
      </c>
      <c r="AP636" s="40">
        <f t="shared" si="278"/>
        <v>1</v>
      </c>
      <c r="AQ636" s="40">
        <f t="shared" si="279"/>
        <v>0</v>
      </c>
      <c r="AR636" s="40">
        <f t="shared" si="280"/>
        <v>0</v>
      </c>
      <c r="AS636" s="40">
        <f t="shared" si="281"/>
        <v>0</v>
      </c>
    </row>
    <row r="637" spans="2:45" ht="14.4" customHeight="1" x14ac:dyDescent="0.25">
      <c r="B637" s="56" t="s">
        <v>44</v>
      </c>
      <c r="C637" s="57" t="s">
        <v>26</v>
      </c>
      <c r="D637" s="58" t="s">
        <v>40</v>
      </c>
      <c r="E637" s="62">
        <v>1.2030000000000002E-2</v>
      </c>
      <c r="F637" s="65">
        <f t="shared" si="282"/>
        <v>-4.4203517489955493</v>
      </c>
      <c r="S637" s="40">
        <f t="shared" si="255"/>
        <v>0</v>
      </c>
      <c r="T637" s="40">
        <f t="shared" si="256"/>
        <v>0</v>
      </c>
      <c r="U637" s="40">
        <f t="shared" si="257"/>
        <v>0</v>
      </c>
      <c r="V637" s="40">
        <f t="shared" si="258"/>
        <v>1</v>
      </c>
      <c r="W637" s="40">
        <f t="shared" si="259"/>
        <v>0</v>
      </c>
      <c r="X637" s="40">
        <f t="shared" si="260"/>
        <v>0</v>
      </c>
      <c r="Y637" s="40">
        <f t="shared" si="261"/>
        <v>0</v>
      </c>
      <c r="Z637" s="40">
        <f t="shared" si="262"/>
        <v>0</v>
      </c>
      <c r="AA637" s="40">
        <f t="shared" si="263"/>
        <v>0</v>
      </c>
      <c r="AB637" s="40">
        <f t="shared" si="264"/>
        <v>1</v>
      </c>
      <c r="AC637" s="40">
        <f t="shared" si="265"/>
        <v>0</v>
      </c>
      <c r="AD637" s="40">
        <f t="shared" si="266"/>
        <v>0</v>
      </c>
      <c r="AE637" s="40">
        <f t="shared" si="267"/>
        <v>0</v>
      </c>
      <c r="AF637" s="40">
        <f t="shared" si="268"/>
        <v>0</v>
      </c>
      <c r="AG637" s="40">
        <f t="shared" si="269"/>
        <v>0</v>
      </c>
      <c r="AH637" s="40">
        <f t="shared" si="270"/>
        <v>0</v>
      </c>
      <c r="AI637" s="40">
        <f t="shared" si="271"/>
        <v>0</v>
      </c>
      <c r="AJ637" s="40">
        <f t="shared" si="272"/>
        <v>0</v>
      </c>
      <c r="AK637" s="40">
        <f t="shared" si="273"/>
        <v>0</v>
      </c>
      <c r="AL637" s="40">
        <f t="shared" si="274"/>
        <v>1</v>
      </c>
      <c r="AM637" s="40">
        <f t="shared" si="275"/>
        <v>0</v>
      </c>
      <c r="AN637" s="40">
        <f t="shared" si="276"/>
        <v>0</v>
      </c>
      <c r="AO637" s="40">
        <f t="shared" si="277"/>
        <v>0</v>
      </c>
      <c r="AP637" s="40">
        <f t="shared" si="278"/>
        <v>0</v>
      </c>
      <c r="AQ637" s="40">
        <f t="shared" si="279"/>
        <v>0</v>
      </c>
      <c r="AR637" s="40">
        <f t="shared" si="280"/>
        <v>0</v>
      </c>
      <c r="AS637" s="40">
        <f t="shared" si="281"/>
        <v>0</v>
      </c>
    </row>
    <row r="638" spans="2:45" ht="14.4" customHeight="1" x14ac:dyDescent="0.25">
      <c r="B638" s="56" t="s">
        <v>45</v>
      </c>
      <c r="C638" s="57" t="s">
        <v>25</v>
      </c>
      <c r="D638" s="58" t="s">
        <v>24</v>
      </c>
      <c r="E638" s="62">
        <v>6.4499999999999983E-3</v>
      </c>
      <c r="F638" s="65">
        <f t="shared" si="282"/>
        <v>-5.0436751481744562</v>
      </c>
      <c r="S638" s="40">
        <f t="shared" si="255"/>
        <v>0</v>
      </c>
      <c r="T638" s="40">
        <f t="shared" si="256"/>
        <v>0</v>
      </c>
      <c r="U638" s="40">
        <f t="shared" si="257"/>
        <v>0</v>
      </c>
      <c r="V638" s="40">
        <f t="shared" si="258"/>
        <v>1</v>
      </c>
      <c r="W638" s="40">
        <f t="shared" si="259"/>
        <v>0</v>
      </c>
      <c r="X638" s="40">
        <f t="shared" si="260"/>
        <v>0</v>
      </c>
      <c r="Y638" s="40">
        <f t="shared" si="261"/>
        <v>0</v>
      </c>
      <c r="Z638" s="40">
        <f t="shared" si="262"/>
        <v>0</v>
      </c>
      <c r="AA638" s="40">
        <f t="shared" si="263"/>
        <v>0</v>
      </c>
      <c r="AB638" s="40">
        <f t="shared" si="264"/>
        <v>1</v>
      </c>
      <c r="AC638" s="40">
        <f t="shared" si="265"/>
        <v>0</v>
      </c>
      <c r="AD638" s="40">
        <f t="shared" si="266"/>
        <v>0</v>
      </c>
      <c r="AE638" s="40">
        <f t="shared" si="267"/>
        <v>0</v>
      </c>
      <c r="AF638" s="40">
        <f t="shared" si="268"/>
        <v>0</v>
      </c>
      <c r="AG638" s="40">
        <f t="shared" si="269"/>
        <v>0</v>
      </c>
      <c r="AH638" s="40">
        <f t="shared" si="270"/>
        <v>0</v>
      </c>
      <c r="AI638" s="40">
        <f t="shared" si="271"/>
        <v>0</v>
      </c>
      <c r="AJ638" s="40">
        <f t="shared" si="272"/>
        <v>1</v>
      </c>
      <c r="AK638" s="40">
        <f t="shared" si="273"/>
        <v>0</v>
      </c>
      <c r="AL638" s="40">
        <f t="shared" si="274"/>
        <v>0</v>
      </c>
      <c r="AM638" s="40">
        <f t="shared" si="275"/>
        <v>0</v>
      </c>
      <c r="AN638" s="40">
        <f t="shared" si="276"/>
        <v>0</v>
      </c>
      <c r="AO638" s="40">
        <f t="shared" si="277"/>
        <v>0</v>
      </c>
      <c r="AP638" s="40">
        <f t="shared" si="278"/>
        <v>0</v>
      </c>
      <c r="AQ638" s="40">
        <f t="shared" si="279"/>
        <v>0</v>
      </c>
      <c r="AR638" s="40">
        <f t="shared" si="280"/>
        <v>0</v>
      </c>
      <c r="AS638" s="40">
        <f t="shared" si="281"/>
        <v>0</v>
      </c>
    </row>
    <row r="639" spans="2:45" ht="14.4" customHeight="1" x14ac:dyDescent="0.25">
      <c r="B639" s="56" t="s">
        <v>45</v>
      </c>
      <c r="C639" s="57" t="s">
        <v>25</v>
      </c>
      <c r="D639" s="58" t="s">
        <v>37</v>
      </c>
      <c r="E639" s="62">
        <v>7.4699999999999992E-3</v>
      </c>
      <c r="F639" s="65">
        <f t="shared" si="282"/>
        <v>-4.8968602798374112</v>
      </c>
      <c r="S639" s="40">
        <f t="shared" si="255"/>
        <v>0</v>
      </c>
      <c r="T639" s="40">
        <f t="shared" si="256"/>
        <v>0</v>
      </c>
      <c r="U639" s="40">
        <f t="shared" si="257"/>
        <v>0</v>
      </c>
      <c r="V639" s="40">
        <f t="shared" si="258"/>
        <v>1</v>
      </c>
      <c r="W639" s="40">
        <f t="shared" si="259"/>
        <v>0</v>
      </c>
      <c r="X639" s="40">
        <f t="shared" si="260"/>
        <v>0</v>
      </c>
      <c r="Y639" s="40">
        <f t="shared" si="261"/>
        <v>0</v>
      </c>
      <c r="Z639" s="40">
        <f t="shared" si="262"/>
        <v>0</v>
      </c>
      <c r="AA639" s="40">
        <f t="shared" si="263"/>
        <v>0</v>
      </c>
      <c r="AB639" s="40">
        <f t="shared" si="264"/>
        <v>0</v>
      </c>
      <c r="AC639" s="40">
        <f t="shared" si="265"/>
        <v>0</v>
      </c>
      <c r="AD639" s="40">
        <f t="shared" si="266"/>
        <v>0</v>
      </c>
      <c r="AE639" s="40">
        <f t="shared" si="267"/>
        <v>0</v>
      </c>
      <c r="AF639" s="40">
        <f t="shared" si="268"/>
        <v>1</v>
      </c>
      <c r="AG639" s="40">
        <f t="shared" si="269"/>
        <v>0</v>
      </c>
      <c r="AH639" s="40">
        <f t="shared" si="270"/>
        <v>0</v>
      </c>
      <c r="AI639" s="40">
        <f t="shared" si="271"/>
        <v>0</v>
      </c>
      <c r="AJ639" s="40">
        <f t="shared" si="272"/>
        <v>0</v>
      </c>
      <c r="AK639" s="40">
        <f t="shared" si="273"/>
        <v>0</v>
      </c>
      <c r="AL639" s="40">
        <f t="shared" si="274"/>
        <v>0</v>
      </c>
      <c r="AM639" s="40">
        <f t="shared" si="275"/>
        <v>0</v>
      </c>
      <c r="AN639" s="40">
        <f t="shared" si="276"/>
        <v>0</v>
      </c>
      <c r="AO639" s="40">
        <f t="shared" si="277"/>
        <v>0</v>
      </c>
      <c r="AP639" s="40">
        <f t="shared" si="278"/>
        <v>0</v>
      </c>
      <c r="AQ639" s="40">
        <f t="shared" si="279"/>
        <v>0</v>
      </c>
      <c r="AR639" s="40">
        <f t="shared" si="280"/>
        <v>1</v>
      </c>
      <c r="AS639" s="40">
        <f t="shared" si="281"/>
        <v>0</v>
      </c>
    </row>
    <row r="640" spans="2:45" ht="14.4" customHeight="1" x14ac:dyDescent="0.25">
      <c r="B640" s="56" t="s">
        <v>45</v>
      </c>
      <c r="C640" s="57" t="s">
        <v>26</v>
      </c>
      <c r="D640" s="58" t="s">
        <v>33</v>
      </c>
      <c r="E640" s="62">
        <v>4.8699999999999985E-3</v>
      </c>
      <c r="F640" s="65">
        <f t="shared" si="282"/>
        <v>-5.324661341887639</v>
      </c>
      <c r="S640" s="40">
        <f t="shared" si="255"/>
        <v>0</v>
      </c>
      <c r="T640" s="40">
        <f t="shared" si="256"/>
        <v>0</v>
      </c>
      <c r="U640" s="40">
        <f t="shared" si="257"/>
        <v>0</v>
      </c>
      <c r="V640" s="40">
        <f t="shared" si="258"/>
        <v>1</v>
      </c>
      <c r="W640" s="40">
        <f t="shared" si="259"/>
        <v>0</v>
      </c>
      <c r="X640" s="40">
        <f t="shared" si="260"/>
        <v>0</v>
      </c>
      <c r="Y640" s="40">
        <f t="shared" si="261"/>
        <v>0</v>
      </c>
      <c r="Z640" s="40">
        <f t="shared" si="262"/>
        <v>0</v>
      </c>
      <c r="AA640" s="40">
        <f t="shared" si="263"/>
        <v>0</v>
      </c>
      <c r="AB640" s="40">
        <f t="shared" si="264"/>
        <v>0</v>
      </c>
      <c r="AC640" s="40">
        <f t="shared" si="265"/>
        <v>0</v>
      </c>
      <c r="AD640" s="40">
        <f t="shared" si="266"/>
        <v>0</v>
      </c>
      <c r="AE640" s="40">
        <f t="shared" si="267"/>
        <v>0</v>
      </c>
      <c r="AF640" s="40">
        <f t="shared" si="268"/>
        <v>1</v>
      </c>
      <c r="AG640" s="40">
        <f t="shared" si="269"/>
        <v>0</v>
      </c>
      <c r="AH640" s="40">
        <f t="shared" si="270"/>
        <v>0</v>
      </c>
      <c r="AI640" s="40">
        <f t="shared" si="271"/>
        <v>0</v>
      </c>
      <c r="AJ640" s="40">
        <f t="shared" si="272"/>
        <v>0</v>
      </c>
      <c r="AK640" s="40">
        <f t="shared" si="273"/>
        <v>0</v>
      </c>
      <c r="AL640" s="40">
        <f t="shared" si="274"/>
        <v>0</v>
      </c>
      <c r="AM640" s="40">
        <f t="shared" si="275"/>
        <v>0</v>
      </c>
      <c r="AN640" s="40">
        <f t="shared" si="276"/>
        <v>1</v>
      </c>
      <c r="AO640" s="40">
        <f t="shared" si="277"/>
        <v>0</v>
      </c>
      <c r="AP640" s="40">
        <f t="shared" si="278"/>
        <v>0</v>
      </c>
      <c r="AQ640" s="40">
        <f t="shared" si="279"/>
        <v>0</v>
      </c>
      <c r="AR640" s="40">
        <f t="shared" si="280"/>
        <v>0</v>
      </c>
      <c r="AS640" s="40">
        <f t="shared" si="281"/>
        <v>0</v>
      </c>
    </row>
    <row r="641" spans="2:45" ht="14.4" customHeight="1" x14ac:dyDescent="0.25">
      <c r="B641" s="56" t="s">
        <v>45</v>
      </c>
      <c r="C641" s="57" t="s">
        <v>26</v>
      </c>
      <c r="D641" s="58" t="s">
        <v>29</v>
      </c>
      <c r="E641" s="62">
        <v>4.5899999999999995E-3</v>
      </c>
      <c r="F641" s="65">
        <f t="shared" si="282"/>
        <v>-5.3838752549096833</v>
      </c>
      <c r="S641" s="40">
        <f t="shared" si="255"/>
        <v>0</v>
      </c>
      <c r="T641" s="40">
        <f t="shared" si="256"/>
        <v>0</v>
      </c>
      <c r="U641" s="40">
        <f t="shared" si="257"/>
        <v>0</v>
      </c>
      <c r="V641" s="40">
        <f t="shared" si="258"/>
        <v>1</v>
      </c>
      <c r="W641" s="40">
        <f t="shared" si="259"/>
        <v>0</v>
      </c>
      <c r="X641" s="40">
        <f t="shared" si="260"/>
        <v>0</v>
      </c>
      <c r="Y641" s="40">
        <f t="shared" si="261"/>
        <v>0</v>
      </c>
      <c r="Z641" s="40">
        <f t="shared" si="262"/>
        <v>0</v>
      </c>
      <c r="AA641" s="40">
        <f t="shared" si="263"/>
        <v>0</v>
      </c>
      <c r="AB641" s="40">
        <f t="shared" si="264"/>
        <v>0</v>
      </c>
      <c r="AC641" s="40">
        <f t="shared" si="265"/>
        <v>1</v>
      </c>
      <c r="AD641" s="40">
        <f t="shared" si="266"/>
        <v>0</v>
      </c>
      <c r="AE641" s="40">
        <f t="shared" si="267"/>
        <v>0</v>
      </c>
      <c r="AF641" s="40">
        <f t="shared" si="268"/>
        <v>0</v>
      </c>
      <c r="AG641" s="40">
        <f t="shared" si="269"/>
        <v>0</v>
      </c>
      <c r="AH641" s="40">
        <f t="shared" si="270"/>
        <v>0</v>
      </c>
      <c r="AI641" s="40">
        <f t="shared" si="271"/>
        <v>0</v>
      </c>
      <c r="AJ641" s="40">
        <f t="shared" si="272"/>
        <v>1</v>
      </c>
      <c r="AK641" s="40">
        <f t="shared" si="273"/>
        <v>0</v>
      </c>
      <c r="AL641" s="40">
        <f t="shared" si="274"/>
        <v>0</v>
      </c>
      <c r="AM641" s="40">
        <f t="shared" si="275"/>
        <v>0</v>
      </c>
      <c r="AN641" s="40">
        <f t="shared" si="276"/>
        <v>0</v>
      </c>
      <c r="AO641" s="40">
        <f t="shared" si="277"/>
        <v>0</v>
      </c>
      <c r="AP641" s="40">
        <f t="shared" si="278"/>
        <v>0</v>
      </c>
      <c r="AQ641" s="40">
        <f t="shared" si="279"/>
        <v>0</v>
      </c>
      <c r="AR641" s="40">
        <f t="shared" si="280"/>
        <v>0</v>
      </c>
      <c r="AS641" s="40">
        <f t="shared" si="281"/>
        <v>0</v>
      </c>
    </row>
    <row r="642" spans="2:45" ht="14.4" customHeight="1" x14ac:dyDescent="0.25">
      <c r="B642" s="56" t="s">
        <v>45</v>
      </c>
      <c r="C642" s="57" t="s">
        <v>23</v>
      </c>
      <c r="D642" s="58" t="s">
        <v>37</v>
      </c>
      <c r="E642" s="62">
        <v>5.0500000000000007E-3</v>
      </c>
      <c r="F642" s="65">
        <f t="shared" si="282"/>
        <v>-5.2883670356948684</v>
      </c>
      <c r="S642" s="40">
        <f t="shared" si="255"/>
        <v>0</v>
      </c>
      <c r="T642" s="40">
        <f t="shared" si="256"/>
        <v>0</v>
      </c>
      <c r="U642" s="40">
        <f t="shared" si="257"/>
        <v>0</v>
      </c>
      <c r="V642" s="40">
        <f t="shared" si="258"/>
        <v>1</v>
      </c>
      <c r="W642" s="40">
        <f t="shared" si="259"/>
        <v>0</v>
      </c>
      <c r="X642" s="40">
        <f t="shared" si="260"/>
        <v>0</v>
      </c>
      <c r="Y642" s="40">
        <f t="shared" si="261"/>
        <v>0</v>
      </c>
      <c r="Z642" s="40">
        <f t="shared" si="262"/>
        <v>0</v>
      </c>
      <c r="AA642" s="40">
        <f t="shared" si="263"/>
        <v>0</v>
      </c>
      <c r="AB642" s="40">
        <f t="shared" si="264"/>
        <v>0</v>
      </c>
      <c r="AC642" s="40">
        <f t="shared" si="265"/>
        <v>0</v>
      </c>
      <c r="AD642" s="40">
        <f t="shared" si="266"/>
        <v>0</v>
      </c>
      <c r="AE642" s="40">
        <f t="shared" si="267"/>
        <v>0</v>
      </c>
      <c r="AF642" s="40">
        <f t="shared" si="268"/>
        <v>1</v>
      </c>
      <c r="AG642" s="40">
        <f t="shared" si="269"/>
        <v>0</v>
      </c>
      <c r="AH642" s="40">
        <f t="shared" si="270"/>
        <v>0</v>
      </c>
      <c r="AI642" s="40">
        <f t="shared" si="271"/>
        <v>0</v>
      </c>
      <c r="AJ642" s="40">
        <f t="shared" si="272"/>
        <v>0</v>
      </c>
      <c r="AK642" s="40">
        <f t="shared" si="273"/>
        <v>0</v>
      </c>
      <c r="AL642" s="40">
        <f t="shared" si="274"/>
        <v>0</v>
      </c>
      <c r="AM642" s="40">
        <f t="shared" si="275"/>
        <v>0</v>
      </c>
      <c r="AN642" s="40">
        <f t="shared" si="276"/>
        <v>1</v>
      </c>
      <c r="AO642" s="40">
        <f t="shared" si="277"/>
        <v>0</v>
      </c>
      <c r="AP642" s="40">
        <f t="shared" si="278"/>
        <v>0</v>
      </c>
      <c r="AQ642" s="40">
        <f t="shared" si="279"/>
        <v>0</v>
      </c>
      <c r="AR642" s="40">
        <f t="shared" si="280"/>
        <v>0</v>
      </c>
      <c r="AS642" s="40">
        <f t="shared" si="281"/>
        <v>0</v>
      </c>
    </row>
    <row r="643" spans="2:45" ht="14.4" customHeight="1" x14ac:dyDescent="0.25">
      <c r="B643" s="56" t="s">
        <v>45</v>
      </c>
      <c r="C643" s="57" t="s">
        <v>26</v>
      </c>
      <c r="D643" s="58" t="s">
        <v>29</v>
      </c>
      <c r="E643" s="62">
        <v>8.0299999999999972E-3</v>
      </c>
      <c r="F643" s="65">
        <f t="shared" si="282"/>
        <v>-4.824570751023467</v>
      </c>
      <c r="S643" s="40">
        <f t="shared" si="255"/>
        <v>0</v>
      </c>
      <c r="T643" s="40">
        <f t="shared" si="256"/>
        <v>0</v>
      </c>
      <c r="U643" s="40">
        <f t="shared" si="257"/>
        <v>0</v>
      </c>
      <c r="V643" s="40">
        <f t="shared" si="258"/>
        <v>1</v>
      </c>
      <c r="W643" s="40">
        <f t="shared" si="259"/>
        <v>0</v>
      </c>
      <c r="X643" s="40">
        <f t="shared" si="260"/>
        <v>0</v>
      </c>
      <c r="Y643" s="40">
        <f t="shared" si="261"/>
        <v>0</v>
      </c>
      <c r="Z643" s="40">
        <f t="shared" si="262"/>
        <v>0</v>
      </c>
      <c r="AA643" s="40">
        <f t="shared" si="263"/>
        <v>0</v>
      </c>
      <c r="AB643" s="40">
        <f t="shared" si="264"/>
        <v>0</v>
      </c>
      <c r="AC643" s="40">
        <f t="shared" si="265"/>
        <v>0</v>
      </c>
      <c r="AD643" s="40">
        <f t="shared" si="266"/>
        <v>0</v>
      </c>
      <c r="AE643" s="40">
        <f t="shared" si="267"/>
        <v>0</v>
      </c>
      <c r="AF643" s="40">
        <f t="shared" si="268"/>
        <v>1</v>
      </c>
      <c r="AG643" s="40">
        <f t="shared" si="269"/>
        <v>0</v>
      </c>
      <c r="AH643" s="40">
        <f t="shared" si="270"/>
        <v>0</v>
      </c>
      <c r="AI643" s="40">
        <f t="shared" si="271"/>
        <v>0</v>
      </c>
      <c r="AJ643" s="40">
        <f t="shared" si="272"/>
        <v>0</v>
      </c>
      <c r="AK643" s="40">
        <f t="shared" si="273"/>
        <v>0</v>
      </c>
      <c r="AL643" s="40">
        <f t="shared" si="274"/>
        <v>0</v>
      </c>
      <c r="AM643" s="40">
        <f t="shared" si="275"/>
        <v>0</v>
      </c>
      <c r="AN643" s="40">
        <f t="shared" si="276"/>
        <v>0</v>
      </c>
      <c r="AO643" s="40">
        <f t="shared" si="277"/>
        <v>0</v>
      </c>
      <c r="AP643" s="40">
        <f t="shared" si="278"/>
        <v>0</v>
      </c>
      <c r="AQ643" s="40">
        <f t="shared" si="279"/>
        <v>0</v>
      </c>
      <c r="AR643" s="40">
        <f t="shared" si="280"/>
        <v>0</v>
      </c>
      <c r="AS643" s="40">
        <f t="shared" si="281"/>
        <v>1</v>
      </c>
    </row>
    <row r="644" spans="2:45" ht="14.4" customHeight="1" x14ac:dyDescent="0.25">
      <c r="B644" s="56" t="s">
        <v>45</v>
      </c>
      <c r="C644" s="57" t="s">
        <v>26</v>
      </c>
      <c r="D644" s="58" t="s">
        <v>22</v>
      </c>
      <c r="E644" s="62">
        <v>4.749999999999999E-3</v>
      </c>
      <c r="F644" s="65">
        <f t="shared" si="282"/>
        <v>-5.3496106609355873</v>
      </c>
      <c r="S644" s="40">
        <f t="shared" si="255"/>
        <v>0</v>
      </c>
      <c r="T644" s="40">
        <f t="shared" si="256"/>
        <v>0</v>
      </c>
      <c r="U644" s="40">
        <f t="shared" si="257"/>
        <v>0</v>
      </c>
      <c r="V644" s="40">
        <f t="shared" si="258"/>
        <v>1</v>
      </c>
      <c r="W644" s="40">
        <f t="shared" si="259"/>
        <v>0</v>
      </c>
      <c r="X644" s="40">
        <f t="shared" si="260"/>
        <v>0</v>
      </c>
      <c r="Y644" s="40">
        <f t="shared" si="261"/>
        <v>0</v>
      </c>
      <c r="Z644" s="40">
        <f t="shared" si="262"/>
        <v>0</v>
      </c>
      <c r="AA644" s="40">
        <f t="shared" si="263"/>
        <v>0</v>
      </c>
      <c r="AB644" s="40">
        <f t="shared" si="264"/>
        <v>0</v>
      </c>
      <c r="AC644" s="40">
        <f t="shared" si="265"/>
        <v>0</v>
      </c>
      <c r="AD644" s="40">
        <f t="shared" si="266"/>
        <v>0</v>
      </c>
      <c r="AE644" s="40">
        <f t="shared" si="267"/>
        <v>0</v>
      </c>
      <c r="AF644" s="40">
        <f t="shared" si="268"/>
        <v>1</v>
      </c>
      <c r="AG644" s="40">
        <f t="shared" si="269"/>
        <v>0</v>
      </c>
      <c r="AH644" s="40">
        <f t="shared" si="270"/>
        <v>0</v>
      </c>
      <c r="AI644" s="40">
        <f t="shared" si="271"/>
        <v>0</v>
      </c>
      <c r="AJ644" s="40">
        <f t="shared" si="272"/>
        <v>0</v>
      </c>
      <c r="AK644" s="40">
        <f t="shared" si="273"/>
        <v>0</v>
      </c>
      <c r="AL644" s="40">
        <f t="shared" si="274"/>
        <v>0</v>
      </c>
      <c r="AM644" s="40">
        <f t="shared" si="275"/>
        <v>0</v>
      </c>
      <c r="AN644" s="40">
        <f t="shared" si="276"/>
        <v>0</v>
      </c>
      <c r="AO644" s="40">
        <f t="shared" si="277"/>
        <v>0</v>
      </c>
      <c r="AP644" s="40">
        <f t="shared" si="278"/>
        <v>0</v>
      </c>
      <c r="AQ644" s="40">
        <f t="shared" si="279"/>
        <v>0</v>
      </c>
      <c r="AR644" s="40">
        <f t="shared" si="280"/>
        <v>0</v>
      </c>
      <c r="AS644" s="40">
        <f t="shared" si="281"/>
        <v>1</v>
      </c>
    </row>
    <row r="645" spans="2:45" ht="14.4" customHeight="1" x14ac:dyDescent="0.25">
      <c r="B645" s="56" t="s">
        <v>45</v>
      </c>
      <c r="C645" s="57" t="s">
        <v>26</v>
      </c>
      <c r="D645" s="58" t="s">
        <v>22</v>
      </c>
      <c r="E645" s="62">
        <v>3.1499999999999996E-3</v>
      </c>
      <c r="F645" s="65">
        <f t="shared" si="282"/>
        <v>-5.7603528261445955</v>
      </c>
      <c r="S645" s="40">
        <f t="shared" si="255"/>
        <v>0</v>
      </c>
      <c r="T645" s="40">
        <f t="shared" si="256"/>
        <v>0</v>
      </c>
      <c r="U645" s="40">
        <f t="shared" si="257"/>
        <v>0</v>
      </c>
      <c r="V645" s="40">
        <f t="shared" si="258"/>
        <v>1</v>
      </c>
      <c r="W645" s="40">
        <f t="shared" si="259"/>
        <v>0</v>
      </c>
      <c r="X645" s="40">
        <f t="shared" si="260"/>
        <v>0</v>
      </c>
      <c r="Y645" s="40">
        <f t="shared" si="261"/>
        <v>0</v>
      </c>
      <c r="Z645" s="40">
        <f t="shared" si="262"/>
        <v>0</v>
      </c>
      <c r="AA645" s="40">
        <f t="shared" si="263"/>
        <v>0</v>
      </c>
      <c r="AB645" s="40">
        <f t="shared" si="264"/>
        <v>0</v>
      </c>
      <c r="AC645" s="40">
        <f t="shared" si="265"/>
        <v>0</v>
      </c>
      <c r="AD645" s="40">
        <f t="shared" si="266"/>
        <v>0</v>
      </c>
      <c r="AE645" s="40">
        <f t="shared" si="267"/>
        <v>0</v>
      </c>
      <c r="AF645" s="40">
        <f t="shared" si="268"/>
        <v>1</v>
      </c>
      <c r="AG645" s="40">
        <f t="shared" si="269"/>
        <v>0</v>
      </c>
      <c r="AH645" s="40">
        <f t="shared" si="270"/>
        <v>0</v>
      </c>
      <c r="AI645" s="40">
        <f t="shared" si="271"/>
        <v>0</v>
      </c>
      <c r="AJ645" s="40">
        <f t="shared" si="272"/>
        <v>0</v>
      </c>
      <c r="AK645" s="40">
        <f t="shared" si="273"/>
        <v>0</v>
      </c>
      <c r="AL645" s="40">
        <f t="shared" si="274"/>
        <v>1</v>
      </c>
      <c r="AM645" s="40">
        <f t="shared" si="275"/>
        <v>0</v>
      </c>
      <c r="AN645" s="40">
        <f t="shared" si="276"/>
        <v>0</v>
      </c>
      <c r="AO645" s="40">
        <f t="shared" si="277"/>
        <v>0</v>
      </c>
      <c r="AP645" s="40">
        <f t="shared" si="278"/>
        <v>0</v>
      </c>
      <c r="AQ645" s="40">
        <f t="shared" si="279"/>
        <v>0</v>
      </c>
      <c r="AR645" s="40">
        <f t="shared" si="280"/>
        <v>0</v>
      </c>
      <c r="AS645" s="40">
        <f t="shared" si="281"/>
        <v>0</v>
      </c>
    </row>
    <row r="646" spans="2:45" ht="14.4" customHeight="1" x14ac:dyDescent="0.25">
      <c r="B646" s="56" t="s">
        <v>45</v>
      </c>
      <c r="C646" s="57" t="s">
        <v>26</v>
      </c>
      <c r="D646" s="58" t="s">
        <v>24</v>
      </c>
      <c r="E646" s="62">
        <v>1.0989999999999996E-2</v>
      </c>
      <c r="F646" s="65">
        <f t="shared" si="282"/>
        <v>-4.5107695105666075</v>
      </c>
      <c r="S646" s="40">
        <f t="shared" si="255"/>
        <v>0</v>
      </c>
      <c r="T646" s="40">
        <f t="shared" si="256"/>
        <v>0</v>
      </c>
      <c r="U646" s="40">
        <f t="shared" si="257"/>
        <v>0</v>
      </c>
      <c r="V646" s="40">
        <f t="shared" si="258"/>
        <v>1</v>
      </c>
      <c r="W646" s="40">
        <f t="shared" si="259"/>
        <v>0</v>
      </c>
      <c r="X646" s="40">
        <f t="shared" si="260"/>
        <v>0</v>
      </c>
      <c r="Y646" s="40">
        <f t="shared" si="261"/>
        <v>0</v>
      </c>
      <c r="Z646" s="40">
        <f t="shared" si="262"/>
        <v>0</v>
      </c>
      <c r="AA646" s="40">
        <f t="shared" si="263"/>
        <v>0</v>
      </c>
      <c r="AB646" s="40">
        <f t="shared" si="264"/>
        <v>0</v>
      </c>
      <c r="AC646" s="40">
        <f t="shared" si="265"/>
        <v>0</v>
      </c>
      <c r="AD646" s="40">
        <f t="shared" si="266"/>
        <v>0</v>
      </c>
      <c r="AE646" s="40">
        <f t="shared" si="267"/>
        <v>0</v>
      </c>
      <c r="AF646" s="40">
        <f t="shared" si="268"/>
        <v>1</v>
      </c>
      <c r="AG646" s="40">
        <f t="shared" si="269"/>
        <v>0</v>
      </c>
      <c r="AH646" s="40">
        <f t="shared" si="270"/>
        <v>0</v>
      </c>
      <c r="AI646" s="40">
        <f t="shared" si="271"/>
        <v>0</v>
      </c>
      <c r="AJ646" s="40">
        <f t="shared" si="272"/>
        <v>0</v>
      </c>
      <c r="AK646" s="40">
        <f t="shared" si="273"/>
        <v>0</v>
      </c>
      <c r="AL646" s="40">
        <f t="shared" si="274"/>
        <v>1</v>
      </c>
      <c r="AM646" s="40">
        <f t="shared" si="275"/>
        <v>0</v>
      </c>
      <c r="AN646" s="40">
        <f t="shared" si="276"/>
        <v>0</v>
      </c>
      <c r="AO646" s="40">
        <f t="shared" si="277"/>
        <v>0</v>
      </c>
      <c r="AP646" s="40">
        <f t="shared" si="278"/>
        <v>0</v>
      </c>
      <c r="AQ646" s="40">
        <f t="shared" si="279"/>
        <v>0</v>
      </c>
      <c r="AR646" s="40">
        <f t="shared" si="280"/>
        <v>0</v>
      </c>
      <c r="AS646" s="40">
        <f t="shared" si="281"/>
        <v>0</v>
      </c>
    </row>
    <row r="647" spans="2:45" ht="14.4" customHeight="1" x14ac:dyDescent="0.25">
      <c r="B647" s="56" t="s">
        <v>45</v>
      </c>
      <c r="C647" s="57" t="s">
        <v>26</v>
      </c>
      <c r="D647" s="58" t="s">
        <v>24</v>
      </c>
      <c r="E647" s="62">
        <v>7.5199999999999998E-3</v>
      </c>
      <c r="F647" s="65">
        <f t="shared" si="282"/>
        <v>-4.8901891410203886</v>
      </c>
      <c r="S647" s="40">
        <f t="shared" si="255"/>
        <v>0</v>
      </c>
      <c r="T647" s="40">
        <f t="shared" si="256"/>
        <v>0</v>
      </c>
      <c r="U647" s="40">
        <f t="shared" si="257"/>
        <v>0</v>
      </c>
      <c r="V647" s="40">
        <f t="shared" si="258"/>
        <v>1</v>
      </c>
      <c r="W647" s="40">
        <f t="shared" si="259"/>
        <v>0</v>
      </c>
      <c r="X647" s="40">
        <f t="shared" si="260"/>
        <v>0</v>
      </c>
      <c r="Y647" s="40">
        <f t="shared" si="261"/>
        <v>0</v>
      </c>
      <c r="Z647" s="40">
        <f t="shared" si="262"/>
        <v>0</v>
      </c>
      <c r="AA647" s="40">
        <f t="shared" si="263"/>
        <v>0</v>
      </c>
      <c r="AB647" s="40">
        <f t="shared" si="264"/>
        <v>1</v>
      </c>
      <c r="AC647" s="40">
        <f t="shared" si="265"/>
        <v>0</v>
      </c>
      <c r="AD647" s="40">
        <f t="shared" si="266"/>
        <v>0</v>
      </c>
      <c r="AE647" s="40">
        <f t="shared" si="267"/>
        <v>0</v>
      </c>
      <c r="AF647" s="40">
        <f t="shared" si="268"/>
        <v>0</v>
      </c>
      <c r="AG647" s="40">
        <f t="shared" si="269"/>
        <v>0</v>
      </c>
      <c r="AH647" s="40">
        <f t="shared" si="270"/>
        <v>1</v>
      </c>
      <c r="AI647" s="40">
        <f t="shared" si="271"/>
        <v>0</v>
      </c>
      <c r="AJ647" s="40">
        <f t="shared" si="272"/>
        <v>0</v>
      </c>
      <c r="AK647" s="40">
        <f t="shared" si="273"/>
        <v>0</v>
      </c>
      <c r="AL647" s="40">
        <f t="shared" si="274"/>
        <v>0</v>
      </c>
      <c r="AM647" s="40">
        <f t="shared" si="275"/>
        <v>0</v>
      </c>
      <c r="AN647" s="40">
        <f t="shared" si="276"/>
        <v>0</v>
      </c>
      <c r="AO647" s="40">
        <f t="shared" si="277"/>
        <v>0</v>
      </c>
      <c r="AP647" s="40">
        <f t="shared" si="278"/>
        <v>0</v>
      </c>
      <c r="AQ647" s="40">
        <f t="shared" si="279"/>
        <v>0</v>
      </c>
      <c r="AR647" s="40">
        <f t="shared" si="280"/>
        <v>0</v>
      </c>
      <c r="AS647" s="40">
        <f t="shared" si="281"/>
        <v>0</v>
      </c>
    </row>
    <row r="648" spans="2:45" ht="14.4" customHeight="1" x14ac:dyDescent="0.25">
      <c r="B648" s="56" t="s">
        <v>45</v>
      </c>
      <c r="C648" s="57" t="s">
        <v>25</v>
      </c>
      <c r="D648" s="58" t="s">
        <v>27</v>
      </c>
      <c r="E648" s="62">
        <v>1.068E-2</v>
      </c>
      <c r="F648" s="65">
        <f t="shared" si="282"/>
        <v>-4.5393824454500882</v>
      </c>
      <c r="S648" s="40">
        <f t="shared" si="255"/>
        <v>0</v>
      </c>
      <c r="T648" s="40">
        <f t="shared" si="256"/>
        <v>0</v>
      </c>
      <c r="U648" s="40">
        <f t="shared" si="257"/>
        <v>0</v>
      </c>
      <c r="V648" s="40">
        <f t="shared" si="258"/>
        <v>1</v>
      </c>
      <c r="W648" s="40">
        <f t="shared" si="259"/>
        <v>0</v>
      </c>
      <c r="X648" s="40">
        <f t="shared" si="260"/>
        <v>0</v>
      </c>
      <c r="Y648" s="40">
        <f t="shared" si="261"/>
        <v>0</v>
      </c>
      <c r="Z648" s="40">
        <f t="shared" si="262"/>
        <v>0</v>
      </c>
      <c r="AA648" s="40">
        <f t="shared" si="263"/>
        <v>0</v>
      </c>
      <c r="AB648" s="40">
        <f t="shared" si="264"/>
        <v>1</v>
      </c>
      <c r="AC648" s="40">
        <f t="shared" si="265"/>
        <v>0</v>
      </c>
      <c r="AD648" s="40">
        <f t="shared" si="266"/>
        <v>0</v>
      </c>
      <c r="AE648" s="40">
        <f t="shared" si="267"/>
        <v>0</v>
      </c>
      <c r="AF648" s="40">
        <f t="shared" si="268"/>
        <v>0</v>
      </c>
      <c r="AG648" s="40">
        <f t="shared" si="269"/>
        <v>0</v>
      </c>
      <c r="AH648" s="40">
        <f t="shared" si="270"/>
        <v>0</v>
      </c>
      <c r="AI648" s="40">
        <f t="shared" si="271"/>
        <v>0</v>
      </c>
      <c r="AJ648" s="40">
        <f t="shared" si="272"/>
        <v>0</v>
      </c>
      <c r="AK648" s="40">
        <f t="shared" si="273"/>
        <v>0</v>
      </c>
      <c r="AL648" s="40">
        <f t="shared" si="274"/>
        <v>0</v>
      </c>
      <c r="AM648" s="40">
        <f t="shared" si="275"/>
        <v>0</v>
      </c>
      <c r="AN648" s="40">
        <f t="shared" si="276"/>
        <v>0</v>
      </c>
      <c r="AO648" s="40">
        <f t="shared" si="277"/>
        <v>0</v>
      </c>
      <c r="AP648" s="40">
        <f t="shared" si="278"/>
        <v>0</v>
      </c>
      <c r="AQ648" s="40">
        <f t="shared" si="279"/>
        <v>0</v>
      </c>
      <c r="AR648" s="40">
        <f t="shared" si="280"/>
        <v>0</v>
      </c>
      <c r="AS648" s="40">
        <f t="shared" si="281"/>
        <v>1</v>
      </c>
    </row>
    <row r="649" spans="2:45" ht="14.4" customHeight="1" x14ac:dyDescent="0.25">
      <c r="B649" s="56" t="s">
        <v>45</v>
      </c>
      <c r="C649" s="57" t="s">
        <v>25</v>
      </c>
      <c r="D649" s="58" t="s">
        <v>22</v>
      </c>
      <c r="E649" s="62">
        <v>1.0820000000000003E-2</v>
      </c>
      <c r="F649" s="65">
        <f t="shared" si="282"/>
        <v>-4.5263590055638012</v>
      </c>
      <c r="S649" s="40">
        <f t="shared" si="255"/>
        <v>0</v>
      </c>
      <c r="T649" s="40">
        <f t="shared" si="256"/>
        <v>0</v>
      </c>
      <c r="U649" s="40">
        <f t="shared" si="257"/>
        <v>0</v>
      </c>
      <c r="V649" s="40">
        <f t="shared" si="258"/>
        <v>1</v>
      </c>
      <c r="W649" s="40">
        <f t="shared" si="259"/>
        <v>0</v>
      </c>
      <c r="X649" s="40">
        <f t="shared" si="260"/>
        <v>0</v>
      </c>
      <c r="Y649" s="40">
        <f t="shared" si="261"/>
        <v>0</v>
      </c>
      <c r="Z649" s="40">
        <f t="shared" si="262"/>
        <v>0</v>
      </c>
      <c r="AA649" s="40">
        <f t="shared" si="263"/>
        <v>0</v>
      </c>
      <c r="AB649" s="40">
        <f t="shared" si="264"/>
        <v>0</v>
      </c>
      <c r="AC649" s="40">
        <f t="shared" si="265"/>
        <v>0</v>
      </c>
      <c r="AD649" s="40">
        <f t="shared" si="266"/>
        <v>0</v>
      </c>
      <c r="AE649" s="40">
        <f t="shared" si="267"/>
        <v>0</v>
      </c>
      <c r="AF649" s="40">
        <f t="shared" si="268"/>
        <v>1</v>
      </c>
      <c r="AG649" s="40">
        <f t="shared" si="269"/>
        <v>0</v>
      </c>
      <c r="AH649" s="40">
        <f t="shared" si="270"/>
        <v>0</v>
      </c>
      <c r="AI649" s="40">
        <f t="shared" si="271"/>
        <v>0</v>
      </c>
      <c r="AJ649" s="40">
        <f t="shared" si="272"/>
        <v>0</v>
      </c>
      <c r="AK649" s="40">
        <f t="shared" si="273"/>
        <v>0</v>
      </c>
      <c r="AL649" s="40">
        <f t="shared" si="274"/>
        <v>0</v>
      </c>
      <c r="AM649" s="40">
        <f t="shared" si="275"/>
        <v>0</v>
      </c>
      <c r="AN649" s="40">
        <f t="shared" si="276"/>
        <v>1</v>
      </c>
      <c r="AO649" s="40">
        <f t="shared" si="277"/>
        <v>0</v>
      </c>
      <c r="AP649" s="40">
        <f t="shared" si="278"/>
        <v>0</v>
      </c>
      <c r="AQ649" s="40">
        <f t="shared" si="279"/>
        <v>0</v>
      </c>
      <c r="AR649" s="40">
        <f t="shared" si="280"/>
        <v>0</v>
      </c>
      <c r="AS649" s="40">
        <f t="shared" si="281"/>
        <v>0</v>
      </c>
    </row>
    <row r="650" spans="2:45" ht="14.4" customHeight="1" x14ac:dyDescent="0.25">
      <c r="B650" s="56" t="s">
        <v>45</v>
      </c>
      <c r="C650" s="57" t="s">
        <v>26</v>
      </c>
      <c r="D650" s="58" t="s">
        <v>29</v>
      </c>
      <c r="E650" s="62">
        <v>3.9200000000000016E-3</v>
      </c>
      <c r="F650" s="65">
        <f t="shared" si="282"/>
        <v>-5.5416636251797655</v>
      </c>
      <c r="S650" s="40">
        <f t="shared" ref="S650:S713" si="283">IF($B651=S$9,1,0)</f>
        <v>0</v>
      </c>
      <c r="T650" s="40">
        <f t="shared" ref="T650:T713" si="284">IF($B651=T$9,1,0)</f>
        <v>0</v>
      </c>
      <c r="U650" s="40">
        <f t="shared" ref="U650:U713" si="285">IF($B651=U$9,1,0)</f>
        <v>0</v>
      </c>
      <c r="V650" s="40">
        <f t="shared" ref="V650:V713" si="286">IF($B651=V$9,1,0)</f>
        <v>1</v>
      </c>
      <c r="W650" s="40">
        <f t="shared" ref="W650:W713" si="287">IF($B651=W$9,1,0)</f>
        <v>0</v>
      </c>
      <c r="X650" s="40">
        <f t="shared" ref="X650:X713" si="288">IF($B651=X$9,1,0)</f>
        <v>0</v>
      </c>
      <c r="Y650" s="40">
        <f t="shared" ref="Y650:Y713" si="289">IF($B651=Y$9,1,0)</f>
        <v>0</v>
      </c>
      <c r="Z650" s="40">
        <f t="shared" ref="Z650:Z713" si="290">IF($C651=Z$9,1,0)</f>
        <v>0</v>
      </c>
      <c r="AA650" s="40">
        <f t="shared" ref="AA650:AA713" si="291">IF($C651=AA$9,1,0)</f>
        <v>0</v>
      </c>
      <c r="AB650" s="40">
        <f t="shared" ref="AB650:AB713" si="292">IF($C651=AB$9,1,0)</f>
        <v>0</v>
      </c>
      <c r="AC650" s="40">
        <f t="shared" ref="AC650:AC713" si="293">IF($C651=AC$9,1,0)</f>
        <v>0</v>
      </c>
      <c r="AD650" s="40">
        <f t="shared" ref="AD650:AD713" si="294">IF($C651=AD$9,1,0)</f>
        <v>0</v>
      </c>
      <c r="AE650" s="40">
        <f t="shared" ref="AE650:AE713" si="295">IF($C651=AE$9,1,0)</f>
        <v>0</v>
      </c>
      <c r="AF650" s="40">
        <f t="shared" ref="AF650:AF713" si="296">IF($C651=AF$9,1,0)</f>
        <v>1</v>
      </c>
      <c r="AG650" s="40">
        <f t="shared" ref="AG650:AG713" si="297">IF($C651=AG$9,1,0)</f>
        <v>0</v>
      </c>
      <c r="AH650" s="40">
        <f t="shared" ref="AH650:AH713" si="298">IF($D651=AH$9,1,0)</f>
        <v>0</v>
      </c>
      <c r="AI650" s="40">
        <f t="shared" ref="AI650:AI713" si="299">IF($D651=AI$9,1,0)</f>
        <v>0</v>
      </c>
      <c r="AJ650" s="40">
        <f t="shared" ref="AJ650:AJ713" si="300">IF($D651=AJ$9,1,0)</f>
        <v>0</v>
      </c>
      <c r="AK650" s="40">
        <f t="shared" ref="AK650:AK713" si="301">IF($D651=AK$9,1,0)</f>
        <v>0</v>
      </c>
      <c r="AL650" s="40">
        <f t="shared" ref="AL650:AL713" si="302">IF($D651=AL$9,1,0)</f>
        <v>1</v>
      </c>
      <c r="AM650" s="40">
        <f t="shared" ref="AM650:AM713" si="303">IF($D651=AM$9,1,0)</f>
        <v>0</v>
      </c>
      <c r="AN650" s="40">
        <f t="shared" ref="AN650:AN713" si="304">IF($D651=AN$9,1,0)</f>
        <v>0</v>
      </c>
      <c r="AO650" s="40">
        <f t="shared" ref="AO650:AO713" si="305">IF($D651=AO$9,1,0)</f>
        <v>0</v>
      </c>
      <c r="AP650" s="40">
        <f t="shared" ref="AP650:AP713" si="306">IF($D651=AP$9,1,0)</f>
        <v>0</v>
      </c>
      <c r="AQ650" s="40">
        <f t="shared" ref="AQ650:AQ713" si="307">IF($D651=AQ$9,1,0)</f>
        <v>0</v>
      </c>
      <c r="AR650" s="40">
        <f t="shared" ref="AR650:AR713" si="308">IF($D651=AR$9,1,0)</f>
        <v>0</v>
      </c>
      <c r="AS650" s="40">
        <f t="shared" ref="AS650:AS713" si="309">IF($D651=AS$9,1,0)</f>
        <v>0</v>
      </c>
    </row>
    <row r="651" spans="2:45" ht="14.4" customHeight="1" x14ac:dyDescent="0.25">
      <c r="B651" s="56" t="s">
        <v>45</v>
      </c>
      <c r="C651" s="57" t="s">
        <v>26</v>
      </c>
      <c r="D651" s="58" t="s">
        <v>24</v>
      </c>
      <c r="E651" s="62">
        <v>5.5499999999999985E-3</v>
      </c>
      <c r="F651" s="65">
        <f t="shared" si="282"/>
        <v>-5.1939573512237942</v>
      </c>
      <c r="S651" s="40">
        <f t="shared" si="283"/>
        <v>0</v>
      </c>
      <c r="T651" s="40">
        <f t="shared" si="284"/>
        <v>0</v>
      </c>
      <c r="U651" s="40">
        <f t="shared" si="285"/>
        <v>0</v>
      </c>
      <c r="V651" s="40">
        <f t="shared" si="286"/>
        <v>1</v>
      </c>
      <c r="W651" s="40">
        <f t="shared" si="287"/>
        <v>0</v>
      </c>
      <c r="X651" s="40">
        <f t="shared" si="288"/>
        <v>0</v>
      </c>
      <c r="Y651" s="40">
        <f t="shared" si="289"/>
        <v>0</v>
      </c>
      <c r="Z651" s="40">
        <f t="shared" si="290"/>
        <v>0</v>
      </c>
      <c r="AA651" s="40">
        <f t="shared" si="291"/>
        <v>0</v>
      </c>
      <c r="AB651" s="40">
        <f t="shared" si="292"/>
        <v>0</v>
      </c>
      <c r="AC651" s="40">
        <f t="shared" si="293"/>
        <v>0</v>
      </c>
      <c r="AD651" s="40">
        <f t="shared" si="294"/>
        <v>0</v>
      </c>
      <c r="AE651" s="40">
        <f t="shared" si="295"/>
        <v>0</v>
      </c>
      <c r="AF651" s="40">
        <f t="shared" si="296"/>
        <v>1</v>
      </c>
      <c r="AG651" s="40">
        <f t="shared" si="297"/>
        <v>0</v>
      </c>
      <c r="AH651" s="40">
        <f t="shared" si="298"/>
        <v>0</v>
      </c>
      <c r="AI651" s="40">
        <f t="shared" si="299"/>
        <v>0</v>
      </c>
      <c r="AJ651" s="40">
        <f t="shared" si="300"/>
        <v>0</v>
      </c>
      <c r="AK651" s="40">
        <f t="shared" si="301"/>
        <v>0</v>
      </c>
      <c r="AL651" s="40">
        <f t="shared" si="302"/>
        <v>1</v>
      </c>
      <c r="AM651" s="40">
        <f t="shared" si="303"/>
        <v>0</v>
      </c>
      <c r="AN651" s="40">
        <f t="shared" si="304"/>
        <v>0</v>
      </c>
      <c r="AO651" s="40">
        <f t="shared" si="305"/>
        <v>0</v>
      </c>
      <c r="AP651" s="40">
        <f t="shared" si="306"/>
        <v>0</v>
      </c>
      <c r="AQ651" s="40">
        <f t="shared" si="307"/>
        <v>0</v>
      </c>
      <c r="AR651" s="40">
        <f t="shared" si="308"/>
        <v>0</v>
      </c>
      <c r="AS651" s="40">
        <f t="shared" si="309"/>
        <v>0</v>
      </c>
    </row>
    <row r="652" spans="2:45" ht="14.4" customHeight="1" x14ac:dyDescent="0.25">
      <c r="B652" s="56" t="s">
        <v>45</v>
      </c>
      <c r="C652" s="57" t="s">
        <v>26</v>
      </c>
      <c r="D652" s="58" t="s">
        <v>24</v>
      </c>
      <c r="E652" s="62">
        <v>6.4199999999999986E-3</v>
      </c>
      <c r="F652" s="65">
        <f t="shared" ref="F652:F715" si="310">LN(E652)</f>
        <v>-5.0483371612802674</v>
      </c>
      <c r="S652" s="40">
        <f t="shared" si="283"/>
        <v>0</v>
      </c>
      <c r="T652" s="40">
        <f t="shared" si="284"/>
        <v>0</v>
      </c>
      <c r="U652" s="40">
        <f t="shared" si="285"/>
        <v>0</v>
      </c>
      <c r="V652" s="40">
        <f t="shared" si="286"/>
        <v>1</v>
      </c>
      <c r="W652" s="40">
        <f t="shared" si="287"/>
        <v>0</v>
      </c>
      <c r="X652" s="40">
        <f t="shared" si="288"/>
        <v>0</v>
      </c>
      <c r="Y652" s="40">
        <f t="shared" si="289"/>
        <v>0</v>
      </c>
      <c r="Z652" s="40">
        <f t="shared" si="290"/>
        <v>0</v>
      </c>
      <c r="AA652" s="40">
        <f t="shared" si="291"/>
        <v>0</v>
      </c>
      <c r="AB652" s="40">
        <f t="shared" si="292"/>
        <v>0</v>
      </c>
      <c r="AC652" s="40">
        <f t="shared" si="293"/>
        <v>0</v>
      </c>
      <c r="AD652" s="40">
        <f t="shared" si="294"/>
        <v>0</v>
      </c>
      <c r="AE652" s="40">
        <f t="shared" si="295"/>
        <v>0</v>
      </c>
      <c r="AF652" s="40">
        <f t="shared" si="296"/>
        <v>1</v>
      </c>
      <c r="AG652" s="40">
        <f t="shared" si="297"/>
        <v>0</v>
      </c>
      <c r="AH652" s="40">
        <f t="shared" si="298"/>
        <v>0</v>
      </c>
      <c r="AI652" s="40">
        <f t="shared" si="299"/>
        <v>1</v>
      </c>
      <c r="AJ652" s="40">
        <f t="shared" si="300"/>
        <v>0</v>
      </c>
      <c r="AK652" s="40">
        <f t="shared" si="301"/>
        <v>0</v>
      </c>
      <c r="AL652" s="40">
        <f t="shared" si="302"/>
        <v>0</v>
      </c>
      <c r="AM652" s="40">
        <f t="shared" si="303"/>
        <v>0</v>
      </c>
      <c r="AN652" s="40">
        <f t="shared" si="304"/>
        <v>0</v>
      </c>
      <c r="AO652" s="40">
        <f t="shared" si="305"/>
        <v>0</v>
      </c>
      <c r="AP652" s="40">
        <f t="shared" si="306"/>
        <v>0</v>
      </c>
      <c r="AQ652" s="40">
        <f t="shared" si="307"/>
        <v>0</v>
      </c>
      <c r="AR652" s="40">
        <f t="shared" si="308"/>
        <v>0</v>
      </c>
      <c r="AS652" s="40">
        <f t="shared" si="309"/>
        <v>0</v>
      </c>
    </row>
    <row r="653" spans="2:45" ht="14.4" customHeight="1" x14ac:dyDescent="0.25">
      <c r="B653" s="56" t="s">
        <v>45</v>
      </c>
      <c r="C653" s="57" t="s">
        <v>26</v>
      </c>
      <c r="D653" s="58" t="s">
        <v>28</v>
      </c>
      <c r="E653" s="62">
        <v>8.5999999999999965E-3</v>
      </c>
      <c r="F653" s="65">
        <f t="shared" si="310"/>
        <v>-4.7559930757226754</v>
      </c>
      <c r="S653" s="40">
        <f t="shared" si="283"/>
        <v>0</v>
      </c>
      <c r="T653" s="40">
        <f t="shared" si="284"/>
        <v>0</v>
      </c>
      <c r="U653" s="40">
        <f t="shared" si="285"/>
        <v>0</v>
      </c>
      <c r="V653" s="40">
        <f t="shared" si="286"/>
        <v>1</v>
      </c>
      <c r="W653" s="40">
        <f t="shared" si="287"/>
        <v>0</v>
      </c>
      <c r="X653" s="40">
        <f t="shared" si="288"/>
        <v>0</v>
      </c>
      <c r="Y653" s="40">
        <f t="shared" si="289"/>
        <v>0</v>
      </c>
      <c r="Z653" s="40">
        <f t="shared" si="290"/>
        <v>0</v>
      </c>
      <c r="AA653" s="40">
        <f t="shared" si="291"/>
        <v>0</v>
      </c>
      <c r="AB653" s="40">
        <f t="shared" si="292"/>
        <v>1</v>
      </c>
      <c r="AC653" s="40">
        <f t="shared" si="293"/>
        <v>0</v>
      </c>
      <c r="AD653" s="40">
        <f t="shared" si="294"/>
        <v>0</v>
      </c>
      <c r="AE653" s="40">
        <f t="shared" si="295"/>
        <v>0</v>
      </c>
      <c r="AF653" s="40">
        <f t="shared" si="296"/>
        <v>0</v>
      </c>
      <c r="AG653" s="40">
        <f t="shared" si="297"/>
        <v>0</v>
      </c>
      <c r="AH653" s="40">
        <f t="shared" si="298"/>
        <v>0</v>
      </c>
      <c r="AI653" s="40">
        <f t="shared" si="299"/>
        <v>0</v>
      </c>
      <c r="AJ653" s="40">
        <f t="shared" si="300"/>
        <v>0</v>
      </c>
      <c r="AK653" s="40">
        <f t="shared" si="301"/>
        <v>0</v>
      </c>
      <c r="AL653" s="40">
        <f t="shared" si="302"/>
        <v>0</v>
      </c>
      <c r="AM653" s="40">
        <f t="shared" si="303"/>
        <v>0</v>
      </c>
      <c r="AN653" s="40">
        <f t="shared" si="304"/>
        <v>0</v>
      </c>
      <c r="AO653" s="40">
        <f t="shared" si="305"/>
        <v>1</v>
      </c>
      <c r="AP653" s="40">
        <f t="shared" si="306"/>
        <v>0</v>
      </c>
      <c r="AQ653" s="40">
        <f t="shared" si="307"/>
        <v>0</v>
      </c>
      <c r="AR653" s="40">
        <f t="shared" si="308"/>
        <v>0</v>
      </c>
      <c r="AS653" s="40">
        <f t="shared" si="309"/>
        <v>0</v>
      </c>
    </row>
    <row r="654" spans="2:45" ht="14.4" customHeight="1" x14ac:dyDescent="0.25">
      <c r="B654" s="56" t="s">
        <v>45</v>
      </c>
      <c r="C654" s="57" t="s">
        <v>25</v>
      </c>
      <c r="D654" s="58" t="s">
        <v>31</v>
      </c>
      <c r="E654" s="62">
        <v>6.0800000000000003E-3</v>
      </c>
      <c r="F654" s="65">
        <f t="shared" si="310"/>
        <v>-5.1027505830040614</v>
      </c>
      <c r="S654" s="40">
        <f t="shared" si="283"/>
        <v>0</v>
      </c>
      <c r="T654" s="40">
        <f t="shared" si="284"/>
        <v>0</v>
      </c>
      <c r="U654" s="40">
        <f t="shared" si="285"/>
        <v>0</v>
      </c>
      <c r="V654" s="40">
        <f t="shared" si="286"/>
        <v>1</v>
      </c>
      <c r="W654" s="40">
        <f t="shared" si="287"/>
        <v>0</v>
      </c>
      <c r="X654" s="40">
        <f t="shared" si="288"/>
        <v>0</v>
      </c>
      <c r="Y654" s="40">
        <f t="shared" si="289"/>
        <v>0</v>
      </c>
      <c r="Z654" s="40">
        <f t="shared" si="290"/>
        <v>1</v>
      </c>
      <c r="AA654" s="40">
        <f t="shared" si="291"/>
        <v>0</v>
      </c>
      <c r="AB654" s="40">
        <f t="shared" si="292"/>
        <v>0</v>
      </c>
      <c r="AC654" s="40">
        <f t="shared" si="293"/>
        <v>0</v>
      </c>
      <c r="AD654" s="40">
        <f t="shared" si="294"/>
        <v>0</v>
      </c>
      <c r="AE654" s="40">
        <f t="shared" si="295"/>
        <v>0</v>
      </c>
      <c r="AF654" s="40">
        <f t="shared" si="296"/>
        <v>0</v>
      </c>
      <c r="AG654" s="40">
        <f t="shared" si="297"/>
        <v>0</v>
      </c>
      <c r="AH654" s="40">
        <f t="shared" si="298"/>
        <v>0</v>
      </c>
      <c r="AI654" s="40">
        <f t="shared" si="299"/>
        <v>0</v>
      </c>
      <c r="AJ654" s="40">
        <f t="shared" si="300"/>
        <v>0</v>
      </c>
      <c r="AK654" s="40">
        <f t="shared" si="301"/>
        <v>0</v>
      </c>
      <c r="AL654" s="40">
        <f t="shared" si="302"/>
        <v>1</v>
      </c>
      <c r="AM654" s="40">
        <f t="shared" si="303"/>
        <v>0</v>
      </c>
      <c r="AN654" s="40">
        <f t="shared" si="304"/>
        <v>0</v>
      </c>
      <c r="AO654" s="40">
        <f t="shared" si="305"/>
        <v>0</v>
      </c>
      <c r="AP654" s="40">
        <f t="shared" si="306"/>
        <v>0</v>
      </c>
      <c r="AQ654" s="40">
        <f t="shared" si="307"/>
        <v>0</v>
      </c>
      <c r="AR654" s="40">
        <f t="shared" si="308"/>
        <v>0</v>
      </c>
      <c r="AS654" s="40">
        <f t="shared" si="309"/>
        <v>0</v>
      </c>
    </row>
    <row r="655" spans="2:45" ht="14.4" customHeight="1" x14ac:dyDescent="0.25">
      <c r="B655" s="56" t="s">
        <v>45</v>
      </c>
      <c r="C655" s="57" t="s">
        <v>36</v>
      </c>
      <c r="D655" s="58" t="s">
        <v>24</v>
      </c>
      <c r="E655" s="62">
        <v>5.7199999999999977E-3</v>
      </c>
      <c r="F655" s="65">
        <f t="shared" si="310"/>
        <v>-5.1637864735904309</v>
      </c>
      <c r="S655" s="40">
        <f t="shared" si="283"/>
        <v>0</v>
      </c>
      <c r="T655" s="40">
        <f t="shared" si="284"/>
        <v>0</v>
      </c>
      <c r="U655" s="40">
        <f t="shared" si="285"/>
        <v>0</v>
      </c>
      <c r="V655" s="40">
        <f t="shared" si="286"/>
        <v>1</v>
      </c>
      <c r="W655" s="40">
        <f t="shared" si="287"/>
        <v>0</v>
      </c>
      <c r="X655" s="40">
        <f t="shared" si="288"/>
        <v>0</v>
      </c>
      <c r="Y655" s="40">
        <f t="shared" si="289"/>
        <v>0</v>
      </c>
      <c r="Z655" s="40">
        <f t="shared" si="290"/>
        <v>0</v>
      </c>
      <c r="AA655" s="40">
        <f t="shared" si="291"/>
        <v>0</v>
      </c>
      <c r="AB655" s="40">
        <f t="shared" si="292"/>
        <v>0</v>
      </c>
      <c r="AC655" s="40">
        <f t="shared" si="293"/>
        <v>0</v>
      </c>
      <c r="AD655" s="40">
        <f t="shared" si="294"/>
        <v>0</v>
      </c>
      <c r="AE655" s="40">
        <f t="shared" si="295"/>
        <v>0</v>
      </c>
      <c r="AF655" s="40">
        <f t="shared" si="296"/>
        <v>1</v>
      </c>
      <c r="AG655" s="40">
        <f t="shared" si="297"/>
        <v>0</v>
      </c>
      <c r="AH655" s="40">
        <f t="shared" si="298"/>
        <v>1</v>
      </c>
      <c r="AI655" s="40">
        <f t="shared" si="299"/>
        <v>0</v>
      </c>
      <c r="AJ655" s="40">
        <f t="shared" si="300"/>
        <v>0</v>
      </c>
      <c r="AK655" s="40">
        <f t="shared" si="301"/>
        <v>0</v>
      </c>
      <c r="AL655" s="40">
        <f t="shared" si="302"/>
        <v>0</v>
      </c>
      <c r="AM655" s="40">
        <f t="shared" si="303"/>
        <v>0</v>
      </c>
      <c r="AN655" s="40">
        <f t="shared" si="304"/>
        <v>0</v>
      </c>
      <c r="AO655" s="40">
        <f t="shared" si="305"/>
        <v>0</v>
      </c>
      <c r="AP655" s="40">
        <f t="shared" si="306"/>
        <v>0</v>
      </c>
      <c r="AQ655" s="40">
        <f t="shared" si="307"/>
        <v>0</v>
      </c>
      <c r="AR655" s="40">
        <f t="shared" si="308"/>
        <v>0</v>
      </c>
      <c r="AS655" s="40">
        <f t="shared" si="309"/>
        <v>0</v>
      </c>
    </row>
    <row r="656" spans="2:45" ht="14.4" customHeight="1" x14ac:dyDescent="0.25">
      <c r="B656" s="56" t="s">
        <v>45</v>
      </c>
      <c r="C656" s="57" t="s">
        <v>26</v>
      </c>
      <c r="D656" s="58" t="s">
        <v>27</v>
      </c>
      <c r="E656" s="62">
        <v>4.9499999999999987E-3</v>
      </c>
      <c r="F656" s="65">
        <f t="shared" si="310"/>
        <v>-5.3083677024015383</v>
      </c>
      <c r="S656" s="40">
        <f t="shared" si="283"/>
        <v>0</v>
      </c>
      <c r="T656" s="40">
        <f t="shared" si="284"/>
        <v>0</v>
      </c>
      <c r="U656" s="40">
        <f t="shared" si="285"/>
        <v>0</v>
      </c>
      <c r="V656" s="40">
        <f t="shared" si="286"/>
        <v>1</v>
      </c>
      <c r="W656" s="40">
        <f t="shared" si="287"/>
        <v>0</v>
      </c>
      <c r="X656" s="40">
        <f t="shared" si="288"/>
        <v>0</v>
      </c>
      <c r="Y656" s="40">
        <f t="shared" si="289"/>
        <v>0</v>
      </c>
      <c r="Z656" s="40">
        <f t="shared" si="290"/>
        <v>0</v>
      </c>
      <c r="AA656" s="40">
        <f t="shared" si="291"/>
        <v>0</v>
      </c>
      <c r="AB656" s="40">
        <f t="shared" si="292"/>
        <v>0</v>
      </c>
      <c r="AC656" s="40">
        <f t="shared" si="293"/>
        <v>0</v>
      </c>
      <c r="AD656" s="40">
        <f t="shared" si="294"/>
        <v>0</v>
      </c>
      <c r="AE656" s="40">
        <f t="shared" si="295"/>
        <v>0</v>
      </c>
      <c r="AF656" s="40">
        <f t="shared" si="296"/>
        <v>1</v>
      </c>
      <c r="AG656" s="40">
        <f t="shared" si="297"/>
        <v>0</v>
      </c>
      <c r="AH656" s="40">
        <f t="shared" si="298"/>
        <v>1</v>
      </c>
      <c r="AI656" s="40">
        <f t="shared" si="299"/>
        <v>0</v>
      </c>
      <c r="AJ656" s="40">
        <f t="shared" si="300"/>
        <v>0</v>
      </c>
      <c r="AK656" s="40">
        <f t="shared" si="301"/>
        <v>0</v>
      </c>
      <c r="AL656" s="40">
        <f t="shared" si="302"/>
        <v>0</v>
      </c>
      <c r="AM656" s="40">
        <f t="shared" si="303"/>
        <v>0</v>
      </c>
      <c r="AN656" s="40">
        <f t="shared" si="304"/>
        <v>0</v>
      </c>
      <c r="AO656" s="40">
        <f t="shared" si="305"/>
        <v>0</v>
      </c>
      <c r="AP656" s="40">
        <f t="shared" si="306"/>
        <v>0</v>
      </c>
      <c r="AQ656" s="40">
        <f t="shared" si="307"/>
        <v>0</v>
      </c>
      <c r="AR656" s="40">
        <f t="shared" si="308"/>
        <v>0</v>
      </c>
      <c r="AS656" s="40">
        <f t="shared" si="309"/>
        <v>0</v>
      </c>
    </row>
    <row r="657" spans="2:45" ht="14.4" customHeight="1" x14ac:dyDescent="0.25">
      <c r="B657" s="56" t="s">
        <v>45</v>
      </c>
      <c r="C657" s="57" t="s">
        <v>26</v>
      </c>
      <c r="D657" s="58" t="s">
        <v>27</v>
      </c>
      <c r="E657" s="62">
        <v>4.9400000000000008E-3</v>
      </c>
      <c r="F657" s="65">
        <f t="shared" si="310"/>
        <v>-5.3103899477823058</v>
      </c>
      <c r="S657" s="40">
        <f t="shared" si="283"/>
        <v>0</v>
      </c>
      <c r="T657" s="40">
        <f t="shared" si="284"/>
        <v>0</v>
      </c>
      <c r="U657" s="40">
        <f t="shared" si="285"/>
        <v>0</v>
      </c>
      <c r="V657" s="40">
        <f t="shared" si="286"/>
        <v>1</v>
      </c>
      <c r="W657" s="40">
        <f t="shared" si="287"/>
        <v>0</v>
      </c>
      <c r="X657" s="40">
        <f t="shared" si="288"/>
        <v>0</v>
      </c>
      <c r="Y657" s="40">
        <f t="shared" si="289"/>
        <v>0</v>
      </c>
      <c r="Z657" s="40">
        <f t="shared" si="290"/>
        <v>0</v>
      </c>
      <c r="AA657" s="40">
        <f t="shared" si="291"/>
        <v>0</v>
      </c>
      <c r="AB657" s="40">
        <f t="shared" si="292"/>
        <v>0</v>
      </c>
      <c r="AC657" s="40">
        <f t="shared" si="293"/>
        <v>0</v>
      </c>
      <c r="AD657" s="40">
        <f t="shared" si="294"/>
        <v>0</v>
      </c>
      <c r="AE657" s="40">
        <f t="shared" si="295"/>
        <v>0</v>
      </c>
      <c r="AF657" s="40">
        <f t="shared" si="296"/>
        <v>1</v>
      </c>
      <c r="AG657" s="40">
        <f t="shared" si="297"/>
        <v>0</v>
      </c>
      <c r="AH657" s="40">
        <f t="shared" si="298"/>
        <v>0</v>
      </c>
      <c r="AI657" s="40">
        <f t="shared" si="299"/>
        <v>1</v>
      </c>
      <c r="AJ657" s="40">
        <f t="shared" si="300"/>
        <v>0</v>
      </c>
      <c r="AK657" s="40">
        <f t="shared" si="301"/>
        <v>0</v>
      </c>
      <c r="AL657" s="40">
        <f t="shared" si="302"/>
        <v>0</v>
      </c>
      <c r="AM657" s="40">
        <f t="shared" si="303"/>
        <v>0</v>
      </c>
      <c r="AN657" s="40">
        <f t="shared" si="304"/>
        <v>0</v>
      </c>
      <c r="AO657" s="40">
        <f t="shared" si="305"/>
        <v>0</v>
      </c>
      <c r="AP657" s="40">
        <f t="shared" si="306"/>
        <v>0</v>
      </c>
      <c r="AQ657" s="40">
        <f t="shared" si="307"/>
        <v>0</v>
      </c>
      <c r="AR657" s="40">
        <f t="shared" si="308"/>
        <v>0</v>
      </c>
      <c r="AS657" s="40">
        <f t="shared" si="309"/>
        <v>0</v>
      </c>
    </row>
    <row r="658" spans="2:45" ht="14.4" customHeight="1" x14ac:dyDescent="0.25">
      <c r="B658" s="56" t="s">
        <v>45</v>
      </c>
      <c r="C658" s="57" t="s">
        <v>26</v>
      </c>
      <c r="D658" s="58" t="s">
        <v>28</v>
      </c>
      <c r="E658" s="62">
        <v>2.4600000000000008E-3</v>
      </c>
      <c r="F658" s="65">
        <f t="shared" si="310"/>
        <v>-6.0075939290378653</v>
      </c>
      <c r="S658" s="40">
        <f t="shared" si="283"/>
        <v>0</v>
      </c>
      <c r="T658" s="40">
        <f t="shared" si="284"/>
        <v>0</v>
      </c>
      <c r="U658" s="40">
        <f t="shared" si="285"/>
        <v>0</v>
      </c>
      <c r="V658" s="40">
        <f t="shared" si="286"/>
        <v>1</v>
      </c>
      <c r="W658" s="40">
        <f t="shared" si="287"/>
        <v>0</v>
      </c>
      <c r="X658" s="40">
        <f t="shared" si="288"/>
        <v>0</v>
      </c>
      <c r="Y658" s="40">
        <f t="shared" si="289"/>
        <v>0</v>
      </c>
      <c r="Z658" s="40">
        <f t="shared" si="290"/>
        <v>0</v>
      </c>
      <c r="AA658" s="40">
        <f t="shared" si="291"/>
        <v>0</v>
      </c>
      <c r="AB658" s="40">
        <f t="shared" si="292"/>
        <v>0</v>
      </c>
      <c r="AC658" s="40">
        <f t="shared" si="293"/>
        <v>0</v>
      </c>
      <c r="AD658" s="40">
        <f t="shared" si="294"/>
        <v>0</v>
      </c>
      <c r="AE658" s="40">
        <f t="shared" si="295"/>
        <v>0</v>
      </c>
      <c r="AF658" s="40">
        <f t="shared" si="296"/>
        <v>1</v>
      </c>
      <c r="AG658" s="40">
        <f t="shared" si="297"/>
        <v>0</v>
      </c>
      <c r="AH658" s="40">
        <f t="shared" si="298"/>
        <v>0</v>
      </c>
      <c r="AI658" s="40">
        <f t="shared" si="299"/>
        <v>0</v>
      </c>
      <c r="AJ658" s="40">
        <f t="shared" si="300"/>
        <v>0</v>
      </c>
      <c r="AK658" s="40">
        <f t="shared" si="301"/>
        <v>0</v>
      </c>
      <c r="AL658" s="40">
        <f t="shared" si="302"/>
        <v>0</v>
      </c>
      <c r="AM658" s="40">
        <f t="shared" si="303"/>
        <v>0</v>
      </c>
      <c r="AN658" s="40">
        <f t="shared" si="304"/>
        <v>1</v>
      </c>
      <c r="AO658" s="40">
        <f t="shared" si="305"/>
        <v>0</v>
      </c>
      <c r="AP658" s="40">
        <f t="shared" si="306"/>
        <v>0</v>
      </c>
      <c r="AQ658" s="40">
        <f t="shared" si="307"/>
        <v>0</v>
      </c>
      <c r="AR658" s="40">
        <f t="shared" si="308"/>
        <v>0</v>
      </c>
      <c r="AS658" s="40">
        <f t="shared" si="309"/>
        <v>0</v>
      </c>
    </row>
    <row r="659" spans="2:45" ht="14.4" customHeight="1" x14ac:dyDescent="0.25">
      <c r="B659" s="56" t="s">
        <v>45</v>
      </c>
      <c r="C659" s="57" t="s">
        <v>26</v>
      </c>
      <c r="D659" s="58" t="s">
        <v>29</v>
      </c>
      <c r="E659" s="62">
        <v>8.3500000000000015E-3</v>
      </c>
      <c r="F659" s="65">
        <f t="shared" si="310"/>
        <v>-4.7854937401193727</v>
      </c>
      <c r="S659" s="40">
        <f t="shared" si="283"/>
        <v>0</v>
      </c>
      <c r="T659" s="40">
        <f t="shared" si="284"/>
        <v>0</v>
      </c>
      <c r="U659" s="40">
        <f t="shared" si="285"/>
        <v>0</v>
      </c>
      <c r="V659" s="40">
        <f t="shared" si="286"/>
        <v>1</v>
      </c>
      <c r="W659" s="40">
        <f t="shared" si="287"/>
        <v>0</v>
      </c>
      <c r="X659" s="40">
        <f t="shared" si="288"/>
        <v>0</v>
      </c>
      <c r="Y659" s="40">
        <f t="shared" si="289"/>
        <v>0</v>
      </c>
      <c r="Z659" s="40">
        <f t="shared" si="290"/>
        <v>0</v>
      </c>
      <c r="AA659" s="40">
        <f t="shared" si="291"/>
        <v>0</v>
      </c>
      <c r="AB659" s="40">
        <f t="shared" si="292"/>
        <v>0</v>
      </c>
      <c r="AC659" s="40">
        <f t="shared" si="293"/>
        <v>0</v>
      </c>
      <c r="AD659" s="40">
        <f t="shared" si="294"/>
        <v>0</v>
      </c>
      <c r="AE659" s="40">
        <f t="shared" si="295"/>
        <v>0</v>
      </c>
      <c r="AF659" s="40">
        <f t="shared" si="296"/>
        <v>1</v>
      </c>
      <c r="AG659" s="40">
        <f t="shared" si="297"/>
        <v>0</v>
      </c>
      <c r="AH659" s="40">
        <f t="shared" si="298"/>
        <v>0</v>
      </c>
      <c r="AI659" s="40">
        <f t="shared" si="299"/>
        <v>0</v>
      </c>
      <c r="AJ659" s="40">
        <f t="shared" si="300"/>
        <v>1</v>
      </c>
      <c r="AK659" s="40">
        <f t="shared" si="301"/>
        <v>0</v>
      </c>
      <c r="AL659" s="40">
        <f t="shared" si="302"/>
        <v>0</v>
      </c>
      <c r="AM659" s="40">
        <f t="shared" si="303"/>
        <v>0</v>
      </c>
      <c r="AN659" s="40">
        <f t="shared" si="304"/>
        <v>0</v>
      </c>
      <c r="AO659" s="40">
        <f t="shared" si="305"/>
        <v>0</v>
      </c>
      <c r="AP659" s="40">
        <f t="shared" si="306"/>
        <v>0</v>
      </c>
      <c r="AQ659" s="40">
        <f t="shared" si="307"/>
        <v>0</v>
      </c>
      <c r="AR659" s="40">
        <f t="shared" si="308"/>
        <v>0</v>
      </c>
      <c r="AS659" s="40">
        <f t="shared" si="309"/>
        <v>0</v>
      </c>
    </row>
    <row r="660" spans="2:45" ht="14.4" customHeight="1" x14ac:dyDescent="0.25">
      <c r="B660" s="56" t="s">
        <v>45</v>
      </c>
      <c r="C660" s="57" t="s">
        <v>26</v>
      </c>
      <c r="D660" s="58" t="s">
        <v>37</v>
      </c>
      <c r="E660" s="62">
        <v>9.5999999999999992E-3</v>
      </c>
      <c r="F660" s="65">
        <f t="shared" si="310"/>
        <v>-4.6459921805083466</v>
      </c>
      <c r="S660" s="40">
        <f t="shared" si="283"/>
        <v>0</v>
      </c>
      <c r="T660" s="40">
        <f t="shared" si="284"/>
        <v>0</v>
      </c>
      <c r="U660" s="40">
        <f t="shared" si="285"/>
        <v>0</v>
      </c>
      <c r="V660" s="40">
        <f t="shared" si="286"/>
        <v>1</v>
      </c>
      <c r="W660" s="40">
        <f t="shared" si="287"/>
        <v>0</v>
      </c>
      <c r="X660" s="40">
        <f t="shared" si="288"/>
        <v>0</v>
      </c>
      <c r="Y660" s="40">
        <f t="shared" si="289"/>
        <v>0</v>
      </c>
      <c r="Z660" s="40">
        <f t="shared" si="290"/>
        <v>0</v>
      </c>
      <c r="AA660" s="40">
        <f t="shared" si="291"/>
        <v>0</v>
      </c>
      <c r="AB660" s="40">
        <f t="shared" si="292"/>
        <v>0</v>
      </c>
      <c r="AC660" s="40">
        <f t="shared" si="293"/>
        <v>0</v>
      </c>
      <c r="AD660" s="40">
        <f t="shared" si="294"/>
        <v>0</v>
      </c>
      <c r="AE660" s="40">
        <f t="shared" si="295"/>
        <v>0</v>
      </c>
      <c r="AF660" s="40">
        <f t="shared" si="296"/>
        <v>1</v>
      </c>
      <c r="AG660" s="40">
        <f t="shared" si="297"/>
        <v>0</v>
      </c>
      <c r="AH660" s="40">
        <f t="shared" si="298"/>
        <v>0</v>
      </c>
      <c r="AI660" s="40">
        <f t="shared" si="299"/>
        <v>1</v>
      </c>
      <c r="AJ660" s="40">
        <f t="shared" si="300"/>
        <v>0</v>
      </c>
      <c r="AK660" s="40">
        <f t="shared" si="301"/>
        <v>0</v>
      </c>
      <c r="AL660" s="40">
        <f t="shared" si="302"/>
        <v>0</v>
      </c>
      <c r="AM660" s="40">
        <f t="shared" si="303"/>
        <v>0</v>
      </c>
      <c r="AN660" s="40">
        <f t="shared" si="304"/>
        <v>0</v>
      </c>
      <c r="AO660" s="40">
        <f t="shared" si="305"/>
        <v>0</v>
      </c>
      <c r="AP660" s="40">
        <f t="shared" si="306"/>
        <v>0</v>
      </c>
      <c r="AQ660" s="40">
        <f t="shared" si="307"/>
        <v>0</v>
      </c>
      <c r="AR660" s="40">
        <f t="shared" si="308"/>
        <v>0</v>
      </c>
      <c r="AS660" s="40">
        <f t="shared" si="309"/>
        <v>0</v>
      </c>
    </row>
    <row r="661" spans="2:45" ht="14.4" customHeight="1" x14ac:dyDescent="0.25">
      <c r="B661" s="56" t="s">
        <v>45</v>
      </c>
      <c r="C661" s="57" t="s">
        <v>26</v>
      </c>
      <c r="D661" s="58" t="s">
        <v>28</v>
      </c>
      <c r="E661" s="62">
        <v>2.7699999999999995E-3</v>
      </c>
      <c r="F661" s="65">
        <f t="shared" si="310"/>
        <v>-5.8889079587828901</v>
      </c>
      <c r="S661" s="40">
        <f t="shared" si="283"/>
        <v>0</v>
      </c>
      <c r="T661" s="40">
        <f t="shared" si="284"/>
        <v>0</v>
      </c>
      <c r="U661" s="40">
        <f t="shared" si="285"/>
        <v>0</v>
      </c>
      <c r="V661" s="40">
        <f t="shared" si="286"/>
        <v>1</v>
      </c>
      <c r="W661" s="40">
        <f t="shared" si="287"/>
        <v>0</v>
      </c>
      <c r="X661" s="40">
        <f t="shared" si="288"/>
        <v>0</v>
      </c>
      <c r="Y661" s="40">
        <f t="shared" si="289"/>
        <v>0</v>
      </c>
      <c r="Z661" s="40">
        <f t="shared" si="290"/>
        <v>0</v>
      </c>
      <c r="AA661" s="40">
        <f t="shared" si="291"/>
        <v>0</v>
      </c>
      <c r="AB661" s="40">
        <f t="shared" si="292"/>
        <v>0</v>
      </c>
      <c r="AC661" s="40">
        <f t="shared" si="293"/>
        <v>0</v>
      </c>
      <c r="AD661" s="40">
        <f t="shared" si="294"/>
        <v>0</v>
      </c>
      <c r="AE661" s="40">
        <f t="shared" si="295"/>
        <v>0</v>
      </c>
      <c r="AF661" s="40">
        <f t="shared" si="296"/>
        <v>1</v>
      </c>
      <c r="AG661" s="40">
        <f t="shared" si="297"/>
        <v>0</v>
      </c>
      <c r="AH661" s="40">
        <f t="shared" si="298"/>
        <v>0</v>
      </c>
      <c r="AI661" s="40">
        <f t="shared" si="299"/>
        <v>0</v>
      </c>
      <c r="AJ661" s="40">
        <f t="shared" si="300"/>
        <v>0</v>
      </c>
      <c r="AK661" s="40">
        <f t="shared" si="301"/>
        <v>0</v>
      </c>
      <c r="AL661" s="40">
        <f t="shared" si="302"/>
        <v>1</v>
      </c>
      <c r="AM661" s="40">
        <f t="shared" si="303"/>
        <v>0</v>
      </c>
      <c r="AN661" s="40">
        <f t="shared" si="304"/>
        <v>0</v>
      </c>
      <c r="AO661" s="40">
        <f t="shared" si="305"/>
        <v>0</v>
      </c>
      <c r="AP661" s="40">
        <f t="shared" si="306"/>
        <v>0</v>
      </c>
      <c r="AQ661" s="40">
        <f t="shared" si="307"/>
        <v>0</v>
      </c>
      <c r="AR661" s="40">
        <f t="shared" si="308"/>
        <v>0</v>
      </c>
      <c r="AS661" s="40">
        <f t="shared" si="309"/>
        <v>0</v>
      </c>
    </row>
    <row r="662" spans="2:45" ht="14.4" customHeight="1" x14ac:dyDescent="0.25">
      <c r="B662" s="56" t="s">
        <v>45</v>
      </c>
      <c r="C662" s="57" t="s">
        <v>26</v>
      </c>
      <c r="D662" s="58" t="s">
        <v>24</v>
      </c>
      <c r="E662" s="62">
        <v>8.7699999999999983E-3</v>
      </c>
      <c r="F662" s="65">
        <f t="shared" si="310"/>
        <v>-4.7364184725980456</v>
      </c>
      <c r="S662" s="40">
        <f t="shared" si="283"/>
        <v>0</v>
      </c>
      <c r="T662" s="40">
        <f t="shared" si="284"/>
        <v>0</v>
      </c>
      <c r="U662" s="40">
        <f t="shared" si="285"/>
        <v>0</v>
      </c>
      <c r="V662" s="40">
        <f t="shared" si="286"/>
        <v>1</v>
      </c>
      <c r="W662" s="40">
        <f t="shared" si="287"/>
        <v>0</v>
      </c>
      <c r="X662" s="40">
        <f t="shared" si="288"/>
        <v>0</v>
      </c>
      <c r="Y662" s="40">
        <f t="shared" si="289"/>
        <v>0</v>
      </c>
      <c r="Z662" s="40">
        <f t="shared" si="290"/>
        <v>0</v>
      </c>
      <c r="AA662" s="40">
        <f t="shared" si="291"/>
        <v>0</v>
      </c>
      <c r="AB662" s="40">
        <f t="shared" si="292"/>
        <v>0</v>
      </c>
      <c r="AC662" s="40">
        <f t="shared" si="293"/>
        <v>0</v>
      </c>
      <c r="AD662" s="40">
        <f t="shared" si="294"/>
        <v>0</v>
      </c>
      <c r="AE662" s="40">
        <f t="shared" si="295"/>
        <v>0</v>
      </c>
      <c r="AF662" s="40">
        <f t="shared" si="296"/>
        <v>1</v>
      </c>
      <c r="AG662" s="40">
        <f t="shared" si="297"/>
        <v>0</v>
      </c>
      <c r="AH662" s="40">
        <f t="shared" si="298"/>
        <v>0</v>
      </c>
      <c r="AI662" s="40">
        <f t="shared" si="299"/>
        <v>0</v>
      </c>
      <c r="AJ662" s="40">
        <f t="shared" si="300"/>
        <v>1</v>
      </c>
      <c r="AK662" s="40">
        <f t="shared" si="301"/>
        <v>0</v>
      </c>
      <c r="AL662" s="40">
        <f t="shared" si="302"/>
        <v>0</v>
      </c>
      <c r="AM662" s="40">
        <f t="shared" si="303"/>
        <v>0</v>
      </c>
      <c r="AN662" s="40">
        <f t="shared" si="304"/>
        <v>0</v>
      </c>
      <c r="AO662" s="40">
        <f t="shared" si="305"/>
        <v>0</v>
      </c>
      <c r="AP662" s="40">
        <f t="shared" si="306"/>
        <v>0</v>
      </c>
      <c r="AQ662" s="40">
        <f t="shared" si="307"/>
        <v>0</v>
      </c>
      <c r="AR662" s="40">
        <f t="shared" si="308"/>
        <v>0</v>
      </c>
      <c r="AS662" s="40">
        <f t="shared" si="309"/>
        <v>0</v>
      </c>
    </row>
    <row r="663" spans="2:45" ht="14.4" customHeight="1" x14ac:dyDescent="0.25">
      <c r="B663" s="56" t="s">
        <v>45</v>
      </c>
      <c r="C663" s="57" t="s">
        <v>26</v>
      </c>
      <c r="D663" s="58" t="s">
        <v>37</v>
      </c>
      <c r="E663" s="62">
        <v>8.0200000000000011E-3</v>
      </c>
      <c r="F663" s="65">
        <f t="shared" si="310"/>
        <v>-4.8258168571037139</v>
      </c>
      <c r="S663" s="40">
        <f t="shared" si="283"/>
        <v>0</v>
      </c>
      <c r="T663" s="40">
        <f t="shared" si="284"/>
        <v>0</v>
      </c>
      <c r="U663" s="40">
        <f t="shared" si="285"/>
        <v>0</v>
      </c>
      <c r="V663" s="40">
        <f t="shared" si="286"/>
        <v>1</v>
      </c>
      <c r="W663" s="40">
        <f t="shared" si="287"/>
        <v>0</v>
      </c>
      <c r="X663" s="40">
        <f t="shared" si="288"/>
        <v>0</v>
      </c>
      <c r="Y663" s="40">
        <f t="shared" si="289"/>
        <v>0</v>
      </c>
      <c r="Z663" s="40">
        <f t="shared" si="290"/>
        <v>0</v>
      </c>
      <c r="AA663" s="40">
        <f t="shared" si="291"/>
        <v>0</v>
      </c>
      <c r="AB663" s="40">
        <f t="shared" si="292"/>
        <v>0</v>
      </c>
      <c r="AC663" s="40">
        <f t="shared" si="293"/>
        <v>0</v>
      </c>
      <c r="AD663" s="40">
        <f t="shared" si="294"/>
        <v>0</v>
      </c>
      <c r="AE663" s="40">
        <f t="shared" si="295"/>
        <v>0</v>
      </c>
      <c r="AF663" s="40">
        <f t="shared" si="296"/>
        <v>1</v>
      </c>
      <c r="AG663" s="40">
        <f t="shared" si="297"/>
        <v>0</v>
      </c>
      <c r="AH663" s="40">
        <f t="shared" si="298"/>
        <v>0</v>
      </c>
      <c r="AI663" s="40">
        <f t="shared" si="299"/>
        <v>1</v>
      </c>
      <c r="AJ663" s="40">
        <f t="shared" si="300"/>
        <v>0</v>
      </c>
      <c r="AK663" s="40">
        <f t="shared" si="301"/>
        <v>0</v>
      </c>
      <c r="AL663" s="40">
        <f t="shared" si="302"/>
        <v>0</v>
      </c>
      <c r="AM663" s="40">
        <f t="shared" si="303"/>
        <v>0</v>
      </c>
      <c r="AN663" s="40">
        <f t="shared" si="304"/>
        <v>0</v>
      </c>
      <c r="AO663" s="40">
        <f t="shared" si="305"/>
        <v>0</v>
      </c>
      <c r="AP663" s="40">
        <f t="shared" si="306"/>
        <v>0</v>
      </c>
      <c r="AQ663" s="40">
        <f t="shared" si="307"/>
        <v>0</v>
      </c>
      <c r="AR663" s="40">
        <f t="shared" si="308"/>
        <v>0</v>
      </c>
      <c r="AS663" s="40">
        <f t="shared" si="309"/>
        <v>0</v>
      </c>
    </row>
    <row r="664" spans="2:45" ht="14.4" customHeight="1" x14ac:dyDescent="0.25">
      <c r="B664" s="56" t="s">
        <v>45</v>
      </c>
      <c r="C664" s="57" t="s">
        <v>26</v>
      </c>
      <c r="D664" s="58" t="s">
        <v>28</v>
      </c>
      <c r="E664" s="62">
        <v>8.4400000000000013E-3</v>
      </c>
      <c r="F664" s="65">
        <f t="shared" si="310"/>
        <v>-4.7747729703742712</v>
      </c>
      <c r="S664" s="40">
        <f t="shared" si="283"/>
        <v>0</v>
      </c>
      <c r="T664" s="40">
        <f t="shared" si="284"/>
        <v>0</v>
      </c>
      <c r="U664" s="40">
        <f t="shared" si="285"/>
        <v>0</v>
      </c>
      <c r="V664" s="40">
        <f t="shared" si="286"/>
        <v>1</v>
      </c>
      <c r="W664" s="40">
        <f t="shared" si="287"/>
        <v>0</v>
      </c>
      <c r="X664" s="40">
        <f t="shared" si="288"/>
        <v>0</v>
      </c>
      <c r="Y664" s="40">
        <f t="shared" si="289"/>
        <v>0</v>
      </c>
      <c r="Z664" s="40">
        <f t="shared" si="290"/>
        <v>0</v>
      </c>
      <c r="AA664" s="40">
        <f t="shared" si="291"/>
        <v>0</v>
      </c>
      <c r="AB664" s="40">
        <f t="shared" si="292"/>
        <v>0</v>
      </c>
      <c r="AC664" s="40">
        <f t="shared" si="293"/>
        <v>0</v>
      </c>
      <c r="AD664" s="40">
        <f t="shared" si="294"/>
        <v>0</v>
      </c>
      <c r="AE664" s="40">
        <f t="shared" si="295"/>
        <v>0</v>
      </c>
      <c r="AF664" s="40">
        <f t="shared" si="296"/>
        <v>1</v>
      </c>
      <c r="AG664" s="40">
        <f t="shared" si="297"/>
        <v>0</v>
      </c>
      <c r="AH664" s="40">
        <f t="shared" si="298"/>
        <v>0</v>
      </c>
      <c r="AI664" s="40">
        <f t="shared" si="299"/>
        <v>0</v>
      </c>
      <c r="AJ664" s="40">
        <f t="shared" si="300"/>
        <v>0</v>
      </c>
      <c r="AK664" s="40">
        <f t="shared" si="301"/>
        <v>0</v>
      </c>
      <c r="AL664" s="40">
        <f t="shared" si="302"/>
        <v>0</v>
      </c>
      <c r="AM664" s="40">
        <f t="shared" si="303"/>
        <v>0</v>
      </c>
      <c r="AN664" s="40">
        <f t="shared" si="304"/>
        <v>0</v>
      </c>
      <c r="AO664" s="40">
        <f t="shared" si="305"/>
        <v>0</v>
      </c>
      <c r="AP664" s="40">
        <f t="shared" si="306"/>
        <v>0</v>
      </c>
      <c r="AQ664" s="40">
        <f t="shared" si="307"/>
        <v>0</v>
      </c>
      <c r="AR664" s="40">
        <f t="shared" si="308"/>
        <v>1</v>
      </c>
      <c r="AS664" s="40">
        <f t="shared" si="309"/>
        <v>0</v>
      </c>
    </row>
    <row r="665" spans="2:45" ht="14.4" customHeight="1" x14ac:dyDescent="0.25">
      <c r="B665" s="56" t="s">
        <v>45</v>
      </c>
      <c r="C665" s="57" t="s">
        <v>26</v>
      </c>
      <c r="D665" s="58" t="s">
        <v>33</v>
      </c>
      <c r="E665" s="62">
        <v>8.9599999999999975E-3</v>
      </c>
      <c r="F665" s="65">
        <f t="shared" si="310"/>
        <v>-4.7149850519952983</v>
      </c>
      <c r="S665" s="40">
        <f t="shared" si="283"/>
        <v>0</v>
      </c>
      <c r="T665" s="40">
        <f t="shared" si="284"/>
        <v>0</v>
      </c>
      <c r="U665" s="40">
        <f t="shared" si="285"/>
        <v>0</v>
      </c>
      <c r="V665" s="40">
        <f t="shared" si="286"/>
        <v>1</v>
      </c>
      <c r="W665" s="40">
        <f t="shared" si="287"/>
        <v>0</v>
      </c>
      <c r="X665" s="40">
        <f t="shared" si="288"/>
        <v>0</v>
      </c>
      <c r="Y665" s="40">
        <f t="shared" si="289"/>
        <v>0</v>
      </c>
      <c r="Z665" s="40">
        <f t="shared" si="290"/>
        <v>0</v>
      </c>
      <c r="AA665" s="40">
        <f t="shared" si="291"/>
        <v>0</v>
      </c>
      <c r="AB665" s="40">
        <f t="shared" si="292"/>
        <v>0</v>
      </c>
      <c r="AC665" s="40">
        <f t="shared" si="293"/>
        <v>0</v>
      </c>
      <c r="AD665" s="40">
        <f t="shared" si="294"/>
        <v>0</v>
      </c>
      <c r="AE665" s="40">
        <f t="shared" si="295"/>
        <v>0</v>
      </c>
      <c r="AF665" s="40">
        <f t="shared" si="296"/>
        <v>1</v>
      </c>
      <c r="AG665" s="40">
        <f t="shared" si="297"/>
        <v>0</v>
      </c>
      <c r="AH665" s="40">
        <f t="shared" si="298"/>
        <v>0</v>
      </c>
      <c r="AI665" s="40">
        <f t="shared" si="299"/>
        <v>0</v>
      </c>
      <c r="AJ665" s="40">
        <f t="shared" si="300"/>
        <v>0</v>
      </c>
      <c r="AK665" s="40">
        <f t="shared" si="301"/>
        <v>1</v>
      </c>
      <c r="AL665" s="40">
        <f t="shared" si="302"/>
        <v>0</v>
      </c>
      <c r="AM665" s="40">
        <f t="shared" si="303"/>
        <v>0</v>
      </c>
      <c r="AN665" s="40">
        <f t="shared" si="304"/>
        <v>0</v>
      </c>
      <c r="AO665" s="40">
        <f t="shared" si="305"/>
        <v>0</v>
      </c>
      <c r="AP665" s="40">
        <f t="shared" si="306"/>
        <v>0</v>
      </c>
      <c r="AQ665" s="40">
        <f t="shared" si="307"/>
        <v>0</v>
      </c>
      <c r="AR665" s="40">
        <f t="shared" si="308"/>
        <v>0</v>
      </c>
      <c r="AS665" s="40">
        <f t="shared" si="309"/>
        <v>0</v>
      </c>
    </row>
    <row r="666" spans="2:45" ht="14.4" customHeight="1" x14ac:dyDescent="0.25">
      <c r="B666" s="56" t="s">
        <v>45</v>
      </c>
      <c r="C666" s="57" t="s">
        <v>26</v>
      </c>
      <c r="D666" s="58" t="s">
        <v>32</v>
      </c>
      <c r="E666" s="62">
        <v>1.1599999999999999E-2</v>
      </c>
      <c r="F666" s="65">
        <f t="shared" si="310"/>
        <v>-4.4567501808698182</v>
      </c>
      <c r="S666" s="40">
        <f t="shared" si="283"/>
        <v>0</v>
      </c>
      <c r="T666" s="40">
        <f t="shared" si="284"/>
        <v>0</v>
      </c>
      <c r="U666" s="40">
        <f t="shared" si="285"/>
        <v>0</v>
      </c>
      <c r="V666" s="40">
        <f t="shared" si="286"/>
        <v>1</v>
      </c>
      <c r="W666" s="40">
        <f t="shared" si="287"/>
        <v>0</v>
      </c>
      <c r="X666" s="40">
        <f t="shared" si="288"/>
        <v>0</v>
      </c>
      <c r="Y666" s="40">
        <f t="shared" si="289"/>
        <v>0</v>
      </c>
      <c r="Z666" s="40">
        <f t="shared" si="290"/>
        <v>0</v>
      </c>
      <c r="AA666" s="40">
        <f t="shared" si="291"/>
        <v>0</v>
      </c>
      <c r="AB666" s="40">
        <f t="shared" si="292"/>
        <v>1</v>
      </c>
      <c r="AC666" s="40">
        <f t="shared" si="293"/>
        <v>0</v>
      </c>
      <c r="AD666" s="40">
        <f t="shared" si="294"/>
        <v>0</v>
      </c>
      <c r="AE666" s="40">
        <f t="shared" si="295"/>
        <v>0</v>
      </c>
      <c r="AF666" s="40">
        <f t="shared" si="296"/>
        <v>0</v>
      </c>
      <c r="AG666" s="40">
        <f t="shared" si="297"/>
        <v>0</v>
      </c>
      <c r="AH666" s="40">
        <f t="shared" si="298"/>
        <v>0</v>
      </c>
      <c r="AI666" s="40">
        <f t="shared" si="299"/>
        <v>0</v>
      </c>
      <c r="AJ666" s="40">
        <f t="shared" si="300"/>
        <v>1</v>
      </c>
      <c r="AK666" s="40">
        <f t="shared" si="301"/>
        <v>0</v>
      </c>
      <c r="AL666" s="40">
        <f t="shared" si="302"/>
        <v>0</v>
      </c>
      <c r="AM666" s="40">
        <f t="shared" si="303"/>
        <v>0</v>
      </c>
      <c r="AN666" s="40">
        <f t="shared" si="304"/>
        <v>0</v>
      </c>
      <c r="AO666" s="40">
        <f t="shared" si="305"/>
        <v>0</v>
      </c>
      <c r="AP666" s="40">
        <f t="shared" si="306"/>
        <v>0</v>
      </c>
      <c r="AQ666" s="40">
        <f t="shared" si="307"/>
        <v>0</v>
      </c>
      <c r="AR666" s="40">
        <f t="shared" si="308"/>
        <v>0</v>
      </c>
      <c r="AS666" s="40">
        <f t="shared" si="309"/>
        <v>0</v>
      </c>
    </row>
    <row r="667" spans="2:45" ht="14.4" customHeight="1" x14ac:dyDescent="0.25">
      <c r="B667" s="56" t="s">
        <v>45</v>
      </c>
      <c r="C667" s="57" t="s">
        <v>25</v>
      </c>
      <c r="D667" s="58" t="s">
        <v>37</v>
      </c>
      <c r="E667" s="62">
        <v>8.479999999999998E-3</v>
      </c>
      <c r="F667" s="65">
        <f t="shared" si="310"/>
        <v>-4.7700448291783255</v>
      </c>
      <c r="S667" s="40">
        <f t="shared" si="283"/>
        <v>0</v>
      </c>
      <c r="T667" s="40">
        <f t="shared" si="284"/>
        <v>0</v>
      </c>
      <c r="U667" s="40">
        <f t="shared" si="285"/>
        <v>0</v>
      </c>
      <c r="V667" s="40">
        <f t="shared" si="286"/>
        <v>1</v>
      </c>
      <c r="W667" s="40">
        <f t="shared" si="287"/>
        <v>0</v>
      </c>
      <c r="X667" s="40">
        <f t="shared" si="288"/>
        <v>0</v>
      </c>
      <c r="Y667" s="40">
        <f t="shared" si="289"/>
        <v>0</v>
      </c>
      <c r="Z667" s="40">
        <f t="shared" si="290"/>
        <v>0</v>
      </c>
      <c r="AA667" s="40">
        <f t="shared" si="291"/>
        <v>0</v>
      </c>
      <c r="AB667" s="40">
        <f t="shared" si="292"/>
        <v>0</v>
      </c>
      <c r="AC667" s="40">
        <f t="shared" si="293"/>
        <v>0</v>
      </c>
      <c r="AD667" s="40">
        <f t="shared" si="294"/>
        <v>0</v>
      </c>
      <c r="AE667" s="40">
        <f t="shared" si="295"/>
        <v>0</v>
      </c>
      <c r="AF667" s="40">
        <f t="shared" si="296"/>
        <v>1</v>
      </c>
      <c r="AG667" s="40">
        <f t="shared" si="297"/>
        <v>0</v>
      </c>
      <c r="AH667" s="40">
        <f t="shared" si="298"/>
        <v>0</v>
      </c>
      <c r="AI667" s="40">
        <f t="shared" si="299"/>
        <v>0</v>
      </c>
      <c r="AJ667" s="40">
        <f t="shared" si="300"/>
        <v>0</v>
      </c>
      <c r="AK667" s="40">
        <f t="shared" si="301"/>
        <v>0</v>
      </c>
      <c r="AL667" s="40">
        <f t="shared" si="302"/>
        <v>0</v>
      </c>
      <c r="AM667" s="40">
        <f t="shared" si="303"/>
        <v>0</v>
      </c>
      <c r="AN667" s="40">
        <f t="shared" si="304"/>
        <v>1</v>
      </c>
      <c r="AO667" s="40">
        <f t="shared" si="305"/>
        <v>0</v>
      </c>
      <c r="AP667" s="40">
        <f t="shared" si="306"/>
        <v>0</v>
      </c>
      <c r="AQ667" s="40">
        <f t="shared" si="307"/>
        <v>0</v>
      </c>
      <c r="AR667" s="40">
        <f t="shared" si="308"/>
        <v>0</v>
      </c>
      <c r="AS667" s="40">
        <f t="shared" si="309"/>
        <v>0</v>
      </c>
    </row>
    <row r="668" spans="2:45" ht="14.4" customHeight="1" x14ac:dyDescent="0.25">
      <c r="B668" s="56" t="s">
        <v>45</v>
      </c>
      <c r="C668" s="57" t="s">
        <v>26</v>
      </c>
      <c r="D668" s="58" t="s">
        <v>29</v>
      </c>
      <c r="E668" s="62">
        <v>5.2999999999999983E-3</v>
      </c>
      <c r="F668" s="65">
        <f t="shared" si="310"/>
        <v>-5.2400484584240612</v>
      </c>
      <c r="S668" s="40">
        <f t="shared" si="283"/>
        <v>0</v>
      </c>
      <c r="T668" s="40">
        <f t="shared" si="284"/>
        <v>0</v>
      </c>
      <c r="U668" s="40">
        <f t="shared" si="285"/>
        <v>0</v>
      </c>
      <c r="V668" s="40">
        <f t="shared" si="286"/>
        <v>1</v>
      </c>
      <c r="W668" s="40">
        <f t="shared" si="287"/>
        <v>0</v>
      </c>
      <c r="X668" s="40">
        <f t="shared" si="288"/>
        <v>0</v>
      </c>
      <c r="Y668" s="40">
        <f t="shared" si="289"/>
        <v>0</v>
      </c>
      <c r="Z668" s="40">
        <f t="shared" si="290"/>
        <v>0</v>
      </c>
      <c r="AA668" s="40">
        <f t="shared" si="291"/>
        <v>0</v>
      </c>
      <c r="AB668" s="40">
        <f t="shared" si="292"/>
        <v>1</v>
      </c>
      <c r="AC668" s="40">
        <f t="shared" si="293"/>
        <v>0</v>
      </c>
      <c r="AD668" s="40">
        <f t="shared" si="294"/>
        <v>0</v>
      </c>
      <c r="AE668" s="40">
        <f t="shared" si="295"/>
        <v>0</v>
      </c>
      <c r="AF668" s="40">
        <f t="shared" si="296"/>
        <v>0</v>
      </c>
      <c r="AG668" s="40">
        <f t="shared" si="297"/>
        <v>0</v>
      </c>
      <c r="AH668" s="40">
        <f t="shared" si="298"/>
        <v>1</v>
      </c>
      <c r="AI668" s="40">
        <f t="shared" si="299"/>
        <v>0</v>
      </c>
      <c r="AJ668" s="40">
        <f t="shared" si="300"/>
        <v>0</v>
      </c>
      <c r="AK668" s="40">
        <f t="shared" si="301"/>
        <v>0</v>
      </c>
      <c r="AL668" s="40">
        <f t="shared" si="302"/>
        <v>0</v>
      </c>
      <c r="AM668" s="40">
        <f t="shared" si="303"/>
        <v>0</v>
      </c>
      <c r="AN668" s="40">
        <f t="shared" si="304"/>
        <v>0</v>
      </c>
      <c r="AO668" s="40">
        <f t="shared" si="305"/>
        <v>0</v>
      </c>
      <c r="AP668" s="40">
        <f t="shared" si="306"/>
        <v>0</v>
      </c>
      <c r="AQ668" s="40">
        <f t="shared" si="307"/>
        <v>0</v>
      </c>
      <c r="AR668" s="40">
        <f t="shared" si="308"/>
        <v>0</v>
      </c>
      <c r="AS668" s="40">
        <f t="shared" si="309"/>
        <v>0</v>
      </c>
    </row>
    <row r="669" spans="2:45" ht="14.4" customHeight="1" x14ac:dyDescent="0.25">
      <c r="B669" s="56" t="s">
        <v>45</v>
      </c>
      <c r="C669" s="57" t="s">
        <v>25</v>
      </c>
      <c r="D669" s="58" t="s">
        <v>27</v>
      </c>
      <c r="E669" s="62">
        <v>3.7599999999999995E-3</v>
      </c>
      <c r="F669" s="65">
        <f t="shared" si="310"/>
        <v>-5.583336321580334</v>
      </c>
      <c r="S669" s="40">
        <f t="shared" si="283"/>
        <v>0</v>
      </c>
      <c r="T669" s="40">
        <f t="shared" si="284"/>
        <v>0</v>
      </c>
      <c r="U669" s="40">
        <f t="shared" si="285"/>
        <v>0</v>
      </c>
      <c r="V669" s="40">
        <f t="shared" si="286"/>
        <v>1</v>
      </c>
      <c r="W669" s="40">
        <f t="shared" si="287"/>
        <v>0</v>
      </c>
      <c r="X669" s="40">
        <f t="shared" si="288"/>
        <v>0</v>
      </c>
      <c r="Y669" s="40">
        <f t="shared" si="289"/>
        <v>0</v>
      </c>
      <c r="Z669" s="40">
        <f t="shared" si="290"/>
        <v>0</v>
      </c>
      <c r="AA669" s="40">
        <f t="shared" si="291"/>
        <v>0</v>
      </c>
      <c r="AB669" s="40">
        <f t="shared" si="292"/>
        <v>1</v>
      </c>
      <c r="AC669" s="40">
        <f t="shared" si="293"/>
        <v>0</v>
      </c>
      <c r="AD669" s="40">
        <f t="shared" si="294"/>
        <v>0</v>
      </c>
      <c r="AE669" s="40">
        <f t="shared" si="295"/>
        <v>0</v>
      </c>
      <c r="AF669" s="40">
        <f t="shared" si="296"/>
        <v>0</v>
      </c>
      <c r="AG669" s="40">
        <f t="shared" si="297"/>
        <v>0</v>
      </c>
      <c r="AH669" s="40">
        <f t="shared" si="298"/>
        <v>0</v>
      </c>
      <c r="AI669" s="40">
        <f t="shared" si="299"/>
        <v>0</v>
      </c>
      <c r="AJ669" s="40">
        <f t="shared" si="300"/>
        <v>0</v>
      </c>
      <c r="AK669" s="40">
        <f t="shared" si="301"/>
        <v>0</v>
      </c>
      <c r="AL669" s="40">
        <f t="shared" si="302"/>
        <v>0</v>
      </c>
      <c r="AM669" s="40">
        <f t="shared" si="303"/>
        <v>0</v>
      </c>
      <c r="AN669" s="40">
        <f t="shared" si="304"/>
        <v>0</v>
      </c>
      <c r="AO669" s="40">
        <f t="shared" si="305"/>
        <v>1</v>
      </c>
      <c r="AP669" s="40">
        <f t="shared" si="306"/>
        <v>0</v>
      </c>
      <c r="AQ669" s="40">
        <f t="shared" si="307"/>
        <v>0</v>
      </c>
      <c r="AR669" s="40">
        <f t="shared" si="308"/>
        <v>0</v>
      </c>
      <c r="AS669" s="40">
        <f t="shared" si="309"/>
        <v>0</v>
      </c>
    </row>
    <row r="670" spans="2:45" ht="14.4" customHeight="1" x14ac:dyDescent="0.25">
      <c r="B670" s="56" t="s">
        <v>45</v>
      </c>
      <c r="C670" s="57" t="s">
        <v>25</v>
      </c>
      <c r="D670" s="58" t="s">
        <v>31</v>
      </c>
      <c r="E670" s="62">
        <v>3.2800000000000008E-3</v>
      </c>
      <c r="F670" s="65">
        <f t="shared" si="310"/>
        <v>-5.7199118565860845</v>
      </c>
      <c r="S670" s="40">
        <f t="shared" si="283"/>
        <v>0</v>
      </c>
      <c r="T670" s="40">
        <f t="shared" si="284"/>
        <v>0</v>
      </c>
      <c r="U670" s="40">
        <f t="shared" si="285"/>
        <v>0</v>
      </c>
      <c r="V670" s="40">
        <f t="shared" si="286"/>
        <v>1</v>
      </c>
      <c r="W670" s="40">
        <f t="shared" si="287"/>
        <v>0</v>
      </c>
      <c r="X670" s="40">
        <f t="shared" si="288"/>
        <v>0</v>
      </c>
      <c r="Y670" s="40">
        <f t="shared" si="289"/>
        <v>0</v>
      </c>
      <c r="Z670" s="40">
        <f t="shared" si="290"/>
        <v>0</v>
      </c>
      <c r="AA670" s="40">
        <f t="shared" si="291"/>
        <v>0</v>
      </c>
      <c r="AB670" s="40">
        <f t="shared" si="292"/>
        <v>0</v>
      </c>
      <c r="AC670" s="40">
        <f t="shared" si="293"/>
        <v>0</v>
      </c>
      <c r="AD670" s="40">
        <f t="shared" si="294"/>
        <v>0</v>
      </c>
      <c r="AE670" s="40">
        <f t="shared" si="295"/>
        <v>0</v>
      </c>
      <c r="AF670" s="40">
        <f t="shared" si="296"/>
        <v>1</v>
      </c>
      <c r="AG670" s="40">
        <f t="shared" si="297"/>
        <v>0</v>
      </c>
      <c r="AH670" s="40">
        <f t="shared" si="298"/>
        <v>0</v>
      </c>
      <c r="AI670" s="40">
        <f t="shared" si="299"/>
        <v>1</v>
      </c>
      <c r="AJ670" s="40">
        <f t="shared" si="300"/>
        <v>0</v>
      </c>
      <c r="AK670" s="40">
        <f t="shared" si="301"/>
        <v>0</v>
      </c>
      <c r="AL670" s="40">
        <f t="shared" si="302"/>
        <v>0</v>
      </c>
      <c r="AM670" s="40">
        <f t="shared" si="303"/>
        <v>0</v>
      </c>
      <c r="AN670" s="40">
        <f t="shared" si="304"/>
        <v>0</v>
      </c>
      <c r="AO670" s="40">
        <f t="shared" si="305"/>
        <v>0</v>
      </c>
      <c r="AP670" s="40">
        <f t="shared" si="306"/>
        <v>0</v>
      </c>
      <c r="AQ670" s="40">
        <f t="shared" si="307"/>
        <v>0</v>
      </c>
      <c r="AR670" s="40">
        <f t="shared" si="308"/>
        <v>0</v>
      </c>
      <c r="AS670" s="40">
        <f t="shared" si="309"/>
        <v>0</v>
      </c>
    </row>
    <row r="671" spans="2:45" ht="14.4" customHeight="1" x14ac:dyDescent="0.25">
      <c r="B671" s="56" t="s">
        <v>45</v>
      </c>
      <c r="C671" s="57" t="s">
        <v>26</v>
      </c>
      <c r="D671" s="58" t="s">
        <v>28</v>
      </c>
      <c r="E671" s="62">
        <v>6.1000000000000004E-3</v>
      </c>
      <c r="F671" s="65">
        <f t="shared" si="310"/>
        <v>-5.0994665078028714</v>
      </c>
      <c r="S671" s="40">
        <f t="shared" si="283"/>
        <v>0</v>
      </c>
      <c r="T671" s="40">
        <f t="shared" si="284"/>
        <v>0</v>
      </c>
      <c r="U671" s="40">
        <f t="shared" si="285"/>
        <v>0</v>
      </c>
      <c r="V671" s="40">
        <f t="shared" si="286"/>
        <v>1</v>
      </c>
      <c r="W671" s="40">
        <f t="shared" si="287"/>
        <v>0</v>
      </c>
      <c r="X671" s="40">
        <f t="shared" si="288"/>
        <v>0</v>
      </c>
      <c r="Y671" s="40">
        <f t="shared" si="289"/>
        <v>0</v>
      </c>
      <c r="Z671" s="40">
        <f t="shared" si="290"/>
        <v>0</v>
      </c>
      <c r="AA671" s="40">
        <f t="shared" si="291"/>
        <v>0</v>
      </c>
      <c r="AB671" s="40">
        <f t="shared" si="292"/>
        <v>0</v>
      </c>
      <c r="AC671" s="40">
        <f t="shared" si="293"/>
        <v>0</v>
      </c>
      <c r="AD671" s="40">
        <f t="shared" si="294"/>
        <v>0</v>
      </c>
      <c r="AE671" s="40">
        <f t="shared" si="295"/>
        <v>0</v>
      </c>
      <c r="AF671" s="40">
        <f t="shared" si="296"/>
        <v>0</v>
      </c>
      <c r="AG671" s="40">
        <f t="shared" si="297"/>
        <v>1</v>
      </c>
      <c r="AH671" s="40">
        <f t="shared" si="298"/>
        <v>0</v>
      </c>
      <c r="AI671" s="40">
        <f t="shared" si="299"/>
        <v>0</v>
      </c>
      <c r="AJ671" s="40">
        <f t="shared" si="300"/>
        <v>0</v>
      </c>
      <c r="AK671" s="40">
        <f t="shared" si="301"/>
        <v>0</v>
      </c>
      <c r="AL671" s="40">
        <f t="shared" si="302"/>
        <v>0</v>
      </c>
      <c r="AM671" s="40">
        <f t="shared" si="303"/>
        <v>0</v>
      </c>
      <c r="AN671" s="40">
        <f t="shared" si="304"/>
        <v>0</v>
      </c>
      <c r="AO671" s="40">
        <f t="shared" si="305"/>
        <v>1</v>
      </c>
      <c r="AP671" s="40">
        <f t="shared" si="306"/>
        <v>0</v>
      </c>
      <c r="AQ671" s="40">
        <f t="shared" si="307"/>
        <v>0</v>
      </c>
      <c r="AR671" s="40">
        <f t="shared" si="308"/>
        <v>0</v>
      </c>
      <c r="AS671" s="40">
        <f t="shared" si="309"/>
        <v>0</v>
      </c>
    </row>
    <row r="672" spans="2:45" ht="14.4" customHeight="1" x14ac:dyDescent="0.25">
      <c r="B672" s="56" t="s">
        <v>45</v>
      </c>
      <c r="C672" s="57" t="s">
        <v>38</v>
      </c>
      <c r="D672" s="58" t="s">
        <v>31</v>
      </c>
      <c r="E672" s="62">
        <v>5.8799999999999981E-3</v>
      </c>
      <c r="F672" s="65">
        <f t="shared" si="310"/>
        <v>-5.1361985170716018</v>
      </c>
      <c r="S672" s="40">
        <f t="shared" si="283"/>
        <v>0</v>
      </c>
      <c r="T672" s="40">
        <f t="shared" si="284"/>
        <v>0</v>
      </c>
      <c r="U672" s="40">
        <f t="shared" si="285"/>
        <v>0</v>
      </c>
      <c r="V672" s="40">
        <f t="shared" si="286"/>
        <v>1</v>
      </c>
      <c r="W672" s="40">
        <f t="shared" si="287"/>
        <v>0</v>
      </c>
      <c r="X672" s="40">
        <f t="shared" si="288"/>
        <v>0</v>
      </c>
      <c r="Y672" s="40">
        <f t="shared" si="289"/>
        <v>0</v>
      </c>
      <c r="Z672" s="40">
        <f t="shared" si="290"/>
        <v>0</v>
      </c>
      <c r="AA672" s="40">
        <f t="shared" si="291"/>
        <v>0</v>
      </c>
      <c r="AB672" s="40">
        <f t="shared" si="292"/>
        <v>0</v>
      </c>
      <c r="AC672" s="40">
        <f t="shared" si="293"/>
        <v>0</v>
      </c>
      <c r="AD672" s="40">
        <f t="shared" si="294"/>
        <v>0</v>
      </c>
      <c r="AE672" s="40">
        <f t="shared" si="295"/>
        <v>0</v>
      </c>
      <c r="AF672" s="40">
        <f t="shared" si="296"/>
        <v>1</v>
      </c>
      <c r="AG672" s="40">
        <f t="shared" si="297"/>
        <v>0</v>
      </c>
      <c r="AH672" s="40">
        <f t="shared" si="298"/>
        <v>0</v>
      </c>
      <c r="AI672" s="40">
        <f t="shared" si="299"/>
        <v>0</v>
      </c>
      <c r="AJ672" s="40">
        <f t="shared" si="300"/>
        <v>1</v>
      </c>
      <c r="AK672" s="40">
        <f t="shared" si="301"/>
        <v>0</v>
      </c>
      <c r="AL672" s="40">
        <f t="shared" si="302"/>
        <v>0</v>
      </c>
      <c r="AM672" s="40">
        <f t="shared" si="303"/>
        <v>0</v>
      </c>
      <c r="AN672" s="40">
        <f t="shared" si="304"/>
        <v>0</v>
      </c>
      <c r="AO672" s="40">
        <f t="shared" si="305"/>
        <v>0</v>
      </c>
      <c r="AP672" s="40">
        <f t="shared" si="306"/>
        <v>0</v>
      </c>
      <c r="AQ672" s="40">
        <f t="shared" si="307"/>
        <v>0</v>
      </c>
      <c r="AR672" s="40">
        <f t="shared" si="308"/>
        <v>0</v>
      </c>
      <c r="AS672" s="40">
        <f t="shared" si="309"/>
        <v>0</v>
      </c>
    </row>
    <row r="673" spans="2:45" ht="14.4" customHeight="1" x14ac:dyDescent="0.25">
      <c r="B673" s="56" t="s">
        <v>45</v>
      </c>
      <c r="C673" s="57" t="s">
        <v>26</v>
      </c>
      <c r="D673" s="58" t="s">
        <v>37</v>
      </c>
      <c r="E673" s="62">
        <v>9.2499999999999961E-3</v>
      </c>
      <c r="F673" s="65">
        <f t="shared" si="310"/>
        <v>-4.6831317274578037</v>
      </c>
      <c r="S673" s="40">
        <f t="shared" si="283"/>
        <v>0</v>
      </c>
      <c r="T673" s="40">
        <f t="shared" si="284"/>
        <v>0</v>
      </c>
      <c r="U673" s="40">
        <f t="shared" si="285"/>
        <v>0</v>
      </c>
      <c r="V673" s="40">
        <f t="shared" si="286"/>
        <v>1</v>
      </c>
      <c r="W673" s="40">
        <f t="shared" si="287"/>
        <v>0</v>
      </c>
      <c r="X673" s="40">
        <f t="shared" si="288"/>
        <v>0</v>
      </c>
      <c r="Y673" s="40">
        <f t="shared" si="289"/>
        <v>0</v>
      </c>
      <c r="Z673" s="40">
        <f t="shared" si="290"/>
        <v>0</v>
      </c>
      <c r="AA673" s="40">
        <f t="shared" si="291"/>
        <v>0</v>
      </c>
      <c r="AB673" s="40">
        <f t="shared" si="292"/>
        <v>0</v>
      </c>
      <c r="AC673" s="40">
        <f t="shared" si="293"/>
        <v>0</v>
      </c>
      <c r="AD673" s="40">
        <f t="shared" si="294"/>
        <v>0</v>
      </c>
      <c r="AE673" s="40">
        <f t="shared" si="295"/>
        <v>0</v>
      </c>
      <c r="AF673" s="40">
        <f t="shared" si="296"/>
        <v>1</v>
      </c>
      <c r="AG673" s="40">
        <f t="shared" si="297"/>
        <v>0</v>
      </c>
      <c r="AH673" s="40">
        <f t="shared" si="298"/>
        <v>0</v>
      </c>
      <c r="AI673" s="40">
        <f t="shared" si="299"/>
        <v>0</v>
      </c>
      <c r="AJ673" s="40">
        <f t="shared" si="300"/>
        <v>0</v>
      </c>
      <c r="AK673" s="40">
        <f t="shared" si="301"/>
        <v>0</v>
      </c>
      <c r="AL673" s="40">
        <f t="shared" si="302"/>
        <v>0</v>
      </c>
      <c r="AM673" s="40">
        <f t="shared" si="303"/>
        <v>0</v>
      </c>
      <c r="AN673" s="40">
        <f t="shared" si="304"/>
        <v>1</v>
      </c>
      <c r="AO673" s="40">
        <f t="shared" si="305"/>
        <v>0</v>
      </c>
      <c r="AP673" s="40">
        <f t="shared" si="306"/>
        <v>0</v>
      </c>
      <c r="AQ673" s="40">
        <f t="shared" si="307"/>
        <v>0</v>
      </c>
      <c r="AR673" s="40">
        <f t="shared" si="308"/>
        <v>0</v>
      </c>
      <c r="AS673" s="40">
        <f t="shared" si="309"/>
        <v>0</v>
      </c>
    </row>
    <row r="674" spans="2:45" ht="14.4" customHeight="1" x14ac:dyDescent="0.25">
      <c r="B674" s="56" t="s">
        <v>45</v>
      </c>
      <c r="C674" s="57" t="s">
        <v>26</v>
      </c>
      <c r="D674" s="58" t="s">
        <v>29</v>
      </c>
      <c r="E674" s="62">
        <v>4.429999999999999E-3</v>
      </c>
      <c r="F674" s="65">
        <f t="shared" si="310"/>
        <v>-5.4193556949250929</v>
      </c>
      <c r="S674" s="40">
        <f t="shared" si="283"/>
        <v>0</v>
      </c>
      <c r="T674" s="40">
        <f t="shared" si="284"/>
        <v>0</v>
      </c>
      <c r="U674" s="40">
        <f t="shared" si="285"/>
        <v>0</v>
      </c>
      <c r="V674" s="40">
        <f t="shared" si="286"/>
        <v>1</v>
      </c>
      <c r="W674" s="40">
        <f t="shared" si="287"/>
        <v>0</v>
      </c>
      <c r="X674" s="40">
        <f t="shared" si="288"/>
        <v>0</v>
      </c>
      <c r="Y674" s="40">
        <f t="shared" si="289"/>
        <v>0</v>
      </c>
      <c r="Z674" s="40">
        <f t="shared" si="290"/>
        <v>0</v>
      </c>
      <c r="AA674" s="40">
        <f t="shared" si="291"/>
        <v>0</v>
      </c>
      <c r="AB674" s="40">
        <f t="shared" si="292"/>
        <v>0</v>
      </c>
      <c r="AC674" s="40">
        <f t="shared" si="293"/>
        <v>0</v>
      </c>
      <c r="AD674" s="40">
        <f t="shared" si="294"/>
        <v>0</v>
      </c>
      <c r="AE674" s="40">
        <f t="shared" si="295"/>
        <v>0</v>
      </c>
      <c r="AF674" s="40">
        <f t="shared" si="296"/>
        <v>1</v>
      </c>
      <c r="AG674" s="40">
        <f t="shared" si="297"/>
        <v>0</v>
      </c>
      <c r="AH674" s="40">
        <f t="shared" si="298"/>
        <v>0</v>
      </c>
      <c r="AI674" s="40">
        <f t="shared" si="299"/>
        <v>1</v>
      </c>
      <c r="AJ674" s="40">
        <f t="shared" si="300"/>
        <v>0</v>
      </c>
      <c r="AK674" s="40">
        <f t="shared" si="301"/>
        <v>0</v>
      </c>
      <c r="AL674" s="40">
        <f t="shared" si="302"/>
        <v>0</v>
      </c>
      <c r="AM674" s="40">
        <f t="shared" si="303"/>
        <v>0</v>
      </c>
      <c r="AN674" s="40">
        <f t="shared" si="304"/>
        <v>0</v>
      </c>
      <c r="AO674" s="40">
        <f t="shared" si="305"/>
        <v>0</v>
      </c>
      <c r="AP674" s="40">
        <f t="shared" si="306"/>
        <v>0</v>
      </c>
      <c r="AQ674" s="40">
        <f t="shared" si="307"/>
        <v>0</v>
      </c>
      <c r="AR674" s="40">
        <f t="shared" si="308"/>
        <v>0</v>
      </c>
      <c r="AS674" s="40">
        <f t="shared" si="309"/>
        <v>0</v>
      </c>
    </row>
    <row r="675" spans="2:45" ht="14.4" customHeight="1" x14ac:dyDescent="0.25">
      <c r="B675" s="56" t="s">
        <v>45</v>
      </c>
      <c r="C675" s="57" t="s">
        <v>26</v>
      </c>
      <c r="D675" s="58" t="s">
        <v>28</v>
      </c>
      <c r="E675" s="62">
        <v>7.7999999999999996E-3</v>
      </c>
      <c r="F675" s="65">
        <f t="shared" si="310"/>
        <v>-4.853631545286591</v>
      </c>
      <c r="S675" s="40">
        <f t="shared" si="283"/>
        <v>0</v>
      </c>
      <c r="T675" s="40">
        <f t="shared" si="284"/>
        <v>0</v>
      </c>
      <c r="U675" s="40">
        <f t="shared" si="285"/>
        <v>0</v>
      </c>
      <c r="V675" s="40">
        <f t="shared" si="286"/>
        <v>1</v>
      </c>
      <c r="W675" s="40">
        <f t="shared" si="287"/>
        <v>0</v>
      </c>
      <c r="X675" s="40">
        <f t="shared" si="288"/>
        <v>0</v>
      </c>
      <c r="Y675" s="40">
        <f t="shared" si="289"/>
        <v>0</v>
      </c>
      <c r="Z675" s="40">
        <f t="shared" si="290"/>
        <v>0</v>
      </c>
      <c r="AA675" s="40">
        <f t="shared" si="291"/>
        <v>0</v>
      </c>
      <c r="AB675" s="40">
        <f t="shared" si="292"/>
        <v>0</v>
      </c>
      <c r="AC675" s="40">
        <f t="shared" si="293"/>
        <v>0</v>
      </c>
      <c r="AD675" s="40">
        <f t="shared" si="294"/>
        <v>0</v>
      </c>
      <c r="AE675" s="40">
        <f t="shared" si="295"/>
        <v>0</v>
      </c>
      <c r="AF675" s="40">
        <f t="shared" si="296"/>
        <v>1</v>
      </c>
      <c r="AG675" s="40">
        <f t="shared" si="297"/>
        <v>0</v>
      </c>
      <c r="AH675" s="40">
        <f t="shared" si="298"/>
        <v>0</v>
      </c>
      <c r="AI675" s="40">
        <f t="shared" si="299"/>
        <v>0</v>
      </c>
      <c r="AJ675" s="40">
        <f t="shared" si="300"/>
        <v>0</v>
      </c>
      <c r="AK675" s="40">
        <f t="shared" si="301"/>
        <v>0</v>
      </c>
      <c r="AL675" s="40">
        <f t="shared" si="302"/>
        <v>0</v>
      </c>
      <c r="AM675" s="40">
        <f t="shared" si="303"/>
        <v>0</v>
      </c>
      <c r="AN675" s="40">
        <f t="shared" si="304"/>
        <v>0</v>
      </c>
      <c r="AO675" s="40">
        <f t="shared" si="305"/>
        <v>0</v>
      </c>
      <c r="AP675" s="40">
        <f t="shared" si="306"/>
        <v>0</v>
      </c>
      <c r="AQ675" s="40">
        <f t="shared" si="307"/>
        <v>1</v>
      </c>
      <c r="AR675" s="40">
        <f t="shared" si="308"/>
        <v>0</v>
      </c>
      <c r="AS675" s="40">
        <f t="shared" si="309"/>
        <v>0</v>
      </c>
    </row>
    <row r="676" spans="2:45" ht="14.4" customHeight="1" x14ac:dyDescent="0.25">
      <c r="B676" s="56" t="s">
        <v>45</v>
      </c>
      <c r="C676" s="57" t="s">
        <v>26</v>
      </c>
      <c r="D676" s="58" t="s">
        <v>30</v>
      </c>
      <c r="E676" s="62">
        <v>8.630000000000004E-3</v>
      </c>
      <c r="F676" s="65">
        <f t="shared" si="310"/>
        <v>-4.7525107738868</v>
      </c>
      <c r="S676" s="40">
        <f t="shared" si="283"/>
        <v>0</v>
      </c>
      <c r="T676" s="40">
        <f t="shared" si="284"/>
        <v>0</v>
      </c>
      <c r="U676" s="40">
        <f t="shared" si="285"/>
        <v>0</v>
      </c>
      <c r="V676" s="40">
        <f t="shared" si="286"/>
        <v>1</v>
      </c>
      <c r="W676" s="40">
        <f t="shared" si="287"/>
        <v>0</v>
      </c>
      <c r="X676" s="40">
        <f t="shared" si="288"/>
        <v>0</v>
      </c>
      <c r="Y676" s="40">
        <f t="shared" si="289"/>
        <v>0</v>
      </c>
      <c r="Z676" s="40">
        <f t="shared" si="290"/>
        <v>0</v>
      </c>
      <c r="AA676" s="40">
        <f t="shared" si="291"/>
        <v>0</v>
      </c>
      <c r="AB676" s="40">
        <f t="shared" si="292"/>
        <v>1</v>
      </c>
      <c r="AC676" s="40">
        <f t="shared" si="293"/>
        <v>0</v>
      </c>
      <c r="AD676" s="40">
        <f t="shared" si="294"/>
        <v>0</v>
      </c>
      <c r="AE676" s="40">
        <f t="shared" si="295"/>
        <v>0</v>
      </c>
      <c r="AF676" s="40">
        <f t="shared" si="296"/>
        <v>0</v>
      </c>
      <c r="AG676" s="40">
        <f t="shared" si="297"/>
        <v>0</v>
      </c>
      <c r="AH676" s="40">
        <f t="shared" si="298"/>
        <v>0</v>
      </c>
      <c r="AI676" s="40">
        <f t="shared" si="299"/>
        <v>0</v>
      </c>
      <c r="AJ676" s="40">
        <f t="shared" si="300"/>
        <v>0</v>
      </c>
      <c r="AK676" s="40">
        <f t="shared" si="301"/>
        <v>0</v>
      </c>
      <c r="AL676" s="40">
        <f t="shared" si="302"/>
        <v>1</v>
      </c>
      <c r="AM676" s="40">
        <f t="shared" si="303"/>
        <v>0</v>
      </c>
      <c r="AN676" s="40">
        <f t="shared" si="304"/>
        <v>0</v>
      </c>
      <c r="AO676" s="40">
        <f t="shared" si="305"/>
        <v>0</v>
      </c>
      <c r="AP676" s="40">
        <f t="shared" si="306"/>
        <v>0</v>
      </c>
      <c r="AQ676" s="40">
        <f t="shared" si="307"/>
        <v>0</v>
      </c>
      <c r="AR676" s="40">
        <f t="shared" si="308"/>
        <v>0</v>
      </c>
      <c r="AS676" s="40">
        <f t="shared" si="309"/>
        <v>0</v>
      </c>
    </row>
    <row r="677" spans="2:45" ht="14.4" customHeight="1" x14ac:dyDescent="0.25">
      <c r="B677" s="56" t="s">
        <v>45</v>
      </c>
      <c r="C677" s="57" t="s">
        <v>25</v>
      </c>
      <c r="D677" s="58" t="s">
        <v>24</v>
      </c>
      <c r="E677" s="62">
        <v>7.4199999999999978E-3</v>
      </c>
      <c r="F677" s="65">
        <f t="shared" si="310"/>
        <v>-4.9035762218028482</v>
      </c>
      <c r="S677" s="40">
        <f t="shared" si="283"/>
        <v>0</v>
      </c>
      <c r="T677" s="40">
        <f t="shared" si="284"/>
        <v>0</v>
      </c>
      <c r="U677" s="40">
        <f t="shared" si="285"/>
        <v>0</v>
      </c>
      <c r="V677" s="40">
        <f t="shared" si="286"/>
        <v>1</v>
      </c>
      <c r="W677" s="40">
        <f t="shared" si="287"/>
        <v>0</v>
      </c>
      <c r="X677" s="40">
        <f t="shared" si="288"/>
        <v>0</v>
      </c>
      <c r="Y677" s="40">
        <f t="shared" si="289"/>
        <v>0</v>
      </c>
      <c r="Z677" s="40">
        <f t="shared" si="290"/>
        <v>0</v>
      </c>
      <c r="AA677" s="40">
        <f t="shared" si="291"/>
        <v>0</v>
      </c>
      <c r="AB677" s="40">
        <f t="shared" si="292"/>
        <v>0</v>
      </c>
      <c r="AC677" s="40">
        <f t="shared" si="293"/>
        <v>0</v>
      </c>
      <c r="AD677" s="40">
        <f t="shared" si="294"/>
        <v>0</v>
      </c>
      <c r="AE677" s="40">
        <f t="shared" si="295"/>
        <v>0</v>
      </c>
      <c r="AF677" s="40">
        <f t="shared" si="296"/>
        <v>1</v>
      </c>
      <c r="AG677" s="40">
        <f t="shared" si="297"/>
        <v>0</v>
      </c>
      <c r="AH677" s="40">
        <f t="shared" si="298"/>
        <v>0</v>
      </c>
      <c r="AI677" s="40">
        <f t="shared" si="299"/>
        <v>0</v>
      </c>
      <c r="AJ677" s="40">
        <f t="shared" si="300"/>
        <v>1</v>
      </c>
      <c r="AK677" s="40">
        <f t="shared" si="301"/>
        <v>0</v>
      </c>
      <c r="AL677" s="40">
        <f t="shared" si="302"/>
        <v>0</v>
      </c>
      <c r="AM677" s="40">
        <f t="shared" si="303"/>
        <v>0</v>
      </c>
      <c r="AN677" s="40">
        <f t="shared" si="304"/>
        <v>0</v>
      </c>
      <c r="AO677" s="40">
        <f t="shared" si="305"/>
        <v>0</v>
      </c>
      <c r="AP677" s="40">
        <f t="shared" si="306"/>
        <v>0</v>
      </c>
      <c r="AQ677" s="40">
        <f t="shared" si="307"/>
        <v>0</v>
      </c>
      <c r="AR677" s="40">
        <f t="shared" si="308"/>
        <v>0</v>
      </c>
      <c r="AS677" s="40">
        <f t="shared" si="309"/>
        <v>0</v>
      </c>
    </row>
    <row r="678" spans="2:45" ht="14.4" customHeight="1" x14ac:dyDescent="0.25">
      <c r="B678" s="56" t="s">
        <v>45</v>
      </c>
      <c r="C678" s="57" t="s">
        <v>26</v>
      </c>
      <c r="D678" s="58" t="s">
        <v>37</v>
      </c>
      <c r="E678" s="62">
        <v>4.6699999999999997E-3</v>
      </c>
      <c r="F678" s="65">
        <f t="shared" si="310"/>
        <v>-5.3665962073013311</v>
      </c>
      <c r="S678" s="40">
        <f t="shared" si="283"/>
        <v>0</v>
      </c>
      <c r="T678" s="40">
        <f t="shared" si="284"/>
        <v>0</v>
      </c>
      <c r="U678" s="40">
        <f t="shared" si="285"/>
        <v>0</v>
      </c>
      <c r="V678" s="40">
        <f t="shared" si="286"/>
        <v>1</v>
      </c>
      <c r="W678" s="40">
        <f t="shared" si="287"/>
        <v>0</v>
      </c>
      <c r="X678" s="40">
        <f t="shared" si="288"/>
        <v>0</v>
      </c>
      <c r="Y678" s="40">
        <f t="shared" si="289"/>
        <v>0</v>
      </c>
      <c r="Z678" s="40">
        <f t="shared" si="290"/>
        <v>0</v>
      </c>
      <c r="AA678" s="40">
        <f t="shared" si="291"/>
        <v>0</v>
      </c>
      <c r="AB678" s="40">
        <f t="shared" si="292"/>
        <v>1</v>
      </c>
      <c r="AC678" s="40">
        <f t="shared" si="293"/>
        <v>0</v>
      </c>
      <c r="AD678" s="40">
        <f t="shared" si="294"/>
        <v>0</v>
      </c>
      <c r="AE678" s="40">
        <f t="shared" si="295"/>
        <v>0</v>
      </c>
      <c r="AF678" s="40">
        <f t="shared" si="296"/>
        <v>0</v>
      </c>
      <c r="AG678" s="40">
        <f t="shared" si="297"/>
        <v>0</v>
      </c>
      <c r="AH678" s="40">
        <f t="shared" si="298"/>
        <v>0</v>
      </c>
      <c r="AI678" s="40">
        <f t="shared" si="299"/>
        <v>0</v>
      </c>
      <c r="AJ678" s="40">
        <f t="shared" si="300"/>
        <v>0</v>
      </c>
      <c r="AK678" s="40">
        <f t="shared" si="301"/>
        <v>0</v>
      </c>
      <c r="AL678" s="40">
        <f t="shared" si="302"/>
        <v>0</v>
      </c>
      <c r="AM678" s="40">
        <f t="shared" si="303"/>
        <v>0</v>
      </c>
      <c r="AN678" s="40">
        <f t="shared" si="304"/>
        <v>1</v>
      </c>
      <c r="AO678" s="40">
        <f t="shared" si="305"/>
        <v>0</v>
      </c>
      <c r="AP678" s="40">
        <f t="shared" si="306"/>
        <v>0</v>
      </c>
      <c r="AQ678" s="40">
        <f t="shared" si="307"/>
        <v>0</v>
      </c>
      <c r="AR678" s="40">
        <f t="shared" si="308"/>
        <v>0</v>
      </c>
      <c r="AS678" s="40">
        <f t="shared" si="309"/>
        <v>0</v>
      </c>
    </row>
    <row r="679" spans="2:45" ht="14.4" customHeight="1" x14ac:dyDescent="0.25">
      <c r="B679" s="56" t="s">
        <v>45</v>
      </c>
      <c r="C679" s="57" t="s">
        <v>25</v>
      </c>
      <c r="D679" s="58" t="s">
        <v>29</v>
      </c>
      <c r="E679" s="62">
        <v>8.5400000000000007E-3</v>
      </c>
      <c r="F679" s="65">
        <f t="shared" si="310"/>
        <v>-4.7629942711816584</v>
      </c>
      <c r="S679" s="40">
        <f t="shared" si="283"/>
        <v>0</v>
      </c>
      <c r="T679" s="40">
        <f t="shared" si="284"/>
        <v>0</v>
      </c>
      <c r="U679" s="40">
        <f t="shared" si="285"/>
        <v>0</v>
      </c>
      <c r="V679" s="40">
        <f t="shared" si="286"/>
        <v>1</v>
      </c>
      <c r="W679" s="40">
        <f t="shared" si="287"/>
        <v>0</v>
      </c>
      <c r="X679" s="40">
        <f t="shared" si="288"/>
        <v>0</v>
      </c>
      <c r="Y679" s="40">
        <f t="shared" si="289"/>
        <v>0</v>
      </c>
      <c r="Z679" s="40">
        <f t="shared" si="290"/>
        <v>0</v>
      </c>
      <c r="AA679" s="40">
        <f t="shared" si="291"/>
        <v>0</v>
      </c>
      <c r="AB679" s="40">
        <f t="shared" si="292"/>
        <v>0</v>
      </c>
      <c r="AC679" s="40">
        <f t="shared" si="293"/>
        <v>0</v>
      </c>
      <c r="AD679" s="40">
        <f t="shared" si="294"/>
        <v>0</v>
      </c>
      <c r="AE679" s="40">
        <f t="shared" si="295"/>
        <v>0</v>
      </c>
      <c r="AF679" s="40">
        <f t="shared" si="296"/>
        <v>1</v>
      </c>
      <c r="AG679" s="40">
        <f t="shared" si="297"/>
        <v>0</v>
      </c>
      <c r="AH679" s="40">
        <f t="shared" si="298"/>
        <v>0</v>
      </c>
      <c r="AI679" s="40">
        <f t="shared" si="299"/>
        <v>0</v>
      </c>
      <c r="AJ679" s="40">
        <f t="shared" si="300"/>
        <v>1</v>
      </c>
      <c r="AK679" s="40">
        <f t="shared" si="301"/>
        <v>0</v>
      </c>
      <c r="AL679" s="40">
        <f t="shared" si="302"/>
        <v>0</v>
      </c>
      <c r="AM679" s="40">
        <f t="shared" si="303"/>
        <v>0</v>
      </c>
      <c r="AN679" s="40">
        <f t="shared" si="304"/>
        <v>0</v>
      </c>
      <c r="AO679" s="40">
        <f t="shared" si="305"/>
        <v>0</v>
      </c>
      <c r="AP679" s="40">
        <f t="shared" si="306"/>
        <v>0</v>
      </c>
      <c r="AQ679" s="40">
        <f t="shared" si="307"/>
        <v>0</v>
      </c>
      <c r="AR679" s="40">
        <f t="shared" si="308"/>
        <v>0</v>
      </c>
      <c r="AS679" s="40">
        <f t="shared" si="309"/>
        <v>0</v>
      </c>
    </row>
    <row r="680" spans="2:45" ht="14.4" customHeight="1" x14ac:dyDescent="0.25">
      <c r="B680" s="56" t="s">
        <v>45</v>
      </c>
      <c r="C680" s="57" t="s">
        <v>26</v>
      </c>
      <c r="D680" s="58" t="s">
        <v>37</v>
      </c>
      <c r="E680" s="62">
        <v>7.92E-3</v>
      </c>
      <c r="F680" s="65">
        <f t="shared" si="310"/>
        <v>-4.8383640731558026</v>
      </c>
      <c r="S680" s="40">
        <f t="shared" si="283"/>
        <v>0</v>
      </c>
      <c r="T680" s="40">
        <f t="shared" si="284"/>
        <v>0</v>
      </c>
      <c r="U680" s="40">
        <f t="shared" si="285"/>
        <v>0</v>
      </c>
      <c r="V680" s="40">
        <f t="shared" si="286"/>
        <v>1</v>
      </c>
      <c r="W680" s="40">
        <f t="shared" si="287"/>
        <v>0</v>
      </c>
      <c r="X680" s="40">
        <f t="shared" si="288"/>
        <v>0</v>
      </c>
      <c r="Y680" s="40">
        <f t="shared" si="289"/>
        <v>0</v>
      </c>
      <c r="Z680" s="40">
        <f t="shared" si="290"/>
        <v>0</v>
      </c>
      <c r="AA680" s="40">
        <f t="shared" si="291"/>
        <v>0</v>
      </c>
      <c r="AB680" s="40">
        <f t="shared" si="292"/>
        <v>0</v>
      </c>
      <c r="AC680" s="40">
        <f t="shared" si="293"/>
        <v>0</v>
      </c>
      <c r="AD680" s="40">
        <f t="shared" si="294"/>
        <v>0</v>
      </c>
      <c r="AE680" s="40">
        <f t="shared" si="295"/>
        <v>0</v>
      </c>
      <c r="AF680" s="40">
        <f t="shared" si="296"/>
        <v>1</v>
      </c>
      <c r="AG680" s="40">
        <f t="shared" si="297"/>
        <v>0</v>
      </c>
      <c r="AH680" s="40">
        <f t="shared" si="298"/>
        <v>0</v>
      </c>
      <c r="AI680" s="40">
        <f t="shared" si="299"/>
        <v>0</v>
      </c>
      <c r="AJ680" s="40">
        <f t="shared" si="300"/>
        <v>0</v>
      </c>
      <c r="AK680" s="40">
        <f t="shared" si="301"/>
        <v>0</v>
      </c>
      <c r="AL680" s="40">
        <f t="shared" si="302"/>
        <v>0</v>
      </c>
      <c r="AM680" s="40">
        <f t="shared" si="303"/>
        <v>0</v>
      </c>
      <c r="AN680" s="40">
        <f t="shared" si="304"/>
        <v>0</v>
      </c>
      <c r="AO680" s="40">
        <f t="shared" si="305"/>
        <v>0</v>
      </c>
      <c r="AP680" s="40">
        <f t="shared" si="306"/>
        <v>0</v>
      </c>
      <c r="AQ680" s="40">
        <f t="shared" si="307"/>
        <v>0</v>
      </c>
      <c r="AR680" s="40">
        <f t="shared" si="308"/>
        <v>0</v>
      </c>
      <c r="AS680" s="40">
        <f t="shared" si="309"/>
        <v>1</v>
      </c>
    </row>
    <row r="681" spans="2:45" ht="14.4" customHeight="1" x14ac:dyDescent="0.25">
      <c r="B681" s="56" t="s">
        <v>45</v>
      </c>
      <c r="C681" s="57" t="s">
        <v>26</v>
      </c>
      <c r="D681" s="58" t="s">
        <v>22</v>
      </c>
      <c r="E681" s="62">
        <v>2.6599999999999996E-3</v>
      </c>
      <c r="F681" s="65">
        <f t="shared" si="310"/>
        <v>-5.9294291561885295</v>
      </c>
      <c r="S681" s="40">
        <f t="shared" si="283"/>
        <v>0</v>
      </c>
      <c r="T681" s="40">
        <f t="shared" si="284"/>
        <v>0</v>
      </c>
      <c r="U681" s="40">
        <f t="shared" si="285"/>
        <v>0</v>
      </c>
      <c r="V681" s="40">
        <f t="shared" si="286"/>
        <v>1</v>
      </c>
      <c r="W681" s="40">
        <f t="shared" si="287"/>
        <v>0</v>
      </c>
      <c r="X681" s="40">
        <f t="shared" si="288"/>
        <v>0</v>
      </c>
      <c r="Y681" s="40">
        <f t="shared" si="289"/>
        <v>0</v>
      </c>
      <c r="Z681" s="40">
        <f t="shared" si="290"/>
        <v>0</v>
      </c>
      <c r="AA681" s="40">
        <f t="shared" si="291"/>
        <v>0</v>
      </c>
      <c r="AB681" s="40">
        <f t="shared" si="292"/>
        <v>0</v>
      </c>
      <c r="AC681" s="40">
        <f t="shared" si="293"/>
        <v>0</v>
      </c>
      <c r="AD681" s="40">
        <f t="shared" si="294"/>
        <v>0</v>
      </c>
      <c r="AE681" s="40">
        <f t="shared" si="295"/>
        <v>0</v>
      </c>
      <c r="AF681" s="40">
        <f t="shared" si="296"/>
        <v>1</v>
      </c>
      <c r="AG681" s="40">
        <f t="shared" si="297"/>
        <v>0</v>
      </c>
      <c r="AH681" s="40">
        <f t="shared" si="298"/>
        <v>0</v>
      </c>
      <c r="AI681" s="40">
        <f t="shared" si="299"/>
        <v>0</v>
      </c>
      <c r="AJ681" s="40">
        <f t="shared" si="300"/>
        <v>0</v>
      </c>
      <c r="AK681" s="40">
        <f t="shared" si="301"/>
        <v>0</v>
      </c>
      <c r="AL681" s="40">
        <f t="shared" si="302"/>
        <v>0</v>
      </c>
      <c r="AM681" s="40">
        <f t="shared" si="303"/>
        <v>0</v>
      </c>
      <c r="AN681" s="40">
        <f t="shared" si="304"/>
        <v>0</v>
      </c>
      <c r="AO681" s="40">
        <f t="shared" si="305"/>
        <v>1</v>
      </c>
      <c r="AP681" s="40">
        <f t="shared" si="306"/>
        <v>0</v>
      </c>
      <c r="AQ681" s="40">
        <f t="shared" si="307"/>
        <v>0</v>
      </c>
      <c r="AR681" s="40">
        <f t="shared" si="308"/>
        <v>0</v>
      </c>
      <c r="AS681" s="40">
        <f t="shared" si="309"/>
        <v>0</v>
      </c>
    </row>
    <row r="682" spans="2:45" ht="14.4" customHeight="1" x14ac:dyDescent="0.25">
      <c r="B682" s="56" t="s">
        <v>45</v>
      </c>
      <c r="C682" s="57" t="s">
        <v>26</v>
      </c>
      <c r="D682" s="58" t="s">
        <v>31</v>
      </c>
      <c r="E682" s="62">
        <v>2.8799999999999997E-3</v>
      </c>
      <c r="F682" s="65">
        <f t="shared" si="310"/>
        <v>-5.8499649848342825</v>
      </c>
      <c r="S682" s="40">
        <f t="shared" si="283"/>
        <v>0</v>
      </c>
      <c r="T682" s="40">
        <f t="shared" si="284"/>
        <v>0</v>
      </c>
      <c r="U682" s="40">
        <f t="shared" si="285"/>
        <v>0</v>
      </c>
      <c r="V682" s="40">
        <f t="shared" si="286"/>
        <v>1</v>
      </c>
      <c r="W682" s="40">
        <f t="shared" si="287"/>
        <v>0</v>
      </c>
      <c r="X682" s="40">
        <f t="shared" si="288"/>
        <v>0</v>
      </c>
      <c r="Y682" s="40">
        <f t="shared" si="289"/>
        <v>0</v>
      </c>
      <c r="Z682" s="40">
        <f t="shared" si="290"/>
        <v>0</v>
      </c>
      <c r="AA682" s="40">
        <f t="shared" si="291"/>
        <v>0</v>
      </c>
      <c r="AB682" s="40">
        <f t="shared" si="292"/>
        <v>0</v>
      </c>
      <c r="AC682" s="40">
        <f t="shared" si="293"/>
        <v>0</v>
      </c>
      <c r="AD682" s="40">
        <f t="shared" si="294"/>
        <v>0</v>
      </c>
      <c r="AE682" s="40">
        <f t="shared" si="295"/>
        <v>0</v>
      </c>
      <c r="AF682" s="40">
        <f t="shared" si="296"/>
        <v>1</v>
      </c>
      <c r="AG682" s="40">
        <f t="shared" si="297"/>
        <v>0</v>
      </c>
      <c r="AH682" s="40">
        <f t="shared" si="298"/>
        <v>0</v>
      </c>
      <c r="AI682" s="40">
        <f t="shared" si="299"/>
        <v>0</v>
      </c>
      <c r="AJ682" s="40">
        <f t="shared" si="300"/>
        <v>0</v>
      </c>
      <c r="AK682" s="40">
        <f t="shared" si="301"/>
        <v>0</v>
      </c>
      <c r="AL682" s="40">
        <f t="shared" si="302"/>
        <v>0</v>
      </c>
      <c r="AM682" s="40">
        <f t="shared" si="303"/>
        <v>0</v>
      </c>
      <c r="AN682" s="40">
        <f t="shared" si="304"/>
        <v>1</v>
      </c>
      <c r="AO682" s="40">
        <f t="shared" si="305"/>
        <v>0</v>
      </c>
      <c r="AP682" s="40">
        <f t="shared" si="306"/>
        <v>0</v>
      </c>
      <c r="AQ682" s="40">
        <f t="shared" si="307"/>
        <v>0</v>
      </c>
      <c r="AR682" s="40">
        <f t="shared" si="308"/>
        <v>0</v>
      </c>
      <c r="AS682" s="40">
        <f t="shared" si="309"/>
        <v>0</v>
      </c>
    </row>
    <row r="683" spans="2:45" ht="14.4" customHeight="1" x14ac:dyDescent="0.25">
      <c r="B683" s="56" t="s">
        <v>45</v>
      </c>
      <c r="C683" s="57" t="s">
        <v>26</v>
      </c>
      <c r="D683" s="58" t="s">
        <v>29</v>
      </c>
      <c r="E683" s="62">
        <v>7.139999999999997E-3</v>
      </c>
      <c r="F683" s="65">
        <f t="shared" si="310"/>
        <v>-4.9420425026306445</v>
      </c>
      <c r="S683" s="40">
        <f t="shared" si="283"/>
        <v>0</v>
      </c>
      <c r="T683" s="40">
        <f t="shared" si="284"/>
        <v>0</v>
      </c>
      <c r="U683" s="40">
        <f t="shared" si="285"/>
        <v>0</v>
      </c>
      <c r="V683" s="40">
        <f t="shared" si="286"/>
        <v>1</v>
      </c>
      <c r="W683" s="40">
        <f t="shared" si="287"/>
        <v>0</v>
      </c>
      <c r="X683" s="40">
        <f t="shared" si="288"/>
        <v>0</v>
      </c>
      <c r="Y683" s="40">
        <f t="shared" si="289"/>
        <v>0</v>
      </c>
      <c r="Z683" s="40">
        <f t="shared" si="290"/>
        <v>0</v>
      </c>
      <c r="AA683" s="40">
        <f t="shared" si="291"/>
        <v>0</v>
      </c>
      <c r="AB683" s="40">
        <f t="shared" si="292"/>
        <v>0</v>
      </c>
      <c r="AC683" s="40">
        <f t="shared" si="293"/>
        <v>0</v>
      </c>
      <c r="AD683" s="40">
        <f t="shared" si="294"/>
        <v>0</v>
      </c>
      <c r="AE683" s="40">
        <f t="shared" si="295"/>
        <v>0</v>
      </c>
      <c r="AF683" s="40">
        <f t="shared" si="296"/>
        <v>1</v>
      </c>
      <c r="AG683" s="40">
        <f t="shared" si="297"/>
        <v>0</v>
      </c>
      <c r="AH683" s="40">
        <f t="shared" si="298"/>
        <v>0</v>
      </c>
      <c r="AI683" s="40">
        <f t="shared" si="299"/>
        <v>0</v>
      </c>
      <c r="AJ683" s="40">
        <f t="shared" si="300"/>
        <v>0</v>
      </c>
      <c r="AK683" s="40">
        <f t="shared" si="301"/>
        <v>0</v>
      </c>
      <c r="AL683" s="40">
        <f t="shared" si="302"/>
        <v>0</v>
      </c>
      <c r="AM683" s="40">
        <f t="shared" si="303"/>
        <v>0</v>
      </c>
      <c r="AN683" s="40">
        <f t="shared" si="304"/>
        <v>0</v>
      </c>
      <c r="AO683" s="40">
        <f t="shared" si="305"/>
        <v>0</v>
      </c>
      <c r="AP683" s="40">
        <f t="shared" si="306"/>
        <v>0</v>
      </c>
      <c r="AQ683" s="40">
        <f t="shared" si="307"/>
        <v>1</v>
      </c>
      <c r="AR683" s="40">
        <f t="shared" si="308"/>
        <v>0</v>
      </c>
      <c r="AS683" s="40">
        <f t="shared" si="309"/>
        <v>0</v>
      </c>
    </row>
    <row r="684" spans="2:45" ht="14.4" customHeight="1" x14ac:dyDescent="0.25">
      <c r="B684" s="56" t="s">
        <v>45</v>
      </c>
      <c r="C684" s="57" t="s">
        <v>26</v>
      </c>
      <c r="D684" s="58" t="s">
        <v>30</v>
      </c>
      <c r="E684" s="62">
        <v>7.8699999999999985E-3</v>
      </c>
      <c r="F684" s="65">
        <f t="shared" si="310"/>
        <v>-4.8446972165528255</v>
      </c>
      <c r="S684" s="40">
        <f t="shared" si="283"/>
        <v>0</v>
      </c>
      <c r="T684" s="40">
        <f t="shared" si="284"/>
        <v>0</v>
      </c>
      <c r="U684" s="40">
        <f t="shared" si="285"/>
        <v>0</v>
      </c>
      <c r="V684" s="40">
        <f t="shared" si="286"/>
        <v>1</v>
      </c>
      <c r="W684" s="40">
        <f t="shared" si="287"/>
        <v>0</v>
      </c>
      <c r="X684" s="40">
        <f t="shared" si="288"/>
        <v>0</v>
      </c>
      <c r="Y684" s="40">
        <f t="shared" si="289"/>
        <v>0</v>
      </c>
      <c r="Z684" s="40">
        <f t="shared" si="290"/>
        <v>0</v>
      </c>
      <c r="AA684" s="40">
        <f t="shared" si="291"/>
        <v>0</v>
      </c>
      <c r="AB684" s="40">
        <f t="shared" si="292"/>
        <v>0</v>
      </c>
      <c r="AC684" s="40">
        <f t="shared" si="293"/>
        <v>0</v>
      </c>
      <c r="AD684" s="40">
        <f t="shared" si="294"/>
        <v>0</v>
      </c>
      <c r="AE684" s="40">
        <f t="shared" si="295"/>
        <v>0</v>
      </c>
      <c r="AF684" s="40">
        <f t="shared" si="296"/>
        <v>1</v>
      </c>
      <c r="AG684" s="40">
        <f t="shared" si="297"/>
        <v>0</v>
      </c>
      <c r="AH684" s="40">
        <f t="shared" si="298"/>
        <v>0</v>
      </c>
      <c r="AI684" s="40">
        <f t="shared" si="299"/>
        <v>0</v>
      </c>
      <c r="AJ684" s="40">
        <f t="shared" si="300"/>
        <v>0</v>
      </c>
      <c r="AK684" s="40">
        <f t="shared" si="301"/>
        <v>0</v>
      </c>
      <c r="AL684" s="40">
        <f t="shared" si="302"/>
        <v>0</v>
      </c>
      <c r="AM684" s="40">
        <f t="shared" si="303"/>
        <v>0</v>
      </c>
      <c r="AN684" s="40">
        <f t="shared" si="304"/>
        <v>0</v>
      </c>
      <c r="AO684" s="40">
        <f t="shared" si="305"/>
        <v>1</v>
      </c>
      <c r="AP684" s="40">
        <f t="shared" si="306"/>
        <v>0</v>
      </c>
      <c r="AQ684" s="40">
        <f t="shared" si="307"/>
        <v>0</v>
      </c>
      <c r="AR684" s="40">
        <f t="shared" si="308"/>
        <v>0</v>
      </c>
      <c r="AS684" s="40">
        <f t="shared" si="309"/>
        <v>0</v>
      </c>
    </row>
    <row r="685" spans="2:45" ht="14.4" customHeight="1" x14ac:dyDescent="0.25">
      <c r="B685" s="56" t="s">
        <v>45</v>
      </c>
      <c r="C685" s="57" t="s">
        <v>26</v>
      </c>
      <c r="D685" s="58" t="s">
        <v>31</v>
      </c>
      <c r="E685" s="62">
        <v>4.2300000000000011E-3</v>
      </c>
      <c r="F685" s="65">
        <f t="shared" si="310"/>
        <v>-5.4655532859239502</v>
      </c>
      <c r="S685" s="40">
        <f t="shared" si="283"/>
        <v>0</v>
      </c>
      <c r="T685" s="40">
        <f t="shared" si="284"/>
        <v>0</v>
      </c>
      <c r="U685" s="40">
        <f t="shared" si="285"/>
        <v>0</v>
      </c>
      <c r="V685" s="40">
        <f t="shared" si="286"/>
        <v>1</v>
      </c>
      <c r="W685" s="40">
        <f t="shared" si="287"/>
        <v>0</v>
      </c>
      <c r="X685" s="40">
        <f t="shared" si="288"/>
        <v>0</v>
      </c>
      <c r="Y685" s="40">
        <f t="shared" si="289"/>
        <v>0</v>
      </c>
      <c r="Z685" s="40">
        <f t="shared" si="290"/>
        <v>0</v>
      </c>
      <c r="AA685" s="40">
        <f t="shared" si="291"/>
        <v>0</v>
      </c>
      <c r="AB685" s="40">
        <f t="shared" si="292"/>
        <v>1</v>
      </c>
      <c r="AC685" s="40">
        <f t="shared" si="293"/>
        <v>0</v>
      </c>
      <c r="AD685" s="40">
        <f t="shared" si="294"/>
        <v>0</v>
      </c>
      <c r="AE685" s="40">
        <f t="shared" si="295"/>
        <v>0</v>
      </c>
      <c r="AF685" s="40">
        <f t="shared" si="296"/>
        <v>0</v>
      </c>
      <c r="AG685" s="40">
        <f t="shared" si="297"/>
        <v>0</v>
      </c>
      <c r="AH685" s="40">
        <f t="shared" si="298"/>
        <v>0</v>
      </c>
      <c r="AI685" s="40">
        <f t="shared" si="299"/>
        <v>0</v>
      </c>
      <c r="AJ685" s="40">
        <f t="shared" si="300"/>
        <v>0</v>
      </c>
      <c r="AK685" s="40">
        <f t="shared" si="301"/>
        <v>0</v>
      </c>
      <c r="AL685" s="40">
        <f t="shared" si="302"/>
        <v>0</v>
      </c>
      <c r="AM685" s="40">
        <f t="shared" si="303"/>
        <v>0</v>
      </c>
      <c r="AN685" s="40">
        <f t="shared" si="304"/>
        <v>0</v>
      </c>
      <c r="AO685" s="40">
        <f t="shared" si="305"/>
        <v>0</v>
      </c>
      <c r="AP685" s="40">
        <f t="shared" si="306"/>
        <v>0</v>
      </c>
      <c r="AQ685" s="40">
        <f t="shared" si="307"/>
        <v>1</v>
      </c>
      <c r="AR685" s="40">
        <f t="shared" si="308"/>
        <v>0</v>
      </c>
      <c r="AS685" s="40">
        <f t="shared" si="309"/>
        <v>0</v>
      </c>
    </row>
    <row r="686" spans="2:45" ht="14.4" customHeight="1" x14ac:dyDescent="0.25">
      <c r="B686" s="56" t="s">
        <v>45</v>
      </c>
      <c r="C686" s="57" t="s">
        <v>25</v>
      </c>
      <c r="D686" s="58" t="s">
        <v>30</v>
      </c>
      <c r="E686" s="62">
        <v>4.6600000000000018E-3</v>
      </c>
      <c r="F686" s="65">
        <f t="shared" si="310"/>
        <v>-5.3687398308445822</v>
      </c>
      <c r="S686" s="40">
        <f t="shared" si="283"/>
        <v>0</v>
      </c>
      <c r="T686" s="40">
        <f t="shared" si="284"/>
        <v>0</v>
      </c>
      <c r="U686" s="40">
        <f t="shared" si="285"/>
        <v>0</v>
      </c>
      <c r="V686" s="40">
        <f t="shared" si="286"/>
        <v>1</v>
      </c>
      <c r="W686" s="40">
        <f t="shared" si="287"/>
        <v>0</v>
      </c>
      <c r="X686" s="40">
        <f t="shared" si="288"/>
        <v>0</v>
      </c>
      <c r="Y686" s="40">
        <f t="shared" si="289"/>
        <v>0</v>
      </c>
      <c r="Z686" s="40">
        <f t="shared" si="290"/>
        <v>0</v>
      </c>
      <c r="AA686" s="40">
        <f t="shared" si="291"/>
        <v>0</v>
      </c>
      <c r="AB686" s="40">
        <f t="shared" si="292"/>
        <v>0</v>
      </c>
      <c r="AC686" s="40">
        <f t="shared" si="293"/>
        <v>1</v>
      </c>
      <c r="AD686" s="40">
        <f t="shared" si="294"/>
        <v>0</v>
      </c>
      <c r="AE686" s="40">
        <f t="shared" si="295"/>
        <v>0</v>
      </c>
      <c r="AF686" s="40">
        <f t="shared" si="296"/>
        <v>0</v>
      </c>
      <c r="AG686" s="40">
        <f t="shared" si="297"/>
        <v>0</v>
      </c>
      <c r="AH686" s="40">
        <f t="shared" si="298"/>
        <v>0</v>
      </c>
      <c r="AI686" s="40">
        <f t="shared" si="299"/>
        <v>1</v>
      </c>
      <c r="AJ686" s="40">
        <f t="shared" si="300"/>
        <v>0</v>
      </c>
      <c r="AK686" s="40">
        <f t="shared" si="301"/>
        <v>0</v>
      </c>
      <c r="AL686" s="40">
        <f t="shared" si="302"/>
        <v>0</v>
      </c>
      <c r="AM686" s="40">
        <f t="shared" si="303"/>
        <v>0</v>
      </c>
      <c r="AN686" s="40">
        <f t="shared" si="304"/>
        <v>0</v>
      </c>
      <c r="AO686" s="40">
        <f t="shared" si="305"/>
        <v>0</v>
      </c>
      <c r="AP686" s="40">
        <f t="shared" si="306"/>
        <v>0</v>
      </c>
      <c r="AQ686" s="40">
        <f t="shared" si="307"/>
        <v>0</v>
      </c>
      <c r="AR686" s="40">
        <f t="shared" si="308"/>
        <v>0</v>
      </c>
      <c r="AS686" s="40">
        <f t="shared" si="309"/>
        <v>0</v>
      </c>
    </row>
    <row r="687" spans="2:45" ht="14.4" customHeight="1" x14ac:dyDescent="0.25">
      <c r="B687" s="56" t="s">
        <v>45</v>
      </c>
      <c r="C687" s="57" t="s">
        <v>23</v>
      </c>
      <c r="D687" s="58" t="s">
        <v>28</v>
      </c>
      <c r="E687" s="62">
        <v>3.7499999999999986E-3</v>
      </c>
      <c r="F687" s="65">
        <f t="shared" si="310"/>
        <v>-5.585999438999818</v>
      </c>
      <c r="S687" s="40">
        <f t="shared" si="283"/>
        <v>0</v>
      </c>
      <c r="T687" s="40">
        <f t="shared" si="284"/>
        <v>0</v>
      </c>
      <c r="U687" s="40">
        <f t="shared" si="285"/>
        <v>0</v>
      </c>
      <c r="V687" s="40">
        <f t="shared" si="286"/>
        <v>1</v>
      </c>
      <c r="W687" s="40">
        <f t="shared" si="287"/>
        <v>0</v>
      </c>
      <c r="X687" s="40">
        <f t="shared" si="288"/>
        <v>0</v>
      </c>
      <c r="Y687" s="40">
        <f t="shared" si="289"/>
        <v>0</v>
      </c>
      <c r="Z687" s="40">
        <f t="shared" si="290"/>
        <v>1</v>
      </c>
      <c r="AA687" s="40">
        <f t="shared" si="291"/>
        <v>0</v>
      </c>
      <c r="AB687" s="40">
        <f t="shared" si="292"/>
        <v>0</v>
      </c>
      <c r="AC687" s="40">
        <f t="shared" si="293"/>
        <v>0</v>
      </c>
      <c r="AD687" s="40">
        <f t="shared" si="294"/>
        <v>0</v>
      </c>
      <c r="AE687" s="40">
        <f t="shared" si="295"/>
        <v>0</v>
      </c>
      <c r="AF687" s="40">
        <f t="shared" si="296"/>
        <v>0</v>
      </c>
      <c r="AG687" s="40">
        <f t="shared" si="297"/>
        <v>0</v>
      </c>
      <c r="AH687" s="40">
        <f t="shared" si="298"/>
        <v>0</v>
      </c>
      <c r="AI687" s="40">
        <f t="shared" si="299"/>
        <v>0</v>
      </c>
      <c r="AJ687" s="40">
        <f t="shared" si="300"/>
        <v>0</v>
      </c>
      <c r="AK687" s="40">
        <f t="shared" si="301"/>
        <v>0</v>
      </c>
      <c r="AL687" s="40">
        <f t="shared" si="302"/>
        <v>1</v>
      </c>
      <c r="AM687" s="40">
        <f t="shared" si="303"/>
        <v>0</v>
      </c>
      <c r="AN687" s="40">
        <f t="shared" si="304"/>
        <v>0</v>
      </c>
      <c r="AO687" s="40">
        <f t="shared" si="305"/>
        <v>0</v>
      </c>
      <c r="AP687" s="40">
        <f t="shared" si="306"/>
        <v>0</v>
      </c>
      <c r="AQ687" s="40">
        <f t="shared" si="307"/>
        <v>0</v>
      </c>
      <c r="AR687" s="40">
        <f t="shared" si="308"/>
        <v>0</v>
      </c>
      <c r="AS687" s="40">
        <f t="shared" si="309"/>
        <v>0</v>
      </c>
    </row>
    <row r="688" spans="2:45" ht="14.4" customHeight="1" x14ac:dyDescent="0.25">
      <c r="B688" s="56" t="s">
        <v>45</v>
      </c>
      <c r="C688" s="57" t="s">
        <v>36</v>
      </c>
      <c r="D688" s="58" t="s">
        <v>24</v>
      </c>
      <c r="E688" s="62">
        <v>4.7600000000000012E-3</v>
      </c>
      <c r="F688" s="65">
        <f t="shared" si="310"/>
        <v>-5.3475076107388082</v>
      </c>
      <c r="S688" s="40">
        <f t="shared" si="283"/>
        <v>0</v>
      </c>
      <c r="T688" s="40">
        <f t="shared" si="284"/>
        <v>0</v>
      </c>
      <c r="U688" s="40">
        <f t="shared" si="285"/>
        <v>0</v>
      </c>
      <c r="V688" s="40">
        <f t="shared" si="286"/>
        <v>1</v>
      </c>
      <c r="W688" s="40">
        <f t="shared" si="287"/>
        <v>0</v>
      </c>
      <c r="X688" s="40">
        <f t="shared" si="288"/>
        <v>0</v>
      </c>
      <c r="Y688" s="40">
        <f t="shared" si="289"/>
        <v>0</v>
      </c>
      <c r="Z688" s="40">
        <f t="shared" si="290"/>
        <v>0</v>
      </c>
      <c r="AA688" s="40">
        <f t="shared" si="291"/>
        <v>0</v>
      </c>
      <c r="AB688" s="40">
        <f t="shared" si="292"/>
        <v>1</v>
      </c>
      <c r="AC688" s="40">
        <f t="shared" si="293"/>
        <v>0</v>
      </c>
      <c r="AD688" s="40">
        <f t="shared" si="294"/>
        <v>0</v>
      </c>
      <c r="AE688" s="40">
        <f t="shared" si="295"/>
        <v>0</v>
      </c>
      <c r="AF688" s="40">
        <f t="shared" si="296"/>
        <v>0</v>
      </c>
      <c r="AG688" s="40">
        <f t="shared" si="297"/>
        <v>0</v>
      </c>
      <c r="AH688" s="40">
        <f t="shared" si="298"/>
        <v>0</v>
      </c>
      <c r="AI688" s="40">
        <f t="shared" si="299"/>
        <v>0</v>
      </c>
      <c r="AJ688" s="40">
        <f t="shared" si="300"/>
        <v>0</v>
      </c>
      <c r="AK688" s="40">
        <f t="shared" si="301"/>
        <v>0</v>
      </c>
      <c r="AL688" s="40">
        <f t="shared" si="302"/>
        <v>0</v>
      </c>
      <c r="AM688" s="40">
        <f t="shared" si="303"/>
        <v>0</v>
      </c>
      <c r="AN688" s="40">
        <f t="shared" si="304"/>
        <v>0</v>
      </c>
      <c r="AO688" s="40">
        <f t="shared" si="305"/>
        <v>0</v>
      </c>
      <c r="AP688" s="40">
        <f t="shared" si="306"/>
        <v>0</v>
      </c>
      <c r="AQ688" s="40">
        <f t="shared" si="307"/>
        <v>0</v>
      </c>
      <c r="AR688" s="40">
        <f t="shared" si="308"/>
        <v>0</v>
      </c>
      <c r="AS688" s="40">
        <f t="shared" si="309"/>
        <v>1</v>
      </c>
    </row>
    <row r="689" spans="2:45" ht="14.4" customHeight="1" x14ac:dyDescent="0.25">
      <c r="B689" s="56" t="s">
        <v>45</v>
      </c>
      <c r="C689" s="57" t="s">
        <v>25</v>
      </c>
      <c r="D689" s="58" t="s">
        <v>22</v>
      </c>
      <c r="E689" s="62">
        <v>1.1169999999999999E-2</v>
      </c>
      <c r="F689" s="65">
        <f t="shared" si="310"/>
        <v>-4.4945236659010277</v>
      </c>
      <c r="S689" s="40">
        <f t="shared" si="283"/>
        <v>0</v>
      </c>
      <c r="T689" s="40">
        <f t="shared" si="284"/>
        <v>0</v>
      </c>
      <c r="U689" s="40">
        <f t="shared" si="285"/>
        <v>0</v>
      </c>
      <c r="V689" s="40">
        <f t="shared" si="286"/>
        <v>1</v>
      </c>
      <c r="W689" s="40">
        <f t="shared" si="287"/>
        <v>0</v>
      </c>
      <c r="X689" s="40">
        <f t="shared" si="288"/>
        <v>0</v>
      </c>
      <c r="Y689" s="40">
        <f t="shared" si="289"/>
        <v>0</v>
      </c>
      <c r="Z689" s="40">
        <f t="shared" si="290"/>
        <v>0</v>
      </c>
      <c r="AA689" s="40">
        <f t="shared" si="291"/>
        <v>0</v>
      </c>
      <c r="AB689" s="40">
        <f t="shared" si="292"/>
        <v>0</v>
      </c>
      <c r="AC689" s="40">
        <f t="shared" si="293"/>
        <v>0</v>
      </c>
      <c r="AD689" s="40">
        <f t="shared" si="294"/>
        <v>0</v>
      </c>
      <c r="AE689" s="40">
        <f t="shared" si="295"/>
        <v>0</v>
      </c>
      <c r="AF689" s="40">
        <f t="shared" si="296"/>
        <v>1</v>
      </c>
      <c r="AG689" s="40">
        <f t="shared" si="297"/>
        <v>0</v>
      </c>
      <c r="AH689" s="40">
        <f t="shared" si="298"/>
        <v>0</v>
      </c>
      <c r="AI689" s="40">
        <f t="shared" si="299"/>
        <v>1</v>
      </c>
      <c r="AJ689" s="40">
        <f t="shared" si="300"/>
        <v>0</v>
      </c>
      <c r="AK689" s="40">
        <f t="shared" si="301"/>
        <v>0</v>
      </c>
      <c r="AL689" s="40">
        <f t="shared" si="302"/>
        <v>0</v>
      </c>
      <c r="AM689" s="40">
        <f t="shared" si="303"/>
        <v>0</v>
      </c>
      <c r="AN689" s="40">
        <f t="shared" si="304"/>
        <v>0</v>
      </c>
      <c r="AO689" s="40">
        <f t="shared" si="305"/>
        <v>0</v>
      </c>
      <c r="AP689" s="40">
        <f t="shared" si="306"/>
        <v>0</v>
      </c>
      <c r="AQ689" s="40">
        <f t="shared" si="307"/>
        <v>0</v>
      </c>
      <c r="AR689" s="40">
        <f t="shared" si="308"/>
        <v>0</v>
      </c>
      <c r="AS689" s="40">
        <f t="shared" si="309"/>
        <v>0</v>
      </c>
    </row>
    <row r="690" spans="2:45" ht="14.4" customHeight="1" x14ac:dyDescent="0.25">
      <c r="B690" s="56" t="s">
        <v>45</v>
      </c>
      <c r="C690" s="57" t="s">
        <v>26</v>
      </c>
      <c r="D690" s="58" t="s">
        <v>28</v>
      </c>
      <c r="E690" s="62">
        <v>6.2099999999999994E-3</v>
      </c>
      <c r="F690" s="65">
        <f t="shared" si="310"/>
        <v>-5.0815943830367498</v>
      </c>
      <c r="S690" s="40">
        <f t="shared" si="283"/>
        <v>0</v>
      </c>
      <c r="T690" s="40">
        <f t="shared" si="284"/>
        <v>0</v>
      </c>
      <c r="U690" s="40">
        <f t="shared" si="285"/>
        <v>0</v>
      </c>
      <c r="V690" s="40">
        <f t="shared" si="286"/>
        <v>1</v>
      </c>
      <c r="W690" s="40">
        <f t="shared" si="287"/>
        <v>0</v>
      </c>
      <c r="X690" s="40">
        <f t="shared" si="288"/>
        <v>0</v>
      </c>
      <c r="Y690" s="40">
        <f t="shared" si="289"/>
        <v>0</v>
      </c>
      <c r="Z690" s="40">
        <f t="shared" si="290"/>
        <v>0</v>
      </c>
      <c r="AA690" s="40">
        <f t="shared" si="291"/>
        <v>0</v>
      </c>
      <c r="AB690" s="40">
        <f t="shared" si="292"/>
        <v>0</v>
      </c>
      <c r="AC690" s="40">
        <f t="shared" si="293"/>
        <v>0</v>
      </c>
      <c r="AD690" s="40">
        <f t="shared" si="294"/>
        <v>0</v>
      </c>
      <c r="AE690" s="40">
        <f t="shared" si="295"/>
        <v>0</v>
      </c>
      <c r="AF690" s="40">
        <f t="shared" si="296"/>
        <v>0</v>
      </c>
      <c r="AG690" s="40">
        <f t="shared" si="297"/>
        <v>1</v>
      </c>
      <c r="AH690" s="40">
        <f t="shared" si="298"/>
        <v>0</v>
      </c>
      <c r="AI690" s="40">
        <f t="shared" si="299"/>
        <v>1</v>
      </c>
      <c r="AJ690" s="40">
        <f t="shared" si="300"/>
        <v>0</v>
      </c>
      <c r="AK690" s="40">
        <f t="shared" si="301"/>
        <v>0</v>
      </c>
      <c r="AL690" s="40">
        <f t="shared" si="302"/>
        <v>0</v>
      </c>
      <c r="AM690" s="40">
        <f t="shared" si="303"/>
        <v>0</v>
      </c>
      <c r="AN690" s="40">
        <f t="shared" si="304"/>
        <v>0</v>
      </c>
      <c r="AO690" s="40">
        <f t="shared" si="305"/>
        <v>0</v>
      </c>
      <c r="AP690" s="40">
        <f t="shared" si="306"/>
        <v>0</v>
      </c>
      <c r="AQ690" s="40">
        <f t="shared" si="307"/>
        <v>0</v>
      </c>
      <c r="AR690" s="40">
        <f t="shared" si="308"/>
        <v>0</v>
      </c>
      <c r="AS690" s="40">
        <f t="shared" si="309"/>
        <v>0</v>
      </c>
    </row>
    <row r="691" spans="2:45" ht="14.4" customHeight="1" x14ac:dyDescent="0.25">
      <c r="B691" s="56" t="s">
        <v>45</v>
      </c>
      <c r="C691" s="57" t="s">
        <v>38</v>
      </c>
      <c r="D691" s="58" t="s">
        <v>28</v>
      </c>
      <c r="E691" s="62">
        <v>2.8100000000000009E-3</v>
      </c>
      <c r="F691" s="65">
        <f t="shared" si="310"/>
        <v>-5.8745707956364823</v>
      </c>
      <c r="S691" s="40">
        <f t="shared" si="283"/>
        <v>0</v>
      </c>
      <c r="T691" s="40">
        <f t="shared" si="284"/>
        <v>0</v>
      </c>
      <c r="U691" s="40">
        <f t="shared" si="285"/>
        <v>0</v>
      </c>
      <c r="V691" s="40">
        <f t="shared" si="286"/>
        <v>1</v>
      </c>
      <c r="W691" s="40">
        <f t="shared" si="287"/>
        <v>0</v>
      </c>
      <c r="X691" s="40">
        <f t="shared" si="288"/>
        <v>0</v>
      </c>
      <c r="Y691" s="40">
        <f t="shared" si="289"/>
        <v>0</v>
      </c>
      <c r="Z691" s="40">
        <f t="shared" si="290"/>
        <v>0</v>
      </c>
      <c r="AA691" s="40">
        <f t="shared" si="291"/>
        <v>0</v>
      </c>
      <c r="AB691" s="40">
        <f t="shared" si="292"/>
        <v>0</v>
      </c>
      <c r="AC691" s="40">
        <f t="shared" si="293"/>
        <v>0</v>
      </c>
      <c r="AD691" s="40">
        <f t="shared" si="294"/>
        <v>0</v>
      </c>
      <c r="AE691" s="40">
        <f t="shared" si="295"/>
        <v>1</v>
      </c>
      <c r="AF691" s="40">
        <f t="shared" si="296"/>
        <v>0</v>
      </c>
      <c r="AG691" s="40">
        <f t="shared" si="297"/>
        <v>0</v>
      </c>
      <c r="AH691" s="40">
        <f t="shared" si="298"/>
        <v>0</v>
      </c>
      <c r="AI691" s="40">
        <f t="shared" si="299"/>
        <v>0</v>
      </c>
      <c r="AJ691" s="40">
        <f t="shared" si="300"/>
        <v>0</v>
      </c>
      <c r="AK691" s="40">
        <f t="shared" si="301"/>
        <v>0</v>
      </c>
      <c r="AL691" s="40">
        <f t="shared" si="302"/>
        <v>0</v>
      </c>
      <c r="AM691" s="40">
        <f t="shared" si="303"/>
        <v>1</v>
      </c>
      <c r="AN691" s="40">
        <f t="shared" si="304"/>
        <v>0</v>
      </c>
      <c r="AO691" s="40">
        <f t="shared" si="305"/>
        <v>0</v>
      </c>
      <c r="AP691" s="40">
        <f t="shared" si="306"/>
        <v>0</v>
      </c>
      <c r="AQ691" s="40">
        <f t="shared" si="307"/>
        <v>0</v>
      </c>
      <c r="AR691" s="40">
        <f t="shared" si="308"/>
        <v>0</v>
      </c>
      <c r="AS691" s="40">
        <f t="shared" si="309"/>
        <v>0</v>
      </c>
    </row>
    <row r="692" spans="2:45" ht="14.4" customHeight="1" x14ac:dyDescent="0.25">
      <c r="B692" s="56" t="s">
        <v>45</v>
      </c>
      <c r="C692" s="57" t="s">
        <v>34</v>
      </c>
      <c r="D692" s="58" t="s">
        <v>35</v>
      </c>
      <c r="E692" s="62">
        <v>8.1300000000000018E-3</v>
      </c>
      <c r="F692" s="65">
        <f t="shared" si="310"/>
        <v>-4.8121943554224176</v>
      </c>
      <c r="S692" s="40">
        <f t="shared" si="283"/>
        <v>0</v>
      </c>
      <c r="T692" s="40">
        <f t="shared" si="284"/>
        <v>0</v>
      </c>
      <c r="U692" s="40">
        <f t="shared" si="285"/>
        <v>0</v>
      </c>
      <c r="V692" s="40">
        <f t="shared" si="286"/>
        <v>1</v>
      </c>
      <c r="W692" s="40">
        <f t="shared" si="287"/>
        <v>0</v>
      </c>
      <c r="X692" s="40">
        <f t="shared" si="288"/>
        <v>0</v>
      </c>
      <c r="Y692" s="40">
        <f t="shared" si="289"/>
        <v>0</v>
      </c>
      <c r="Z692" s="40">
        <f t="shared" si="290"/>
        <v>0</v>
      </c>
      <c r="AA692" s="40">
        <f t="shared" si="291"/>
        <v>0</v>
      </c>
      <c r="AB692" s="40">
        <f t="shared" si="292"/>
        <v>0</v>
      </c>
      <c r="AC692" s="40">
        <f t="shared" si="293"/>
        <v>0</v>
      </c>
      <c r="AD692" s="40">
        <f t="shared" si="294"/>
        <v>0</v>
      </c>
      <c r="AE692" s="40">
        <f t="shared" si="295"/>
        <v>0</v>
      </c>
      <c r="AF692" s="40">
        <f t="shared" si="296"/>
        <v>1</v>
      </c>
      <c r="AG692" s="40">
        <f t="shared" si="297"/>
        <v>0</v>
      </c>
      <c r="AH692" s="40">
        <f t="shared" si="298"/>
        <v>0</v>
      </c>
      <c r="AI692" s="40">
        <f t="shared" si="299"/>
        <v>0</v>
      </c>
      <c r="AJ692" s="40">
        <f t="shared" si="300"/>
        <v>0</v>
      </c>
      <c r="AK692" s="40">
        <f t="shared" si="301"/>
        <v>0</v>
      </c>
      <c r="AL692" s="40">
        <f t="shared" si="302"/>
        <v>1</v>
      </c>
      <c r="AM692" s="40">
        <f t="shared" si="303"/>
        <v>0</v>
      </c>
      <c r="AN692" s="40">
        <f t="shared" si="304"/>
        <v>0</v>
      </c>
      <c r="AO692" s="40">
        <f t="shared" si="305"/>
        <v>0</v>
      </c>
      <c r="AP692" s="40">
        <f t="shared" si="306"/>
        <v>0</v>
      </c>
      <c r="AQ692" s="40">
        <f t="shared" si="307"/>
        <v>0</v>
      </c>
      <c r="AR692" s="40">
        <f t="shared" si="308"/>
        <v>0</v>
      </c>
      <c r="AS692" s="40">
        <f t="shared" si="309"/>
        <v>0</v>
      </c>
    </row>
    <row r="693" spans="2:45" ht="14.4" customHeight="1" x14ac:dyDescent="0.25">
      <c r="B693" s="56" t="s">
        <v>45</v>
      </c>
      <c r="C693" s="57" t="s">
        <v>26</v>
      </c>
      <c r="D693" s="58" t="s">
        <v>24</v>
      </c>
      <c r="E693" s="62">
        <v>7.0400000000000029E-3</v>
      </c>
      <c r="F693" s="65">
        <f t="shared" si="310"/>
        <v>-4.9561471088121856</v>
      </c>
      <c r="S693" s="40">
        <f t="shared" si="283"/>
        <v>0</v>
      </c>
      <c r="T693" s="40">
        <f t="shared" si="284"/>
        <v>0</v>
      </c>
      <c r="U693" s="40">
        <f t="shared" si="285"/>
        <v>0</v>
      </c>
      <c r="V693" s="40">
        <f t="shared" si="286"/>
        <v>1</v>
      </c>
      <c r="W693" s="40">
        <f t="shared" si="287"/>
        <v>0</v>
      </c>
      <c r="X693" s="40">
        <f t="shared" si="288"/>
        <v>0</v>
      </c>
      <c r="Y693" s="40">
        <f t="shared" si="289"/>
        <v>0</v>
      </c>
      <c r="Z693" s="40">
        <f t="shared" si="290"/>
        <v>0</v>
      </c>
      <c r="AA693" s="40">
        <f t="shared" si="291"/>
        <v>0</v>
      </c>
      <c r="AB693" s="40">
        <f t="shared" si="292"/>
        <v>0</v>
      </c>
      <c r="AC693" s="40">
        <f t="shared" si="293"/>
        <v>0</v>
      </c>
      <c r="AD693" s="40">
        <f t="shared" si="294"/>
        <v>0</v>
      </c>
      <c r="AE693" s="40">
        <f t="shared" si="295"/>
        <v>0</v>
      </c>
      <c r="AF693" s="40">
        <f t="shared" si="296"/>
        <v>1</v>
      </c>
      <c r="AG693" s="40">
        <f t="shared" si="297"/>
        <v>0</v>
      </c>
      <c r="AH693" s="40">
        <f t="shared" si="298"/>
        <v>0</v>
      </c>
      <c r="AI693" s="40">
        <f t="shared" si="299"/>
        <v>0</v>
      </c>
      <c r="AJ693" s="40">
        <f t="shared" si="300"/>
        <v>0</v>
      </c>
      <c r="AK693" s="40">
        <f t="shared" si="301"/>
        <v>0</v>
      </c>
      <c r="AL693" s="40">
        <f t="shared" si="302"/>
        <v>1</v>
      </c>
      <c r="AM693" s="40">
        <f t="shared" si="303"/>
        <v>0</v>
      </c>
      <c r="AN693" s="40">
        <f t="shared" si="304"/>
        <v>0</v>
      </c>
      <c r="AO693" s="40">
        <f t="shared" si="305"/>
        <v>0</v>
      </c>
      <c r="AP693" s="40">
        <f t="shared" si="306"/>
        <v>0</v>
      </c>
      <c r="AQ693" s="40">
        <f t="shared" si="307"/>
        <v>0</v>
      </c>
      <c r="AR693" s="40">
        <f t="shared" si="308"/>
        <v>0</v>
      </c>
      <c r="AS693" s="40">
        <f t="shared" si="309"/>
        <v>0</v>
      </c>
    </row>
    <row r="694" spans="2:45" ht="14.4" customHeight="1" x14ac:dyDescent="0.25">
      <c r="B694" s="56" t="s">
        <v>45</v>
      </c>
      <c r="C694" s="57" t="s">
        <v>26</v>
      </c>
      <c r="D694" s="58" t="s">
        <v>24</v>
      </c>
      <c r="E694" s="62">
        <v>7.0599999999999977E-3</v>
      </c>
      <c r="F694" s="65">
        <f t="shared" si="310"/>
        <v>-4.9533102274769867</v>
      </c>
      <c r="S694" s="40">
        <f t="shared" si="283"/>
        <v>0</v>
      </c>
      <c r="T694" s="40">
        <f t="shared" si="284"/>
        <v>0</v>
      </c>
      <c r="U694" s="40">
        <f t="shared" si="285"/>
        <v>0</v>
      </c>
      <c r="V694" s="40">
        <f t="shared" si="286"/>
        <v>1</v>
      </c>
      <c r="W694" s="40">
        <f t="shared" si="287"/>
        <v>0</v>
      </c>
      <c r="X694" s="40">
        <f t="shared" si="288"/>
        <v>0</v>
      </c>
      <c r="Y694" s="40">
        <f t="shared" si="289"/>
        <v>0</v>
      </c>
      <c r="Z694" s="40">
        <f t="shared" si="290"/>
        <v>0</v>
      </c>
      <c r="AA694" s="40">
        <f t="shared" si="291"/>
        <v>0</v>
      </c>
      <c r="AB694" s="40">
        <f t="shared" si="292"/>
        <v>0</v>
      </c>
      <c r="AC694" s="40">
        <f t="shared" si="293"/>
        <v>0</v>
      </c>
      <c r="AD694" s="40">
        <f t="shared" si="294"/>
        <v>0</v>
      </c>
      <c r="AE694" s="40">
        <f t="shared" si="295"/>
        <v>0</v>
      </c>
      <c r="AF694" s="40">
        <f t="shared" si="296"/>
        <v>1</v>
      </c>
      <c r="AG694" s="40">
        <f t="shared" si="297"/>
        <v>0</v>
      </c>
      <c r="AH694" s="40">
        <f t="shared" si="298"/>
        <v>0</v>
      </c>
      <c r="AI694" s="40">
        <f t="shared" si="299"/>
        <v>0</v>
      </c>
      <c r="AJ694" s="40">
        <f t="shared" si="300"/>
        <v>0</v>
      </c>
      <c r="AK694" s="40">
        <f t="shared" si="301"/>
        <v>0</v>
      </c>
      <c r="AL694" s="40">
        <f t="shared" si="302"/>
        <v>0</v>
      </c>
      <c r="AM694" s="40">
        <f t="shared" si="303"/>
        <v>0</v>
      </c>
      <c r="AN694" s="40">
        <f t="shared" si="304"/>
        <v>1</v>
      </c>
      <c r="AO694" s="40">
        <f t="shared" si="305"/>
        <v>0</v>
      </c>
      <c r="AP694" s="40">
        <f t="shared" si="306"/>
        <v>0</v>
      </c>
      <c r="AQ694" s="40">
        <f t="shared" si="307"/>
        <v>0</v>
      </c>
      <c r="AR694" s="40">
        <f t="shared" si="308"/>
        <v>0</v>
      </c>
      <c r="AS694" s="40">
        <f t="shared" si="309"/>
        <v>0</v>
      </c>
    </row>
    <row r="695" spans="2:45" ht="14.4" customHeight="1" x14ac:dyDescent="0.25">
      <c r="B695" s="56" t="s">
        <v>45</v>
      </c>
      <c r="C695" s="57" t="s">
        <v>26</v>
      </c>
      <c r="D695" s="58" t="s">
        <v>29</v>
      </c>
      <c r="E695" s="62">
        <v>3.7499999999999986E-3</v>
      </c>
      <c r="F695" s="65">
        <f t="shared" si="310"/>
        <v>-5.585999438999818</v>
      </c>
      <c r="S695" s="40">
        <f t="shared" si="283"/>
        <v>0</v>
      </c>
      <c r="T695" s="40">
        <f t="shared" si="284"/>
        <v>0</v>
      </c>
      <c r="U695" s="40">
        <f t="shared" si="285"/>
        <v>0</v>
      </c>
      <c r="V695" s="40">
        <f t="shared" si="286"/>
        <v>1</v>
      </c>
      <c r="W695" s="40">
        <f t="shared" si="287"/>
        <v>0</v>
      </c>
      <c r="X695" s="40">
        <f t="shared" si="288"/>
        <v>0</v>
      </c>
      <c r="Y695" s="40">
        <f t="shared" si="289"/>
        <v>0</v>
      </c>
      <c r="Z695" s="40">
        <f t="shared" si="290"/>
        <v>0</v>
      </c>
      <c r="AA695" s="40">
        <f t="shared" si="291"/>
        <v>0</v>
      </c>
      <c r="AB695" s="40">
        <f t="shared" si="292"/>
        <v>1</v>
      </c>
      <c r="AC695" s="40">
        <f t="shared" si="293"/>
        <v>0</v>
      </c>
      <c r="AD695" s="40">
        <f t="shared" si="294"/>
        <v>0</v>
      </c>
      <c r="AE695" s="40">
        <f t="shared" si="295"/>
        <v>0</v>
      </c>
      <c r="AF695" s="40">
        <f t="shared" si="296"/>
        <v>0</v>
      </c>
      <c r="AG695" s="40">
        <f t="shared" si="297"/>
        <v>0</v>
      </c>
      <c r="AH695" s="40">
        <f t="shared" si="298"/>
        <v>0</v>
      </c>
      <c r="AI695" s="40">
        <f t="shared" si="299"/>
        <v>0</v>
      </c>
      <c r="AJ695" s="40">
        <f t="shared" si="300"/>
        <v>0</v>
      </c>
      <c r="AK695" s="40">
        <f t="shared" si="301"/>
        <v>0</v>
      </c>
      <c r="AL695" s="40">
        <f t="shared" si="302"/>
        <v>0</v>
      </c>
      <c r="AM695" s="40">
        <f t="shared" si="303"/>
        <v>0</v>
      </c>
      <c r="AN695" s="40">
        <f t="shared" si="304"/>
        <v>0</v>
      </c>
      <c r="AO695" s="40">
        <f t="shared" si="305"/>
        <v>1</v>
      </c>
      <c r="AP695" s="40">
        <f t="shared" si="306"/>
        <v>0</v>
      </c>
      <c r="AQ695" s="40">
        <f t="shared" si="307"/>
        <v>0</v>
      </c>
      <c r="AR695" s="40">
        <f t="shared" si="308"/>
        <v>0</v>
      </c>
      <c r="AS695" s="40">
        <f t="shared" si="309"/>
        <v>0</v>
      </c>
    </row>
    <row r="696" spans="2:45" ht="14.4" customHeight="1" x14ac:dyDescent="0.25">
      <c r="B696" s="56" t="s">
        <v>45</v>
      </c>
      <c r="C696" s="57" t="s">
        <v>25</v>
      </c>
      <c r="D696" s="58" t="s">
        <v>31</v>
      </c>
      <c r="E696" s="62">
        <v>3.4399999999999986E-3</v>
      </c>
      <c r="F696" s="65">
        <f t="shared" si="310"/>
        <v>-5.6722838075968305</v>
      </c>
      <c r="S696" s="40">
        <f t="shared" si="283"/>
        <v>0</v>
      </c>
      <c r="T696" s="40">
        <f t="shared" si="284"/>
        <v>0</v>
      </c>
      <c r="U696" s="40">
        <f t="shared" si="285"/>
        <v>0</v>
      </c>
      <c r="V696" s="40">
        <f t="shared" si="286"/>
        <v>1</v>
      </c>
      <c r="W696" s="40">
        <f t="shared" si="287"/>
        <v>0</v>
      </c>
      <c r="X696" s="40">
        <f t="shared" si="288"/>
        <v>0</v>
      </c>
      <c r="Y696" s="40">
        <f t="shared" si="289"/>
        <v>0</v>
      </c>
      <c r="Z696" s="40">
        <f t="shared" si="290"/>
        <v>0</v>
      </c>
      <c r="AA696" s="40">
        <f t="shared" si="291"/>
        <v>0</v>
      </c>
      <c r="AB696" s="40">
        <f t="shared" si="292"/>
        <v>1</v>
      </c>
      <c r="AC696" s="40">
        <f t="shared" si="293"/>
        <v>0</v>
      </c>
      <c r="AD696" s="40">
        <f t="shared" si="294"/>
        <v>0</v>
      </c>
      <c r="AE696" s="40">
        <f t="shared" si="295"/>
        <v>0</v>
      </c>
      <c r="AF696" s="40">
        <f t="shared" si="296"/>
        <v>0</v>
      </c>
      <c r="AG696" s="40">
        <f t="shared" si="297"/>
        <v>0</v>
      </c>
      <c r="AH696" s="40">
        <f t="shared" si="298"/>
        <v>0</v>
      </c>
      <c r="AI696" s="40">
        <f t="shared" si="299"/>
        <v>1</v>
      </c>
      <c r="AJ696" s="40">
        <f t="shared" si="300"/>
        <v>0</v>
      </c>
      <c r="AK696" s="40">
        <f t="shared" si="301"/>
        <v>0</v>
      </c>
      <c r="AL696" s="40">
        <f t="shared" si="302"/>
        <v>0</v>
      </c>
      <c r="AM696" s="40">
        <f t="shared" si="303"/>
        <v>0</v>
      </c>
      <c r="AN696" s="40">
        <f t="shared" si="304"/>
        <v>0</v>
      </c>
      <c r="AO696" s="40">
        <f t="shared" si="305"/>
        <v>0</v>
      </c>
      <c r="AP696" s="40">
        <f t="shared" si="306"/>
        <v>0</v>
      </c>
      <c r="AQ696" s="40">
        <f t="shared" si="307"/>
        <v>0</v>
      </c>
      <c r="AR696" s="40">
        <f t="shared" si="308"/>
        <v>0</v>
      </c>
      <c r="AS696" s="40">
        <f t="shared" si="309"/>
        <v>0</v>
      </c>
    </row>
    <row r="697" spans="2:45" ht="14.4" customHeight="1" x14ac:dyDescent="0.25">
      <c r="B697" s="56" t="s">
        <v>45</v>
      </c>
      <c r="C697" s="57" t="s">
        <v>25</v>
      </c>
      <c r="D697" s="58" t="s">
        <v>28</v>
      </c>
      <c r="E697" s="62">
        <v>7.2400000000000025E-3</v>
      </c>
      <c r="F697" s="65">
        <f t="shared" si="310"/>
        <v>-4.9281340725845117</v>
      </c>
      <c r="S697" s="40">
        <f t="shared" si="283"/>
        <v>0</v>
      </c>
      <c r="T697" s="40">
        <f t="shared" si="284"/>
        <v>0</v>
      </c>
      <c r="U697" s="40">
        <f t="shared" si="285"/>
        <v>0</v>
      </c>
      <c r="V697" s="40">
        <f t="shared" si="286"/>
        <v>1</v>
      </c>
      <c r="W697" s="40">
        <f t="shared" si="287"/>
        <v>0</v>
      </c>
      <c r="X697" s="40">
        <f t="shared" si="288"/>
        <v>0</v>
      </c>
      <c r="Y697" s="40">
        <f t="shared" si="289"/>
        <v>0</v>
      </c>
      <c r="Z697" s="40">
        <f t="shared" si="290"/>
        <v>0</v>
      </c>
      <c r="AA697" s="40">
        <f t="shared" si="291"/>
        <v>0</v>
      </c>
      <c r="AB697" s="40">
        <f t="shared" si="292"/>
        <v>0</v>
      </c>
      <c r="AC697" s="40">
        <f t="shared" si="293"/>
        <v>0</v>
      </c>
      <c r="AD697" s="40">
        <f t="shared" si="294"/>
        <v>0</v>
      </c>
      <c r="AE697" s="40">
        <f t="shared" si="295"/>
        <v>0</v>
      </c>
      <c r="AF697" s="40">
        <f t="shared" si="296"/>
        <v>1</v>
      </c>
      <c r="AG697" s="40">
        <f t="shared" si="297"/>
        <v>0</v>
      </c>
      <c r="AH697" s="40">
        <f t="shared" si="298"/>
        <v>0</v>
      </c>
      <c r="AI697" s="40">
        <f t="shared" si="299"/>
        <v>1</v>
      </c>
      <c r="AJ697" s="40">
        <f t="shared" si="300"/>
        <v>0</v>
      </c>
      <c r="AK697" s="40">
        <f t="shared" si="301"/>
        <v>0</v>
      </c>
      <c r="AL697" s="40">
        <f t="shared" si="302"/>
        <v>0</v>
      </c>
      <c r="AM697" s="40">
        <f t="shared" si="303"/>
        <v>0</v>
      </c>
      <c r="AN697" s="40">
        <f t="shared" si="304"/>
        <v>0</v>
      </c>
      <c r="AO697" s="40">
        <f t="shared" si="305"/>
        <v>0</v>
      </c>
      <c r="AP697" s="40">
        <f t="shared" si="306"/>
        <v>0</v>
      </c>
      <c r="AQ697" s="40">
        <f t="shared" si="307"/>
        <v>0</v>
      </c>
      <c r="AR697" s="40">
        <f t="shared" si="308"/>
        <v>0</v>
      </c>
      <c r="AS697" s="40">
        <f t="shared" si="309"/>
        <v>0</v>
      </c>
    </row>
    <row r="698" spans="2:45" ht="14.4" customHeight="1" x14ac:dyDescent="0.25">
      <c r="B698" s="56" t="s">
        <v>45</v>
      </c>
      <c r="C698" s="57" t="s">
        <v>26</v>
      </c>
      <c r="D698" s="58" t="s">
        <v>28</v>
      </c>
      <c r="E698" s="62">
        <v>1.0919999999999999E-2</v>
      </c>
      <c r="F698" s="65">
        <f t="shared" si="310"/>
        <v>-4.5171593086653781</v>
      </c>
      <c r="S698" s="40">
        <f t="shared" si="283"/>
        <v>0</v>
      </c>
      <c r="T698" s="40">
        <f t="shared" si="284"/>
        <v>0</v>
      </c>
      <c r="U698" s="40">
        <f t="shared" si="285"/>
        <v>0</v>
      </c>
      <c r="V698" s="40">
        <f t="shared" si="286"/>
        <v>1</v>
      </c>
      <c r="W698" s="40">
        <f t="shared" si="287"/>
        <v>0</v>
      </c>
      <c r="X698" s="40">
        <f t="shared" si="288"/>
        <v>0</v>
      </c>
      <c r="Y698" s="40">
        <f t="shared" si="289"/>
        <v>0</v>
      </c>
      <c r="Z698" s="40">
        <f t="shared" si="290"/>
        <v>0</v>
      </c>
      <c r="AA698" s="40">
        <f t="shared" si="291"/>
        <v>1</v>
      </c>
      <c r="AB698" s="40">
        <f t="shared" si="292"/>
        <v>0</v>
      </c>
      <c r="AC698" s="40">
        <f t="shared" si="293"/>
        <v>0</v>
      </c>
      <c r="AD698" s="40">
        <f t="shared" si="294"/>
        <v>0</v>
      </c>
      <c r="AE698" s="40">
        <f t="shared" si="295"/>
        <v>0</v>
      </c>
      <c r="AF698" s="40">
        <f t="shared" si="296"/>
        <v>0</v>
      </c>
      <c r="AG698" s="40">
        <f t="shared" si="297"/>
        <v>0</v>
      </c>
      <c r="AH698" s="40">
        <f t="shared" si="298"/>
        <v>0</v>
      </c>
      <c r="AI698" s="40">
        <f t="shared" si="299"/>
        <v>0</v>
      </c>
      <c r="AJ698" s="40">
        <f t="shared" si="300"/>
        <v>0</v>
      </c>
      <c r="AK698" s="40">
        <f t="shared" si="301"/>
        <v>0</v>
      </c>
      <c r="AL698" s="40">
        <f t="shared" si="302"/>
        <v>0</v>
      </c>
      <c r="AM698" s="40">
        <f t="shared" si="303"/>
        <v>1</v>
      </c>
      <c r="AN698" s="40">
        <f t="shared" si="304"/>
        <v>0</v>
      </c>
      <c r="AO698" s="40">
        <f t="shared" si="305"/>
        <v>0</v>
      </c>
      <c r="AP698" s="40">
        <f t="shared" si="306"/>
        <v>0</v>
      </c>
      <c r="AQ698" s="40">
        <f t="shared" si="307"/>
        <v>0</v>
      </c>
      <c r="AR698" s="40">
        <f t="shared" si="308"/>
        <v>0</v>
      </c>
      <c r="AS698" s="40">
        <f t="shared" si="309"/>
        <v>0</v>
      </c>
    </row>
    <row r="699" spans="2:45" ht="14.4" customHeight="1" x14ac:dyDescent="0.25">
      <c r="B699" s="56" t="s">
        <v>45</v>
      </c>
      <c r="C699" s="57" t="s">
        <v>39</v>
      </c>
      <c r="D699" s="58" t="s">
        <v>35</v>
      </c>
      <c r="E699" s="62">
        <v>6.7199999999999985E-3</v>
      </c>
      <c r="F699" s="65">
        <f t="shared" si="310"/>
        <v>-5.0026671244470791</v>
      </c>
      <c r="S699" s="40">
        <f t="shared" si="283"/>
        <v>0</v>
      </c>
      <c r="T699" s="40">
        <f t="shared" si="284"/>
        <v>0</v>
      </c>
      <c r="U699" s="40">
        <f t="shared" si="285"/>
        <v>0</v>
      </c>
      <c r="V699" s="40">
        <f t="shared" si="286"/>
        <v>1</v>
      </c>
      <c r="W699" s="40">
        <f t="shared" si="287"/>
        <v>0</v>
      </c>
      <c r="X699" s="40">
        <f t="shared" si="288"/>
        <v>0</v>
      </c>
      <c r="Y699" s="40">
        <f t="shared" si="289"/>
        <v>0</v>
      </c>
      <c r="Z699" s="40">
        <f t="shared" si="290"/>
        <v>0</v>
      </c>
      <c r="AA699" s="40">
        <f t="shared" si="291"/>
        <v>0</v>
      </c>
      <c r="AB699" s="40">
        <f t="shared" si="292"/>
        <v>0</v>
      </c>
      <c r="AC699" s="40">
        <f t="shared" si="293"/>
        <v>0</v>
      </c>
      <c r="AD699" s="40">
        <f t="shared" si="294"/>
        <v>0</v>
      </c>
      <c r="AE699" s="40">
        <f t="shared" si="295"/>
        <v>0</v>
      </c>
      <c r="AF699" s="40">
        <f t="shared" si="296"/>
        <v>1</v>
      </c>
      <c r="AG699" s="40">
        <f t="shared" si="297"/>
        <v>0</v>
      </c>
      <c r="AH699" s="40">
        <f t="shared" si="298"/>
        <v>0</v>
      </c>
      <c r="AI699" s="40">
        <f t="shared" si="299"/>
        <v>1</v>
      </c>
      <c r="AJ699" s="40">
        <f t="shared" si="300"/>
        <v>0</v>
      </c>
      <c r="AK699" s="40">
        <f t="shared" si="301"/>
        <v>0</v>
      </c>
      <c r="AL699" s="40">
        <f t="shared" si="302"/>
        <v>0</v>
      </c>
      <c r="AM699" s="40">
        <f t="shared" si="303"/>
        <v>0</v>
      </c>
      <c r="AN699" s="40">
        <f t="shared" si="304"/>
        <v>0</v>
      </c>
      <c r="AO699" s="40">
        <f t="shared" si="305"/>
        <v>0</v>
      </c>
      <c r="AP699" s="40">
        <f t="shared" si="306"/>
        <v>0</v>
      </c>
      <c r="AQ699" s="40">
        <f t="shared" si="307"/>
        <v>0</v>
      </c>
      <c r="AR699" s="40">
        <f t="shared" si="308"/>
        <v>0</v>
      </c>
      <c r="AS699" s="40">
        <f t="shared" si="309"/>
        <v>0</v>
      </c>
    </row>
    <row r="700" spans="2:45" ht="14.4" customHeight="1" x14ac:dyDescent="0.25">
      <c r="B700" s="56" t="s">
        <v>45</v>
      </c>
      <c r="C700" s="57" t="s">
        <v>26</v>
      </c>
      <c r="D700" s="58" t="s">
        <v>28</v>
      </c>
      <c r="E700" s="62">
        <v>1.4799999999999995E-2</v>
      </c>
      <c r="F700" s="65">
        <f t="shared" si="310"/>
        <v>-4.213128098212068</v>
      </c>
      <c r="S700" s="40">
        <f t="shared" si="283"/>
        <v>0</v>
      </c>
      <c r="T700" s="40">
        <f t="shared" si="284"/>
        <v>0</v>
      </c>
      <c r="U700" s="40">
        <f t="shared" si="285"/>
        <v>0</v>
      </c>
      <c r="V700" s="40">
        <f t="shared" si="286"/>
        <v>1</v>
      </c>
      <c r="W700" s="40">
        <f t="shared" si="287"/>
        <v>0</v>
      </c>
      <c r="X700" s="40">
        <f t="shared" si="288"/>
        <v>0</v>
      </c>
      <c r="Y700" s="40">
        <f t="shared" si="289"/>
        <v>0</v>
      </c>
      <c r="Z700" s="40">
        <f t="shared" si="290"/>
        <v>0</v>
      </c>
      <c r="AA700" s="40">
        <f t="shared" si="291"/>
        <v>0</v>
      </c>
      <c r="AB700" s="40">
        <f t="shared" si="292"/>
        <v>0</v>
      </c>
      <c r="AC700" s="40">
        <f t="shared" si="293"/>
        <v>0</v>
      </c>
      <c r="AD700" s="40">
        <f t="shared" si="294"/>
        <v>0</v>
      </c>
      <c r="AE700" s="40">
        <f t="shared" si="295"/>
        <v>0</v>
      </c>
      <c r="AF700" s="40">
        <f t="shared" si="296"/>
        <v>1</v>
      </c>
      <c r="AG700" s="40">
        <f t="shared" si="297"/>
        <v>0</v>
      </c>
      <c r="AH700" s="40">
        <f t="shared" si="298"/>
        <v>0</v>
      </c>
      <c r="AI700" s="40">
        <f t="shared" si="299"/>
        <v>0</v>
      </c>
      <c r="AJ700" s="40">
        <f t="shared" si="300"/>
        <v>0</v>
      </c>
      <c r="AK700" s="40">
        <f t="shared" si="301"/>
        <v>0</v>
      </c>
      <c r="AL700" s="40">
        <f t="shared" si="302"/>
        <v>1</v>
      </c>
      <c r="AM700" s="40">
        <f t="shared" si="303"/>
        <v>0</v>
      </c>
      <c r="AN700" s="40">
        <f t="shared" si="304"/>
        <v>0</v>
      </c>
      <c r="AO700" s="40">
        <f t="shared" si="305"/>
        <v>0</v>
      </c>
      <c r="AP700" s="40">
        <f t="shared" si="306"/>
        <v>0</v>
      </c>
      <c r="AQ700" s="40">
        <f t="shared" si="307"/>
        <v>0</v>
      </c>
      <c r="AR700" s="40">
        <f t="shared" si="308"/>
        <v>0</v>
      </c>
      <c r="AS700" s="40">
        <f t="shared" si="309"/>
        <v>0</v>
      </c>
    </row>
    <row r="701" spans="2:45" ht="14.4" customHeight="1" x14ac:dyDescent="0.25">
      <c r="B701" s="56" t="s">
        <v>45</v>
      </c>
      <c r="C701" s="57" t="s">
        <v>26</v>
      </c>
      <c r="D701" s="58" t="s">
        <v>24</v>
      </c>
      <c r="E701" s="62">
        <v>5.5499999999999985E-3</v>
      </c>
      <c r="F701" s="65">
        <f t="shared" si="310"/>
        <v>-5.1939573512237942</v>
      </c>
      <c r="S701" s="40">
        <f t="shared" si="283"/>
        <v>0</v>
      </c>
      <c r="T701" s="40">
        <f t="shared" si="284"/>
        <v>0</v>
      </c>
      <c r="U701" s="40">
        <f t="shared" si="285"/>
        <v>0</v>
      </c>
      <c r="V701" s="40">
        <f t="shared" si="286"/>
        <v>1</v>
      </c>
      <c r="W701" s="40">
        <f t="shared" si="287"/>
        <v>0</v>
      </c>
      <c r="X701" s="40">
        <f t="shared" si="288"/>
        <v>0</v>
      </c>
      <c r="Y701" s="40">
        <f t="shared" si="289"/>
        <v>0</v>
      </c>
      <c r="Z701" s="40">
        <f t="shared" si="290"/>
        <v>0</v>
      </c>
      <c r="AA701" s="40">
        <f t="shared" si="291"/>
        <v>0</v>
      </c>
      <c r="AB701" s="40">
        <f t="shared" si="292"/>
        <v>0</v>
      </c>
      <c r="AC701" s="40">
        <f t="shared" si="293"/>
        <v>0</v>
      </c>
      <c r="AD701" s="40">
        <f t="shared" si="294"/>
        <v>0</v>
      </c>
      <c r="AE701" s="40">
        <f t="shared" si="295"/>
        <v>0</v>
      </c>
      <c r="AF701" s="40">
        <f t="shared" si="296"/>
        <v>0</v>
      </c>
      <c r="AG701" s="40">
        <f t="shared" si="297"/>
        <v>1</v>
      </c>
      <c r="AH701" s="40">
        <f t="shared" si="298"/>
        <v>0</v>
      </c>
      <c r="AI701" s="40">
        <f t="shared" si="299"/>
        <v>0</v>
      </c>
      <c r="AJ701" s="40">
        <f t="shared" si="300"/>
        <v>0</v>
      </c>
      <c r="AK701" s="40">
        <f t="shared" si="301"/>
        <v>0</v>
      </c>
      <c r="AL701" s="40">
        <f t="shared" si="302"/>
        <v>0</v>
      </c>
      <c r="AM701" s="40">
        <f t="shared" si="303"/>
        <v>0</v>
      </c>
      <c r="AN701" s="40">
        <f t="shared" si="304"/>
        <v>0</v>
      </c>
      <c r="AO701" s="40">
        <f t="shared" si="305"/>
        <v>1</v>
      </c>
      <c r="AP701" s="40">
        <f t="shared" si="306"/>
        <v>0</v>
      </c>
      <c r="AQ701" s="40">
        <f t="shared" si="307"/>
        <v>0</v>
      </c>
      <c r="AR701" s="40">
        <f t="shared" si="308"/>
        <v>0</v>
      </c>
      <c r="AS701" s="40">
        <f t="shared" si="309"/>
        <v>0</v>
      </c>
    </row>
    <row r="702" spans="2:45" ht="14.4" customHeight="1" x14ac:dyDescent="0.25">
      <c r="B702" s="56" t="s">
        <v>45</v>
      </c>
      <c r="C702" s="57" t="s">
        <v>38</v>
      </c>
      <c r="D702" s="58" t="s">
        <v>31</v>
      </c>
      <c r="E702" s="62">
        <v>4.6299999999999996E-3</v>
      </c>
      <c r="F702" s="65">
        <f t="shared" si="310"/>
        <v>-5.3751984108839945</v>
      </c>
      <c r="S702" s="40">
        <f t="shared" si="283"/>
        <v>0</v>
      </c>
      <c r="T702" s="40">
        <f t="shared" si="284"/>
        <v>0</v>
      </c>
      <c r="U702" s="40">
        <f t="shared" si="285"/>
        <v>0</v>
      </c>
      <c r="V702" s="40">
        <f t="shared" si="286"/>
        <v>1</v>
      </c>
      <c r="W702" s="40">
        <f t="shared" si="287"/>
        <v>0</v>
      </c>
      <c r="X702" s="40">
        <f t="shared" si="288"/>
        <v>0</v>
      </c>
      <c r="Y702" s="40">
        <f t="shared" si="289"/>
        <v>0</v>
      </c>
      <c r="Z702" s="40">
        <f t="shared" si="290"/>
        <v>0</v>
      </c>
      <c r="AA702" s="40">
        <f t="shared" si="291"/>
        <v>0</v>
      </c>
      <c r="AB702" s="40">
        <f t="shared" si="292"/>
        <v>0</v>
      </c>
      <c r="AC702" s="40">
        <f t="shared" si="293"/>
        <v>0</v>
      </c>
      <c r="AD702" s="40">
        <f t="shared" si="294"/>
        <v>0</v>
      </c>
      <c r="AE702" s="40">
        <f t="shared" si="295"/>
        <v>0</v>
      </c>
      <c r="AF702" s="40">
        <f t="shared" si="296"/>
        <v>1</v>
      </c>
      <c r="AG702" s="40">
        <f t="shared" si="297"/>
        <v>0</v>
      </c>
      <c r="AH702" s="40">
        <f t="shared" si="298"/>
        <v>0</v>
      </c>
      <c r="AI702" s="40">
        <f t="shared" si="299"/>
        <v>1</v>
      </c>
      <c r="AJ702" s="40">
        <f t="shared" si="300"/>
        <v>0</v>
      </c>
      <c r="AK702" s="40">
        <f t="shared" si="301"/>
        <v>0</v>
      </c>
      <c r="AL702" s="40">
        <f t="shared" si="302"/>
        <v>0</v>
      </c>
      <c r="AM702" s="40">
        <f t="shared" si="303"/>
        <v>0</v>
      </c>
      <c r="AN702" s="40">
        <f t="shared" si="304"/>
        <v>0</v>
      </c>
      <c r="AO702" s="40">
        <f t="shared" si="305"/>
        <v>0</v>
      </c>
      <c r="AP702" s="40">
        <f t="shared" si="306"/>
        <v>0</v>
      </c>
      <c r="AQ702" s="40">
        <f t="shared" si="307"/>
        <v>0</v>
      </c>
      <c r="AR702" s="40">
        <f t="shared" si="308"/>
        <v>0</v>
      </c>
      <c r="AS702" s="40">
        <f t="shared" si="309"/>
        <v>0</v>
      </c>
    </row>
    <row r="703" spans="2:45" ht="14.4" customHeight="1" x14ac:dyDescent="0.25">
      <c r="B703" s="56" t="s">
        <v>45</v>
      </c>
      <c r="C703" s="57" t="s">
        <v>26</v>
      </c>
      <c r="D703" s="58" t="s">
        <v>28</v>
      </c>
      <c r="E703" s="62">
        <v>7.7200000000000003E-3</v>
      </c>
      <c r="F703" s="65">
        <f t="shared" si="310"/>
        <v>-4.8639409149454522</v>
      </c>
      <c r="S703" s="40">
        <f t="shared" si="283"/>
        <v>0</v>
      </c>
      <c r="T703" s="40">
        <f t="shared" si="284"/>
        <v>0</v>
      </c>
      <c r="U703" s="40">
        <f t="shared" si="285"/>
        <v>0</v>
      </c>
      <c r="V703" s="40">
        <f t="shared" si="286"/>
        <v>1</v>
      </c>
      <c r="W703" s="40">
        <f t="shared" si="287"/>
        <v>0</v>
      </c>
      <c r="X703" s="40">
        <f t="shared" si="288"/>
        <v>0</v>
      </c>
      <c r="Y703" s="40">
        <f t="shared" si="289"/>
        <v>0</v>
      </c>
      <c r="Z703" s="40">
        <f t="shared" si="290"/>
        <v>0</v>
      </c>
      <c r="AA703" s="40">
        <f t="shared" si="291"/>
        <v>0</v>
      </c>
      <c r="AB703" s="40">
        <f t="shared" si="292"/>
        <v>0</v>
      </c>
      <c r="AC703" s="40">
        <f t="shared" si="293"/>
        <v>0</v>
      </c>
      <c r="AD703" s="40">
        <f t="shared" si="294"/>
        <v>0</v>
      </c>
      <c r="AE703" s="40">
        <f t="shared" si="295"/>
        <v>0</v>
      </c>
      <c r="AF703" s="40">
        <f t="shared" si="296"/>
        <v>1</v>
      </c>
      <c r="AG703" s="40">
        <f t="shared" si="297"/>
        <v>0</v>
      </c>
      <c r="AH703" s="40">
        <f t="shared" si="298"/>
        <v>0</v>
      </c>
      <c r="AI703" s="40">
        <f t="shared" si="299"/>
        <v>0</v>
      </c>
      <c r="AJ703" s="40">
        <f t="shared" si="300"/>
        <v>0</v>
      </c>
      <c r="AK703" s="40">
        <f t="shared" si="301"/>
        <v>1</v>
      </c>
      <c r="AL703" s="40">
        <f t="shared" si="302"/>
        <v>0</v>
      </c>
      <c r="AM703" s="40">
        <f t="shared" si="303"/>
        <v>0</v>
      </c>
      <c r="AN703" s="40">
        <f t="shared" si="304"/>
        <v>0</v>
      </c>
      <c r="AO703" s="40">
        <f t="shared" si="305"/>
        <v>0</v>
      </c>
      <c r="AP703" s="40">
        <f t="shared" si="306"/>
        <v>0</v>
      </c>
      <c r="AQ703" s="40">
        <f t="shared" si="307"/>
        <v>0</v>
      </c>
      <c r="AR703" s="40">
        <f t="shared" si="308"/>
        <v>0</v>
      </c>
      <c r="AS703" s="40">
        <f t="shared" si="309"/>
        <v>0</v>
      </c>
    </row>
    <row r="704" spans="2:45" ht="14.4" customHeight="1" x14ac:dyDescent="0.25">
      <c r="B704" s="56" t="s">
        <v>45</v>
      </c>
      <c r="C704" s="57" t="s">
        <v>26</v>
      </c>
      <c r="D704" s="58" t="s">
        <v>32</v>
      </c>
      <c r="E704" s="62">
        <v>1.1090000000000001E-2</v>
      </c>
      <c r="F704" s="65">
        <f t="shared" si="310"/>
        <v>-4.5017114776198612</v>
      </c>
      <c r="S704" s="40">
        <f t="shared" si="283"/>
        <v>0</v>
      </c>
      <c r="T704" s="40">
        <f t="shared" si="284"/>
        <v>0</v>
      </c>
      <c r="U704" s="40">
        <f t="shared" si="285"/>
        <v>0</v>
      </c>
      <c r="V704" s="40">
        <f t="shared" si="286"/>
        <v>1</v>
      </c>
      <c r="W704" s="40">
        <f t="shared" si="287"/>
        <v>0</v>
      </c>
      <c r="X704" s="40">
        <f t="shared" si="288"/>
        <v>0</v>
      </c>
      <c r="Y704" s="40">
        <f t="shared" si="289"/>
        <v>0</v>
      </c>
      <c r="Z704" s="40">
        <f t="shared" si="290"/>
        <v>0</v>
      </c>
      <c r="AA704" s="40">
        <f t="shared" si="291"/>
        <v>0</v>
      </c>
      <c r="AB704" s="40">
        <f t="shared" si="292"/>
        <v>0</v>
      </c>
      <c r="AC704" s="40">
        <f t="shared" si="293"/>
        <v>0</v>
      </c>
      <c r="AD704" s="40">
        <f t="shared" si="294"/>
        <v>0</v>
      </c>
      <c r="AE704" s="40">
        <f t="shared" si="295"/>
        <v>0</v>
      </c>
      <c r="AF704" s="40">
        <f t="shared" si="296"/>
        <v>1</v>
      </c>
      <c r="AG704" s="40">
        <f t="shared" si="297"/>
        <v>0</v>
      </c>
      <c r="AH704" s="40">
        <f t="shared" si="298"/>
        <v>0</v>
      </c>
      <c r="AI704" s="40">
        <f t="shared" si="299"/>
        <v>0</v>
      </c>
      <c r="AJ704" s="40">
        <f t="shared" si="300"/>
        <v>0</v>
      </c>
      <c r="AK704" s="40">
        <f t="shared" si="301"/>
        <v>0</v>
      </c>
      <c r="AL704" s="40">
        <f t="shared" si="302"/>
        <v>1</v>
      </c>
      <c r="AM704" s="40">
        <f t="shared" si="303"/>
        <v>0</v>
      </c>
      <c r="AN704" s="40">
        <f t="shared" si="304"/>
        <v>0</v>
      </c>
      <c r="AO704" s="40">
        <f t="shared" si="305"/>
        <v>0</v>
      </c>
      <c r="AP704" s="40">
        <f t="shared" si="306"/>
        <v>0</v>
      </c>
      <c r="AQ704" s="40">
        <f t="shared" si="307"/>
        <v>0</v>
      </c>
      <c r="AR704" s="40">
        <f t="shared" si="308"/>
        <v>0</v>
      </c>
      <c r="AS704" s="40">
        <f t="shared" si="309"/>
        <v>0</v>
      </c>
    </row>
    <row r="705" spans="2:45" ht="14.4" customHeight="1" x14ac:dyDescent="0.25">
      <c r="B705" s="56" t="s">
        <v>45</v>
      </c>
      <c r="C705" s="57" t="s">
        <v>26</v>
      </c>
      <c r="D705" s="58" t="s">
        <v>24</v>
      </c>
      <c r="E705" s="62">
        <v>8.0900000000000017E-3</v>
      </c>
      <c r="F705" s="65">
        <f t="shared" si="310"/>
        <v>-4.8171265479117364</v>
      </c>
      <c r="S705" s="40">
        <f t="shared" si="283"/>
        <v>0</v>
      </c>
      <c r="T705" s="40">
        <f t="shared" si="284"/>
        <v>0</v>
      </c>
      <c r="U705" s="40">
        <f t="shared" si="285"/>
        <v>0</v>
      </c>
      <c r="V705" s="40">
        <f t="shared" si="286"/>
        <v>1</v>
      </c>
      <c r="W705" s="40">
        <f t="shared" si="287"/>
        <v>0</v>
      </c>
      <c r="X705" s="40">
        <f t="shared" si="288"/>
        <v>0</v>
      </c>
      <c r="Y705" s="40">
        <f t="shared" si="289"/>
        <v>0</v>
      </c>
      <c r="Z705" s="40">
        <f t="shared" si="290"/>
        <v>0</v>
      </c>
      <c r="AA705" s="40">
        <f t="shared" si="291"/>
        <v>0</v>
      </c>
      <c r="AB705" s="40">
        <f t="shared" si="292"/>
        <v>0</v>
      </c>
      <c r="AC705" s="40">
        <f t="shared" si="293"/>
        <v>0</v>
      </c>
      <c r="AD705" s="40">
        <f t="shared" si="294"/>
        <v>0</v>
      </c>
      <c r="AE705" s="40">
        <f t="shared" si="295"/>
        <v>0</v>
      </c>
      <c r="AF705" s="40">
        <f t="shared" si="296"/>
        <v>1</v>
      </c>
      <c r="AG705" s="40">
        <f t="shared" si="297"/>
        <v>0</v>
      </c>
      <c r="AH705" s="40">
        <f t="shared" si="298"/>
        <v>0</v>
      </c>
      <c r="AI705" s="40">
        <f t="shared" si="299"/>
        <v>0</v>
      </c>
      <c r="AJ705" s="40">
        <f t="shared" si="300"/>
        <v>1</v>
      </c>
      <c r="AK705" s="40">
        <f t="shared" si="301"/>
        <v>0</v>
      </c>
      <c r="AL705" s="40">
        <f t="shared" si="302"/>
        <v>0</v>
      </c>
      <c r="AM705" s="40">
        <f t="shared" si="303"/>
        <v>0</v>
      </c>
      <c r="AN705" s="40">
        <f t="shared" si="304"/>
        <v>0</v>
      </c>
      <c r="AO705" s="40">
        <f t="shared" si="305"/>
        <v>0</v>
      </c>
      <c r="AP705" s="40">
        <f t="shared" si="306"/>
        <v>0</v>
      </c>
      <c r="AQ705" s="40">
        <f t="shared" si="307"/>
        <v>0</v>
      </c>
      <c r="AR705" s="40">
        <f t="shared" si="308"/>
        <v>0</v>
      </c>
      <c r="AS705" s="40">
        <f t="shared" si="309"/>
        <v>0</v>
      </c>
    </row>
    <row r="706" spans="2:45" ht="14.4" customHeight="1" x14ac:dyDescent="0.25">
      <c r="B706" s="56" t="s">
        <v>45</v>
      </c>
      <c r="C706" s="57" t="s">
        <v>26</v>
      </c>
      <c r="D706" s="58" t="s">
        <v>37</v>
      </c>
      <c r="E706" s="62">
        <v>1.2559999999999997E-2</v>
      </c>
      <c r="F706" s="65">
        <f t="shared" si="310"/>
        <v>-4.3772381179420847</v>
      </c>
      <c r="S706" s="40">
        <f t="shared" si="283"/>
        <v>0</v>
      </c>
      <c r="T706" s="40">
        <f t="shared" si="284"/>
        <v>0</v>
      </c>
      <c r="U706" s="40">
        <f t="shared" si="285"/>
        <v>0</v>
      </c>
      <c r="V706" s="40">
        <f t="shared" si="286"/>
        <v>1</v>
      </c>
      <c r="W706" s="40">
        <f t="shared" si="287"/>
        <v>0</v>
      </c>
      <c r="X706" s="40">
        <f t="shared" si="288"/>
        <v>0</v>
      </c>
      <c r="Y706" s="40">
        <f t="shared" si="289"/>
        <v>0</v>
      </c>
      <c r="Z706" s="40">
        <f t="shared" si="290"/>
        <v>0</v>
      </c>
      <c r="AA706" s="40">
        <f t="shared" si="291"/>
        <v>0</v>
      </c>
      <c r="AB706" s="40">
        <f t="shared" si="292"/>
        <v>0</v>
      </c>
      <c r="AC706" s="40">
        <f t="shared" si="293"/>
        <v>0</v>
      </c>
      <c r="AD706" s="40">
        <f t="shared" si="294"/>
        <v>0</v>
      </c>
      <c r="AE706" s="40">
        <f t="shared" si="295"/>
        <v>0</v>
      </c>
      <c r="AF706" s="40">
        <f t="shared" si="296"/>
        <v>1</v>
      </c>
      <c r="AG706" s="40">
        <f t="shared" si="297"/>
        <v>0</v>
      </c>
      <c r="AH706" s="40">
        <f t="shared" si="298"/>
        <v>0</v>
      </c>
      <c r="AI706" s="40">
        <f t="shared" si="299"/>
        <v>0</v>
      </c>
      <c r="AJ706" s="40">
        <f t="shared" si="300"/>
        <v>0</v>
      </c>
      <c r="AK706" s="40">
        <f t="shared" si="301"/>
        <v>1</v>
      </c>
      <c r="AL706" s="40">
        <f t="shared" si="302"/>
        <v>0</v>
      </c>
      <c r="AM706" s="40">
        <f t="shared" si="303"/>
        <v>0</v>
      </c>
      <c r="AN706" s="40">
        <f t="shared" si="304"/>
        <v>0</v>
      </c>
      <c r="AO706" s="40">
        <f t="shared" si="305"/>
        <v>0</v>
      </c>
      <c r="AP706" s="40">
        <f t="shared" si="306"/>
        <v>0</v>
      </c>
      <c r="AQ706" s="40">
        <f t="shared" si="307"/>
        <v>0</v>
      </c>
      <c r="AR706" s="40">
        <f t="shared" si="308"/>
        <v>0</v>
      </c>
      <c r="AS706" s="40">
        <f t="shared" si="309"/>
        <v>0</v>
      </c>
    </row>
    <row r="707" spans="2:45" ht="14.4" customHeight="1" x14ac:dyDescent="0.25">
      <c r="B707" s="56" t="s">
        <v>45</v>
      </c>
      <c r="C707" s="57" t="s">
        <v>26</v>
      </c>
      <c r="D707" s="58" t="s">
        <v>32</v>
      </c>
      <c r="E707" s="62">
        <v>1.2569999999999998E-2</v>
      </c>
      <c r="F707" s="65">
        <f t="shared" si="310"/>
        <v>-4.3764422563799812</v>
      </c>
      <c r="S707" s="40">
        <f t="shared" si="283"/>
        <v>0</v>
      </c>
      <c r="T707" s="40">
        <f t="shared" si="284"/>
        <v>0</v>
      </c>
      <c r="U707" s="40">
        <f t="shared" si="285"/>
        <v>0</v>
      </c>
      <c r="V707" s="40">
        <f t="shared" si="286"/>
        <v>1</v>
      </c>
      <c r="W707" s="40">
        <f t="shared" si="287"/>
        <v>0</v>
      </c>
      <c r="X707" s="40">
        <f t="shared" si="288"/>
        <v>0</v>
      </c>
      <c r="Y707" s="40">
        <f t="shared" si="289"/>
        <v>0</v>
      </c>
      <c r="Z707" s="40">
        <f t="shared" si="290"/>
        <v>0</v>
      </c>
      <c r="AA707" s="40">
        <f t="shared" si="291"/>
        <v>0</v>
      </c>
      <c r="AB707" s="40">
        <f t="shared" si="292"/>
        <v>0</v>
      </c>
      <c r="AC707" s="40">
        <f t="shared" si="293"/>
        <v>0</v>
      </c>
      <c r="AD707" s="40">
        <f t="shared" si="294"/>
        <v>0</v>
      </c>
      <c r="AE707" s="40">
        <f t="shared" si="295"/>
        <v>0</v>
      </c>
      <c r="AF707" s="40">
        <f t="shared" si="296"/>
        <v>1</v>
      </c>
      <c r="AG707" s="40">
        <f t="shared" si="297"/>
        <v>0</v>
      </c>
      <c r="AH707" s="40">
        <f t="shared" si="298"/>
        <v>0</v>
      </c>
      <c r="AI707" s="40">
        <f t="shared" si="299"/>
        <v>0</v>
      </c>
      <c r="AJ707" s="40">
        <f t="shared" si="300"/>
        <v>0</v>
      </c>
      <c r="AK707" s="40">
        <f t="shared" si="301"/>
        <v>0</v>
      </c>
      <c r="AL707" s="40">
        <f t="shared" si="302"/>
        <v>0</v>
      </c>
      <c r="AM707" s="40">
        <f t="shared" si="303"/>
        <v>0</v>
      </c>
      <c r="AN707" s="40">
        <f t="shared" si="304"/>
        <v>0</v>
      </c>
      <c r="AO707" s="40">
        <f t="shared" si="305"/>
        <v>0</v>
      </c>
      <c r="AP707" s="40">
        <f t="shared" si="306"/>
        <v>0</v>
      </c>
      <c r="AQ707" s="40">
        <f t="shared" si="307"/>
        <v>0</v>
      </c>
      <c r="AR707" s="40">
        <f t="shared" si="308"/>
        <v>0</v>
      </c>
      <c r="AS707" s="40">
        <f t="shared" si="309"/>
        <v>1</v>
      </c>
    </row>
    <row r="708" spans="2:45" ht="14.4" customHeight="1" x14ac:dyDescent="0.25">
      <c r="B708" s="56" t="s">
        <v>45</v>
      </c>
      <c r="C708" s="57" t="s">
        <v>26</v>
      </c>
      <c r="D708" s="58" t="s">
        <v>22</v>
      </c>
      <c r="E708" s="62">
        <v>4.830000000000001E-3</v>
      </c>
      <c r="F708" s="65">
        <f t="shared" si="310"/>
        <v>-5.3329088113176555</v>
      </c>
      <c r="S708" s="40">
        <f t="shared" si="283"/>
        <v>0</v>
      </c>
      <c r="T708" s="40">
        <f t="shared" si="284"/>
        <v>0</v>
      </c>
      <c r="U708" s="40">
        <f t="shared" si="285"/>
        <v>0</v>
      </c>
      <c r="V708" s="40">
        <f t="shared" si="286"/>
        <v>1</v>
      </c>
      <c r="W708" s="40">
        <f t="shared" si="287"/>
        <v>0</v>
      </c>
      <c r="X708" s="40">
        <f t="shared" si="288"/>
        <v>0</v>
      </c>
      <c r="Y708" s="40">
        <f t="shared" si="289"/>
        <v>0</v>
      </c>
      <c r="Z708" s="40">
        <f t="shared" si="290"/>
        <v>0</v>
      </c>
      <c r="AA708" s="40">
        <f t="shared" si="291"/>
        <v>0</v>
      </c>
      <c r="AB708" s="40">
        <f t="shared" si="292"/>
        <v>0</v>
      </c>
      <c r="AC708" s="40">
        <f t="shared" si="293"/>
        <v>0</v>
      </c>
      <c r="AD708" s="40">
        <f t="shared" si="294"/>
        <v>0</v>
      </c>
      <c r="AE708" s="40">
        <f t="shared" si="295"/>
        <v>0</v>
      </c>
      <c r="AF708" s="40">
        <f t="shared" si="296"/>
        <v>1</v>
      </c>
      <c r="AG708" s="40">
        <f t="shared" si="297"/>
        <v>0</v>
      </c>
      <c r="AH708" s="40">
        <f t="shared" si="298"/>
        <v>0</v>
      </c>
      <c r="AI708" s="40">
        <f t="shared" si="299"/>
        <v>0</v>
      </c>
      <c r="AJ708" s="40">
        <f t="shared" si="300"/>
        <v>0</v>
      </c>
      <c r="AK708" s="40">
        <f t="shared" si="301"/>
        <v>0</v>
      </c>
      <c r="AL708" s="40">
        <f t="shared" si="302"/>
        <v>0</v>
      </c>
      <c r="AM708" s="40">
        <f t="shared" si="303"/>
        <v>0</v>
      </c>
      <c r="AN708" s="40">
        <f t="shared" si="304"/>
        <v>0</v>
      </c>
      <c r="AO708" s="40">
        <f t="shared" si="305"/>
        <v>0</v>
      </c>
      <c r="AP708" s="40">
        <f t="shared" si="306"/>
        <v>0</v>
      </c>
      <c r="AQ708" s="40">
        <f t="shared" si="307"/>
        <v>0</v>
      </c>
      <c r="AR708" s="40">
        <f t="shared" si="308"/>
        <v>0</v>
      </c>
      <c r="AS708" s="40">
        <f t="shared" si="309"/>
        <v>1</v>
      </c>
    </row>
    <row r="709" spans="2:45" ht="14.4" customHeight="1" x14ac:dyDescent="0.25">
      <c r="B709" s="56" t="s">
        <v>45</v>
      </c>
      <c r="C709" s="57" t="s">
        <v>26</v>
      </c>
      <c r="D709" s="58" t="s">
        <v>22</v>
      </c>
      <c r="E709" s="62">
        <v>5.2300000000000003E-3</v>
      </c>
      <c r="F709" s="65">
        <f t="shared" si="310"/>
        <v>-5.2533440009053054</v>
      </c>
      <c r="S709" s="40">
        <f t="shared" si="283"/>
        <v>0</v>
      </c>
      <c r="T709" s="40">
        <f t="shared" si="284"/>
        <v>0</v>
      </c>
      <c r="U709" s="40">
        <f t="shared" si="285"/>
        <v>0</v>
      </c>
      <c r="V709" s="40">
        <f t="shared" si="286"/>
        <v>1</v>
      </c>
      <c r="W709" s="40">
        <f t="shared" si="287"/>
        <v>0</v>
      </c>
      <c r="X709" s="40">
        <f t="shared" si="288"/>
        <v>0</v>
      </c>
      <c r="Y709" s="40">
        <f t="shared" si="289"/>
        <v>0</v>
      </c>
      <c r="Z709" s="40">
        <f t="shared" si="290"/>
        <v>0</v>
      </c>
      <c r="AA709" s="40">
        <f t="shared" si="291"/>
        <v>0</v>
      </c>
      <c r="AB709" s="40">
        <f t="shared" si="292"/>
        <v>0</v>
      </c>
      <c r="AC709" s="40">
        <f t="shared" si="293"/>
        <v>0</v>
      </c>
      <c r="AD709" s="40">
        <f t="shared" si="294"/>
        <v>0</v>
      </c>
      <c r="AE709" s="40">
        <f t="shared" si="295"/>
        <v>0</v>
      </c>
      <c r="AF709" s="40">
        <f t="shared" si="296"/>
        <v>1</v>
      </c>
      <c r="AG709" s="40">
        <f t="shared" si="297"/>
        <v>0</v>
      </c>
      <c r="AH709" s="40">
        <f t="shared" si="298"/>
        <v>0</v>
      </c>
      <c r="AI709" s="40">
        <f t="shared" si="299"/>
        <v>0</v>
      </c>
      <c r="AJ709" s="40">
        <f t="shared" si="300"/>
        <v>0</v>
      </c>
      <c r="AK709" s="40">
        <f t="shared" si="301"/>
        <v>0</v>
      </c>
      <c r="AL709" s="40">
        <f t="shared" si="302"/>
        <v>1</v>
      </c>
      <c r="AM709" s="40">
        <f t="shared" si="303"/>
        <v>0</v>
      </c>
      <c r="AN709" s="40">
        <f t="shared" si="304"/>
        <v>0</v>
      </c>
      <c r="AO709" s="40">
        <f t="shared" si="305"/>
        <v>0</v>
      </c>
      <c r="AP709" s="40">
        <f t="shared" si="306"/>
        <v>0</v>
      </c>
      <c r="AQ709" s="40">
        <f t="shared" si="307"/>
        <v>0</v>
      </c>
      <c r="AR709" s="40">
        <f t="shared" si="308"/>
        <v>0</v>
      </c>
      <c r="AS709" s="40">
        <f t="shared" si="309"/>
        <v>0</v>
      </c>
    </row>
    <row r="710" spans="2:45" ht="14.4" customHeight="1" x14ac:dyDescent="0.25">
      <c r="B710" s="56" t="s">
        <v>45</v>
      </c>
      <c r="C710" s="57" t="s">
        <v>26</v>
      </c>
      <c r="D710" s="58" t="s">
        <v>24</v>
      </c>
      <c r="E710" s="62">
        <v>4.1900000000000019E-3</v>
      </c>
      <c r="F710" s="65">
        <f t="shared" si="310"/>
        <v>-5.4750545450480903</v>
      </c>
      <c r="S710" s="40">
        <f t="shared" si="283"/>
        <v>0</v>
      </c>
      <c r="T710" s="40">
        <f t="shared" si="284"/>
        <v>0</v>
      </c>
      <c r="U710" s="40">
        <f t="shared" si="285"/>
        <v>0</v>
      </c>
      <c r="V710" s="40">
        <f t="shared" si="286"/>
        <v>1</v>
      </c>
      <c r="W710" s="40">
        <f t="shared" si="287"/>
        <v>0</v>
      </c>
      <c r="X710" s="40">
        <f t="shared" si="288"/>
        <v>0</v>
      </c>
      <c r="Y710" s="40">
        <f t="shared" si="289"/>
        <v>0</v>
      </c>
      <c r="Z710" s="40">
        <f t="shared" si="290"/>
        <v>0</v>
      </c>
      <c r="AA710" s="40">
        <f t="shared" si="291"/>
        <v>0</v>
      </c>
      <c r="AB710" s="40">
        <f t="shared" si="292"/>
        <v>0</v>
      </c>
      <c r="AC710" s="40">
        <f t="shared" si="293"/>
        <v>0</v>
      </c>
      <c r="AD710" s="40">
        <f t="shared" si="294"/>
        <v>0</v>
      </c>
      <c r="AE710" s="40">
        <f t="shared" si="295"/>
        <v>0</v>
      </c>
      <c r="AF710" s="40">
        <f t="shared" si="296"/>
        <v>1</v>
      </c>
      <c r="AG710" s="40">
        <f t="shared" si="297"/>
        <v>0</v>
      </c>
      <c r="AH710" s="40">
        <f t="shared" si="298"/>
        <v>0</v>
      </c>
      <c r="AI710" s="40">
        <f t="shared" si="299"/>
        <v>1</v>
      </c>
      <c r="AJ710" s="40">
        <f t="shared" si="300"/>
        <v>0</v>
      </c>
      <c r="AK710" s="40">
        <f t="shared" si="301"/>
        <v>0</v>
      </c>
      <c r="AL710" s="40">
        <f t="shared" si="302"/>
        <v>0</v>
      </c>
      <c r="AM710" s="40">
        <f t="shared" si="303"/>
        <v>0</v>
      </c>
      <c r="AN710" s="40">
        <f t="shared" si="304"/>
        <v>0</v>
      </c>
      <c r="AO710" s="40">
        <f t="shared" si="305"/>
        <v>0</v>
      </c>
      <c r="AP710" s="40">
        <f t="shared" si="306"/>
        <v>0</v>
      </c>
      <c r="AQ710" s="40">
        <f t="shared" si="307"/>
        <v>0</v>
      </c>
      <c r="AR710" s="40">
        <f t="shared" si="308"/>
        <v>0</v>
      </c>
      <c r="AS710" s="40">
        <f t="shared" si="309"/>
        <v>0</v>
      </c>
    </row>
    <row r="711" spans="2:45" ht="14.4" customHeight="1" x14ac:dyDescent="0.25">
      <c r="B711" s="56" t="s">
        <v>45</v>
      </c>
      <c r="C711" s="57" t="s">
        <v>26</v>
      </c>
      <c r="D711" s="58" t="s">
        <v>28</v>
      </c>
      <c r="E711" s="62">
        <v>8.369999999999999E-3</v>
      </c>
      <c r="F711" s="65">
        <f t="shared" si="310"/>
        <v>-4.7831013944807532</v>
      </c>
      <c r="S711" s="40">
        <f t="shared" si="283"/>
        <v>0</v>
      </c>
      <c r="T711" s="40">
        <f t="shared" si="284"/>
        <v>0</v>
      </c>
      <c r="U711" s="40">
        <f t="shared" si="285"/>
        <v>0</v>
      </c>
      <c r="V711" s="40">
        <f t="shared" si="286"/>
        <v>1</v>
      </c>
      <c r="W711" s="40">
        <f t="shared" si="287"/>
        <v>0</v>
      </c>
      <c r="X711" s="40">
        <f t="shared" si="288"/>
        <v>0</v>
      </c>
      <c r="Y711" s="40">
        <f t="shared" si="289"/>
        <v>0</v>
      </c>
      <c r="Z711" s="40">
        <f t="shared" si="290"/>
        <v>0</v>
      </c>
      <c r="AA711" s="40">
        <f t="shared" si="291"/>
        <v>0</v>
      </c>
      <c r="AB711" s="40">
        <f t="shared" si="292"/>
        <v>0</v>
      </c>
      <c r="AC711" s="40">
        <f t="shared" si="293"/>
        <v>0</v>
      </c>
      <c r="AD711" s="40">
        <f t="shared" si="294"/>
        <v>0</v>
      </c>
      <c r="AE711" s="40">
        <f t="shared" si="295"/>
        <v>0</v>
      </c>
      <c r="AF711" s="40">
        <f t="shared" si="296"/>
        <v>1</v>
      </c>
      <c r="AG711" s="40">
        <f t="shared" si="297"/>
        <v>0</v>
      </c>
      <c r="AH711" s="40">
        <f t="shared" si="298"/>
        <v>0</v>
      </c>
      <c r="AI711" s="40">
        <f t="shared" si="299"/>
        <v>0</v>
      </c>
      <c r="AJ711" s="40">
        <f t="shared" si="300"/>
        <v>0</v>
      </c>
      <c r="AK711" s="40">
        <f t="shared" si="301"/>
        <v>0</v>
      </c>
      <c r="AL711" s="40">
        <f t="shared" si="302"/>
        <v>0</v>
      </c>
      <c r="AM711" s="40">
        <f t="shared" si="303"/>
        <v>0</v>
      </c>
      <c r="AN711" s="40">
        <f t="shared" si="304"/>
        <v>0</v>
      </c>
      <c r="AO711" s="40">
        <f t="shared" si="305"/>
        <v>0</v>
      </c>
      <c r="AP711" s="40">
        <f t="shared" si="306"/>
        <v>0</v>
      </c>
      <c r="AQ711" s="40">
        <f t="shared" si="307"/>
        <v>1</v>
      </c>
      <c r="AR711" s="40">
        <f t="shared" si="308"/>
        <v>0</v>
      </c>
      <c r="AS711" s="40">
        <f t="shared" si="309"/>
        <v>0</v>
      </c>
    </row>
    <row r="712" spans="2:45" ht="14.4" customHeight="1" x14ac:dyDescent="0.25">
      <c r="B712" s="56" t="s">
        <v>45</v>
      </c>
      <c r="C712" s="57" t="s">
        <v>26</v>
      </c>
      <c r="D712" s="58" t="s">
        <v>30</v>
      </c>
      <c r="E712" s="62">
        <v>7.2699999999999978E-3</v>
      </c>
      <c r="F712" s="65">
        <f t="shared" si="310"/>
        <v>-4.9239989874367094</v>
      </c>
      <c r="S712" s="40">
        <f t="shared" si="283"/>
        <v>0</v>
      </c>
      <c r="T712" s="40">
        <f t="shared" si="284"/>
        <v>0</v>
      </c>
      <c r="U712" s="40">
        <f t="shared" si="285"/>
        <v>0</v>
      </c>
      <c r="V712" s="40">
        <f t="shared" si="286"/>
        <v>1</v>
      </c>
      <c r="W712" s="40">
        <f t="shared" si="287"/>
        <v>0</v>
      </c>
      <c r="X712" s="40">
        <f t="shared" si="288"/>
        <v>0</v>
      </c>
      <c r="Y712" s="40">
        <f t="shared" si="289"/>
        <v>0</v>
      </c>
      <c r="Z712" s="40">
        <f t="shared" si="290"/>
        <v>0</v>
      </c>
      <c r="AA712" s="40">
        <f t="shared" si="291"/>
        <v>0</v>
      </c>
      <c r="AB712" s="40">
        <f t="shared" si="292"/>
        <v>0</v>
      </c>
      <c r="AC712" s="40">
        <f t="shared" si="293"/>
        <v>0</v>
      </c>
      <c r="AD712" s="40">
        <f t="shared" si="294"/>
        <v>0</v>
      </c>
      <c r="AE712" s="40">
        <f t="shared" si="295"/>
        <v>0</v>
      </c>
      <c r="AF712" s="40">
        <f t="shared" si="296"/>
        <v>1</v>
      </c>
      <c r="AG712" s="40">
        <f t="shared" si="297"/>
        <v>0</v>
      </c>
      <c r="AH712" s="40">
        <f t="shared" si="298"/>
        <v>0</v>
      </c>
      <c r="AI712" s="40">
        <f t="shared" si="299"/>
        <v>0</v>
      </c>
      <c r="AJ712" s="40">
        <f t="shared" si="300"/>
        <v>0</v>
      </c>
      <c r="AK712" s="40">
        <f t="shared" si="301"/>
        <v>0</v>
      </c>
      <c r="AL712" s="40">
        <f t="shared" si="302"/>
        <v>0</v>
      </c>
      <c r="AM712" s="40">
        <f t="shared" si="303"/>
        <v>0</v>
      </c>
      <c r="AN712" s="40">
        <f t="shared" si="304"/>
        <v>1</v>
      </c>
      <c r="AO712" s="40">
        <f t="shared" si="305"/>
        <v>0</v>
      </c>
      <c r="AP712" s="40">
        <f t="shared" si="306"/>
        <v>0</v>
      </c>
      <c r="AQ712" s="40">
        <f t="shared" si="307"/>
        <v>0</v>
      </c>
      <c r="AR712" s="40">
        <f t="shared" si="308"/>
        <v>0</v>
      </c>
      <c r="AS712" s="40">
        <f t="shared" si="309"/>
        <v>0</v>
      </c>
    </row>
    <row r="713" spans="2:45" ht="14.4" customHeight="1" x14ac:dyDescent="0.25">
      <c r="B713" s="56" t="s">
        <v>45</v>
      </c>
      <c r="C713" s="57" t="s">
        <v>26</v>
      </c>
      <c r="D713" s="58" t="s">
        <v>29</v>
      </c>
      <c r="E713" s="62">
        <v>6.4300000000000026E-3</v>
      </c>
      <c r="F713" s="65">
        <f t="shared" si="310"/>
        <v>-5.0467807407326086</v>
      </c>
      <c r="S713" s="40">
        <f t="shared" si="283"/>
        <v>0</v>
      </c>
      <c r="T713" s="40">
        <f t="shared" si="284"/>
        <v>0</v>
      </c>
      <c r="U713" s="40">
        <f t="shared" si="285"/>
        <v>0</v>
      </c>
      <c r="V713" s="40">
        <f t="shared" si="286"/>
        <v>1</v>
      </c>
      <c r="W713" s="40">
        <f t="shared" si="287"/>
        <v>0</v>
      </c>
      <c r="X713" s="40">
        <f t="shared" si="288"/>
        <v>0</v>
      </c>
      <c r="Y713" s="40">
        <f t="shared" si="289"/>
        <v>0</v>
      </c>
      <c r="Z713" s="40">
        <f t="shared" si="290"/>
        <v>0</v>
      </c>
      <c r="AA713" s="40">
        <f t="shared" si="291"/>
        <v>0</v>
      </c>
      <c r="AB713" s="40">
        <f t="shared" si="292"/>
        <v>0</v>
      </c>
      <c r="AC713" s="40">
        <f t="shared" si="293"/>
        <v>0</v>
      </c>
      <c r="AD713" s="40">
        <f t="shared" si="294"/>
        <v>0</v>
      </c>
      <c r="AE713" s="40">
        <f t="shared" si="295"/>
        <v>0</v>
      </c>
      <c r="AF713" s="40">
        <f t="shared" si="296"/>
        <v>1</v>
      </c>
      <c r="AG713" s="40">
        <f t="shared" si="297"/>
        <v>0</v>
      </c>
      <c r="AH713" s="40">
        <f t="shared" si="298"/>
        <v>1</v>
      </c>
      <c r="AI713" s="40">
        <f t="shared" si="299"/>
        <v>0</v>
      </c>
      <c r="AJ713" s="40">
        <f t="shared" si="300"/>
        <v>0</v>
      </c>
      <c r="AK713" s="40">
        <f t="shared" si="301"/>
        <v>0</v>
      </c>
      <c r="AL713" s="40">
        <f t="shared" si="302"/>
        <v>0</v>
      </c>
      <c r="AM713" s="40">
        <f t="shared" si="303"/>
        <v>0</v>
      </c>
      <c r="AN713" s="40">
        <f t="shared" si="304"/>
        <v>0</v>
      </c>
      <c r="AO713" s="40">
        <f t="shared" si="305"/>
        <v>0</v>
      </c>
      <c r="AP713" s="40">
        <f t="shared" si="306"/>
        <v>0</v>
      </c>
      <c r="AQ713" s="40">
        <f t="shared" si="307"/>
        <v>0</v>
      </c>
      <c r="AR713" s="40">
        <f t="shared" si="308"/>
        <v>0</v>
      </c>
      <c r="AS713" s="40">
        <f t="shared" si="309"/>
        <v>0</v>
      </c>
    </row>
    <row r="714" spans="2:45" ht="14.4" customHeight="1" x14ac:dyDescent="0.25">
      <c r="B714" s="56" t="s">
        <v>45</v>
      </c>
      <c r="C714" s="57" t="s">
        <v>26</v>
      </c>
      <c r="D714" s="58" t="s">
        <v>27</v>
      </c>
      <c r="E714" s="62">
        <v>4.7300000000000016E-3</v>
      </c>
      <c r="F714" s="65">
        <f t="shared" si="310"/>
        <v>-5.3538300764782951</v>
      </c>
      <c r="S714" s="40">
        <f t="shared" ref="S714:S777" si="311">IF($B715=S$9,1,0)</f>
        <v>0</v>
      </c>
      <c r="T714" s="40">
        <f t="shared" ref="T714:T777" si="312">IF($B715=T$9,1,0)</f>
        <v>0</v>
      </c>
      <c r="U714" s="40">
        <f t="shared" ref="U714:U777" si="313">IF($B715=U$9,1,0)</f>
        <v>0</v>
      </c>
      <c r="V714" s="40">
        <f t="shared" ref="V714:V777" si="314">IF($B715=V$9,1,0)</f>
        <v>1</v>
      </c>
      <c r="W714" s="40">
        <f t="shared" ref="W714:W777" si="315">IF($B715=W$9,1,0)</f>
        <v>0</v>
      </c>
      <c r="X714" s="40">
        <f t="shared" ref="X714:X777" si="316">IF($B715=X$9,1,0)</f>
        <v>0</v>
      </c>
      <c r="Y714" s="40">
        <f t="shared" ref="Y714:Y777" si="317">IF($B715=Y$9,1,0)</f>
        <v>0</v>
      </c>
      <c r="Z714" s="40">
        <f t="shared" ref="Z714:Z777" si="318">IF($C715=Z$9,1,0)</f>
        <v>0</v>
      </c>
      <c r="AA714" s="40">
        <f t="shared" ref="AA714:AA777" si="319">IF($C715=AA$9,1,0)</f>
        <v>0</v>
      </c>
      <c r="AB714" s="40">
        <f t="shared" ref="AB714:AB777" si="320">IF($C715=AB$9,1,0)</f>
        <v>0</v>
      </c>
      <c r="AC714" s="40">
        <f t="shared" ref="AC714:AC777" si="321">IF($C715=AC$9,1,0)</f>
        <v>0</v>
      </c>
      <c r="AD714" s="40">
        <f t="shared" ref="AD714:AD777" si="322">IF($C715=AD$9,1,0)</f>
        <v>0</v>
      </c>
      <c r="AE714" s="40">
        <f t="shared" ref="AE714:AE777" si="323">IF($C715=AE$9,1,0)</f>
        <v>0</v>
      </c>
      <c r="AF714" s="40">
        <f t="shared" ref="AF714:AF777" si="324">IF($C715=AF$9,1,0)</f>
        <v>1</v>
      </c>
      <c r="AG714" s="40">
        <f t="shared" ref="AG714:AG777" si="325">IF($C715=AG$9,1,0)</f>
        <v>0</v>
      </c>
      <c r="AH714" s="40">
        <f t="shared" ref="AH714:AH777" si="326">IF($D715=AH$9,1,0)</f>
        <v>0</v>
      </c>
      <c r="AI714" s="40">
        <f t="shared" ref="AI714:AI777" si="327">IF($D715=AI$9,1,0)</f>
        <v>0</v>
      </c>
      <c r="AJ714" s="40">
        <f t="shared" ref="AJ714:AJ777" si="328">IF($D715=AJ$9,1,0)</f>
        <v>1</v>
      </c>
      <c r="AK714" s="40">
        <f t="shared" ref="AK714:AK777" si="329">IF($D715=AK$9,1,0)</f>
        <v>0</v>
      </c>
      <c r="AL714" s="40">
        <f t="shared" ref="AL714:AL777" si="330">IF($D715=AL$9,1,0)</f>
        <v>0</v>
      </c>
      <c r="AM714" s="40">
        <f t="shared" ref="AM714:AM777" si="331">IF($D715=AM$9,1,0)</f>
        <v>0</v>
      </c>
      <c r="AN714" s="40">
        <f t="shared" ref="AN714:AN777" si="332">IF($D715=AN$9,1,0)</f>
        <v>0</v>
      </c>
      <c r="AO714" s="40">
        <f t="shared" ref="AO714:AO777" si="333">IF($D715=AO$9,1,0)</f>
        <v>0</v>
      </c>
      <c r="AP714" s="40">
        <f t="shared" ref="AP714:AP777" si="334">IF($D715=AP$9,1,0)</f>
        <v>0</v>
      </c>
      <c r="AQ714" s="40">
        <f t="shared" ref="AQ714:AQ777" si="335">IF($D715=AQ$9,1,0)</f>
        <v>0</v>
      </c>
      <c r="AR714" s="40">
        <f t="shared" ref="AR714:AR777" si="336">IF($D715=AR$9,1,0)</f>
        <v>0</v>
      </c>
      <c r="AS714" s="40">
        <f t="shared" ref="AS714:AS777" si="337">IF($D715=AS$9,1,0)</f>
        <v>0</v>
      </c>
    </row>
    <row r="715" spans="2:45" ht="14.4" customHeight="1" x14ac:dyDescent="0.25">
      <c r="B715" s="56" t="s">
        <v>45</v>
      </c>
      <c r="C715" s="57" t="s">
        <v>26</v>
      </c>
      <c r="D715" s="58" t="s">
        <v>37</v>
      </c>
      <c r="E715" s="62">
        <v>3.8999999999999994E-3</v>
      </c>
      <c r="F715" s="65">
        <f t="shared" si="310"/>
        <v>-5.5467787258465364</v>
      </c>
      <c r="S715" s="40">
        <f t="shared" si="311"/>
        <v>0</v>
      </c>
      <c r="T715" s="40">
        <f t="shared" si="312"/>
        <v>0</v>
      </c>
      <c r="U715" s="40">
        <f t="shared" si="313"/>
        <v>0</v>
      </c>
      <c r="V715" s="40">
        <f t="shared" si="314"/>
        <v>1</v>
      </c>
      <c r="W715" s="40">
        <f t="shared" si="315"/>
        <v>0</v>
      </c>
      <c r="X715" s="40">
        <f t="shared" si="316"/>
        <v>0</v>
      </c>
      <c r="Y715" s="40">
        <f t="shared" si="317"/>
        <v>0</v>
      </c>
      <c r="Z715" s="40">
        <f t="shared" si="318"/>
        <v>0</v>
      </c>
      <c r="AA715" s="40">
        <f t="shared" si="319"/>
        <v>0</v>
      </c>
      <c r="AB715" s="40">
        <f t="shared" si="320"/>
        <v>0</v>
      </c>
      <c r="AC715" s="40">
        <f t="shared" si="321"/>
        <v>0</v>
      </c>
      <c r="AD715" s="40">
        <f t="shared" si="322"/>
        <v>0</v>
      </c>
      <c r="AE715" s="40">
        <f t="shared" si="323"/>
        <v>0</v>
      </c>
      <c r="AF715" s="40">
        <f t="shared" si="324"/>
        <v>1</v>
      </c>
      <c r="AG715" s="40">
        <f t="shared" si="325"/>
        <v>0</v>
      </c>
      <c r="AH715" s="40">
        <f t="shared" si="326"/>
        <v>0</v>
      </c>
      <c r="AI715" s="40">
        <f t="shared" si="327"/>
        <v>0</v>
      </c>
      <c r="AJ715" s="40">
        <f t="shared" si="328"/>
        <v>1</v>
      </c>
      <c r="AK715" s="40">
        <f t="shared" si="329"/>
        <v>0</v>
      </c>
      <c r="AL715" s="40">
        <f t="shared" si="330"/>
        <v>0</v>
      </c>
      <c r="AM715" s="40">
        <f t="shared" si="331"/>
        <v>0</v>
      </c>
      <c r="AN715" s="40">
        <f t="shared" si="332"/>
        <v>0</v>
      </c>
      <c r="AO715" s="40">
        <f t="shared" si="333"/>
        <v>0</v>
      </c>
      <c r="AP715" s="40">
        <f t="shared" si="334"/>
        <v>0</v>
      </c>
      <c r="AQ715" s="40">
        <f t="shared" si="335"/>
        <v>0</v>
      </c>
      <c r="AR715" s="40">
        <f t="shared" si="336"/>
        <v>0</v>
      </c>
      <c r="AS715" s="40">
        <f t="shared" si="337"/>
        <v>0</v>
      </c>
    </row>
    <row r="716" spans="2:45" ht="14.4" customHeight="1" x14ac:dyDescent="0.25">
      <c r="B716" s="56" t="s">
        <v>45</v>
      </c>
      <c r="C716" s="57" t="s">
        <v>26</v>
      </c>
      <c r="D716" s="58" t="s">
        <v>37</v>
      </c>
      <c r="E716" s="62">
        <v>3.8399999999999992E-3</v>
      </c>
      <c r="F716" s="65">
        <f t="shared" ref="F716:F779" si="338">LN(E716)</f>
        <v>-5.5622829123825017</v>
      </c>
      <c r="S716" s="40">
        <f t="shared" si="311"/>
        <v>0</v>
      </c>
      <c r="T716" s="40">
        <f t="shared" si="312"/>
        <v>0</v>
      </c>
      <c r="U716" s="40">
        <f t="shared" si="313"/>
        <v>0</v>
      </c>
      <c r="V716" s="40">
        <f t="shared" si="314"/>
        <v>1</v>
      </c>
      <c r="W716" s="40">
        <f t="shared" si="315"/>
        <v>0</v>
      </c>
      <c r="X716" s="40">
        <f t="shared" si="316"/>
        <v>0</v>
      </c>
      <c r="Y716" s="40">
        <f t="shared" si="317"/>
        <v>0</v>
      </c>
      <c r="Z716" s="40">
        <f t="shared" si="318"/>
        <v>0</v>
      </c>
      <c r="AA716" s="40">
        <f t="shared" si="319"/>
        <v>0</v>
      </c>
      <c r="AB716" s="40">
        <f t="shared" si="320"/>
        <v>0</v>
      </c>
      <c r="AC716" s="40">
        <f t="shared" si="321"/>
        <v>0</v>
      </c>
      <c r="AD716" s="40">
        <f t="shared" si="322"/>
        <v>0</v>
      </c>
      <c r="AE716" s="40">
        <f t="shared" si="323"/>
        <v>0</v>
      </c>
      <c r="AF716" s="40">
        <f t="shared" si="324"/>
        <v>1</v>
      </c>
      <c r="AG716" s="40">
        <f t="shared" si="325"/>
        <v>0</v>
      </c>
      <c r="AH716" s="40">
        <f t="shared" si="326"/>
        <v>0</v>
      </c>
      <c r="AI716" s="40">
        <f t="shared" si="327"/>
        <v>0</v>
      </c>
      <c r="AJ716" s="40">
        <f t="shared" si="328"/>
        <v>0</v>
      </c>
      <c r="AK716" s="40">
        <f t="shared" si="329"/>
        <v>0</v>
      </c>
      <c r="AL716" s="40">
        <f t="shared" si="330"/>
        <v>0</v>
      </c>
      <c r="AM716" s="40">
        <f t="shared" si="331"/>
        <v>0</v>
      </c>
      <c r="AN716" s="40">
        <f t="shared" si="332"/>
        <v>0</v>
      </c>
      <c r="AO716" s="40">
        <f t="shared" si="333"/>
        <v>1</v>
      </c>
      <c r="AP716" s="40">
        <f t="shared" si="334"/>
        <v>0</v>
      </c>
      <c r="AQ716" s="40">
        <f t="shared" si="335"/>
        <v>0</v>
      </c>
      <c r="AR716" s="40">
        <f t="shared" si="336"/>
        <v>0</v>
      </c>
      <c r="AS716" s="40">
        <f t="shared" si="337"/>
        <v>0</v>
      </c>
    </row>
    <row r="717" spans="2:45" ht="14.4" customHeight="1" x14ac:dyDescent="0.25">
      <c r="B717" s="56" t="s">
        <v>45</v>
      </c>
      <c r="C717" s="57" t="s">
        <v>26</v>
      </c>
      <c r="D717" s="58" t="s">
        <v>31</v>
      </c>
      <c r="E717" s="62">
        <v>7.5399999999999998E-3</v>
      </c>
      <c r="F717" s="65">
        <f t="shared" si="338"/>
        <v>-4.8875330969622723</v>
      </c>
      <c r="S717" s="40">
        <f t="shared" si="311"/>
        <v>0</v>
      </c>
      <c r="T717" s="40">
        <f t="shared" si="312"/>
        <v>0</v>
      </c>
      <c r="U717" s="40">
        <f t="shared" si="313"/>
        <v>0</v>
      </c>
      <c r="V717" s="40">
        <f t="shared" si="314"/>
        <v>1</v>
      </c>
      <c r="W717" s="40">
        <f t="shared" si="315"/>
        <v>0</v>
      </c>
      <c r="X717" s="40">
        <f t="shared" si="316"/>
        <v>0</v>
      </c>
      <c r="Y717" s="40">
        <f t="shared" si="317"/>
        <v>0</v>
      </c>
      <c r="Z717" s="40">
        <f t="shared" si="318"/>
        <v>0</v>
      </c>
      <c r="AA717" s="40">
        <f t="shared" si="319"/>
        <v>0</v>
      </c>
      <c r="AB717" s="40">
        <f t="shared" si="320"/>
        <v>0</v>
      </c>
      <c r="AC717" s="40">
        <f t="shared" si="321"/>
        <v>0</v>
      </c>
      <c r="AD717" s="40">
        <f t="shared" si="322"/>
        <v>0</v>
      </c>
      <c r="AE717" s="40">
        <f t="shared" si="323"/>
        <v>0</v>
      </c>
      <c r="AF717" s="40">
        <f t="shared" si="324"/>
        <v>1</v>
      </c>
      <c r="AG717" s="40">
        <f t="shared" si="325"/>
        <v>0</v>
      </c>
      <c r="AH717" s="40">
        <f t="shared" si="326"/>
        <v>0</v>
      </c>
      <c r="AI717" s="40">
        <f t="shared" si="327"/>
        <v>0</v>
      </c>
      <c r="AJ717" s="40">
        <f t="shared" si="328"/>
        <v>0</v>
      </c>
      <c r="AK717" s="40">
        <f t="shared" si="329"/>
        <v>0</v>
      </c>
      <c r="AL717" s="40">
        <f t="shared" si="330"/>
        <v>0</v>
      </c>
      <c r="AM717" s="40">
        <f t="shared" si="331"/>
        <v>0</v>
      </c>
      <c r="AN717" s="40">
        <f t="shared" si="332"/>
        <v>0</v>
      </c>
      <c r="AO717" s="40">
        <f t="shared" si="333"/>
        <v>0</v>
      </c>
      <c r="AP717" s="40">
        <f t="shared" si="334"/>
        <v>0</v>
      </c>
      <c r="AQ717" s="40">
        <f t="shared" si="335"/>
        <v>0</v>
      </c>
      <c r="AR717" s="40">
        <f t="shared" si="336"/>
        <v>0</v>
      </c>
      <c r="AS717" s="40">
        <f t="shared" si="337"/>
        <v>1</v>
      </c>
    </row>
    <row r="718" spans="2:45" ht="14.4" customHeight="1" x14ac:dyDescent="0.25">
      <c r="B718" s="56" t="s">
        <v>45</v>
      </c>
      <c r="C718" s="57" t="s">
        <v>26</v>
      </c>
      <c r="D718" s="58" t="s">
        <v>22</v>
      </c>
      <c r="E718" s="62">
        <v>3.2299999999999989E-3</v>
      </c>
      <c r="F718" s="65">
        <f t="shared" si="338"/>
        <v>-5.7352731417475722</v>
      </c>
      <c r="S718" s="40">
        <f t="shared" si="311"/>
        <v>0</v>
      </c>
      <c r="T718" s="40">
        <f t="shared" si="312"/>
        <v>0</v>
      </c>
      <c r="U718" s="40">
        <f t="shared" si="313"/>
        <v>0</v>
      </c>
      <c r="V718" s="40">
        <f t="shared" si="314"/>
        <v>1</v>
      </c>
      <c r="W718" s="40">
        <f t="shared" si="315"/>
        <v>0</v>
      </c>
      <c r="X718" s="40">
        <f t="shared" si="316"/>
        <v>0</v>
      </c>
      <c r="Y718" s="40">
        <f t="shared" si="317"/>
        <v>0</v>
      </c>
      <c r="Z718" s="40">
        <f t="shared" si="318"/>
        <v>0</v>
      </c>
      <c r="AA718" s="40">
        <f t="shared" si="319"/>
        <v>0</v>
      </c>
      <c r="AB718" s="40">
        <f t="shared" si="320"/>
        <v>0</v>
      </c>
      <c r="AC718" s="40">
        <f t="shared" si="321"/>
        <v>0</v>
      </c>
      <c r="AD718" s="40">
        <f t="shared" si="322"/>
        <v>0</v>
      </c>
      <c r="AE718" s="40">
        <f t="shared" si="323"/>
        <v>0</v>
      </c>
      <c r="AF718" s="40">
        <f t="shared" si="324"/>
        <v>1</v>
      </c>
      <c r="AG718" s="40">
        <f t="shared" si="325"/>
        <v>0</v>
      </c>
      <c r="AH718" s="40">
        <f t="shared" si="326"/>
        <v>1</v>
      </c>
      <c r="AI718" s="40">
        <f t="shared" si="327"/>
        <v>0</v>
      </c>
      <c r="AJ718" s="40">
        <f t="shared" si="328"/>
        <v>0</v>
      </c>
      <c r="AK718" s="40">
        <f t="shared" si="329"/>
        <v>0</v>
      </c>
      <c r="AL718" s="40">
        <f t="shared" si="330"/>
        <v>0</v>
      </c>
      <c r="AM718" s="40">
        <f t="shared" si="331"/>
        <v>0</v>
      </c>
      <c r="AN718" s="40">
        <f t="shared" si="332"/>
        <v>0</v>
      </c>
      <c r="AO718" s="40">
        <f t="shared" si="333"/>
        <v>0</v>
      </c>
      <c r="AP718" s="40">
        <f t="shared" si="334"/>
        <v>0</v>
      </c>
      <c r="AQ718" s="40">
        <f t="shared" si="335"/>
        <v>0</v>
      </c>
      <c r="AR718" s="40">
        <f t="shared" si="336"/>
        <v>0</v>
      </c>
      <c r="AS718" s="40">
        <f t="shared" si="337"/>
        <v>0</v>
      </c>
    </row>
    <row r="719" spans="2:45" ht="14.4" customHeight="1" x14ac:dyDescent="0.25">
      <c r="B719" s="56" t="s">
        <v>45</v>
      </c>
      <c r="C719" s="57" t="s">
        <v>26</v>
      </c>
      <c r="D719" s="58" t="s">
        <v>27</v>
      </c>
      <c r="E719" s="62">
        <v>9.7000000000000003E-3</v>
      </c>
      <c r="F719" s="65">
        <f t="shared" si="338"/>
        <v>-4.6356293934727999</v>
      </c>
      <c r="S719" s="40">
        <f t="shared" si="311"/>
        <v>0</v>
      </c>
      <c r="T719" s="40">
        <f t="shared" si="312"/>
        <v>0</v>
      </c>
      <c r="U719" s="40">
        <f t="shared" si="313"/>
        <v>0</v>
      </c>
      <c r="V719" s="40">
        <f t="shared" si="314"/>
        <v>1</v>
      </c>
      <c r="W719" s="40">
        <f t="shared" si="315"/>
        <v>0</v>
      </c>
      <c r="X719" s="40">
        <f t="shared" si="316"/>
        <v>0</v>
      </c>
      <c r="Y719" s="40">
        <f t="shared" si="317"/>
        <v>0</v>
      </c>
      <c r="Z719" s="40">
        <f t="shared" si="318"/>
        <v>0</v>
      </c>
      <c r="AA719" s="40">
        <f t="shared" si="319"/>
        <v>0</v>
      </c>
      <c r="AB719" s="40">
        <f t="shared" si="320"/>
        <v>0</v>
      </c>
      <c r="AC719" s="40">
        <f t="shared" si="321"/>
        <v>0</v>
      </c>
      <c r="AD719" s="40">
        <f t="shared" si="322"/>
        <v>0</v>
      </c>
      <c r="AE719" s="40">
        <f t="shared" si="323"/>
        <v>0</v>
      </c>
      <c r="AF719" s="40">
        <f t="shared" si="324"/>
        <v>1</v>
      </c>
      <c r="AG719" s="40">
        <f t="shared" si="325"/>
        <v>0</v>
      </c>
      <c r="AH719" s="40">
        <f t="shared" si="326"/>
        <v>0</v>
      </c>
      <c r="AI719" s="40">
        <f t="shared" si="327"/>
        <v>0</v>
      </c>
      <c r="AJ719" s="40">
        <f t="shared" si="328"/>
        <v>0</v>
      </c>
      <c r="AK719" s="40">
        <f t="shared" si="329"/>
        <v>0</v>
      </c>
      <c r="AL719" s="40">
        <f t="shared" si="330"/>
        <v>1</v>
      </c>
      <c r="AM719" s="40">
        <f t="shared" si="331"/>
        <v>0</v>
      </c>
      <c r="AN719" s="40">
        <f t="shared" si="332"/>
        <v>0</v>
      </c>
      <c r="AO719" s="40">
        <f t="shared" si="333"/>
        <v>0</v>
      </c>
      <c r="AP719" s="40">
        <f t="shared" si="334"/>
        <v>0</v>
      </c>
      <c r="AQ719" s="40">
        <f t="shared" si="335"/>
        <v>0</v>
      </c>
      <c r="AR719" s="40">
        <f t="shared" si="336"/>
        <v>0</v>
      </c>
      <c r="AS719" s="40">
        <f t="shared" si="337"/>
        <v>0</v>
      </c>
    </row>
    <row r="720" spans="2:45" ht="14.4" customHeight="1" x14ac:dyDescent="0.25">
      <c r="B720" s="56" t="s">
        <v>45</v>
      </c>
      <c r="C720" s="57" t="s">
        <v>26</v>
      </c>
      <c r="D720" s="58" t="s">
        <v>24</v>
      </c>
      <c r="E720" s="62">
        <v>8.709999999999999E-3</v>
      </c>
      <c r="F720" s="65">
        <f t="shared" si="338"/>
        <v>-4.7432834881177257</v>
      </c>
      <c r="S720" s="40">
        <f t="shared" si="311"/>
        <v>0</v>
      </c>
      <c r="T720" s="40">
        <f t="shared" si="312"/>
        <v>0</v>
      </c>
      <c r="U720" s="40">
        <f t="shared" si="313"/>
        <v>0</v>
      </c>
      <c r="V720" s="40">
        <f t="shared" si="314"/>
        <v>1</v>
      </c>
      <c r="W720" s="40">
        <f t="shared" si="315"/>
        <v>0</v>
      </c>
      <c r="X720" s="40">
        <f t="shared" si="316"/>
        <v>0</v>
      </c>
      <c r="Y720" s="40">
        <f t="shared" si="317"/>
        <v>0</v>
      </c>
      <c r="Z720" s="40">
        <f t="shared" si="318"/>
        <v>0</v>
      </c>
      <c r="AA720" s="40">
        <f t="shared" si="319"/>
        <v>0</v>
      </c>
      <c r="AB720" s="40">
        <f t="shared" si="320"/>
        <v>0</v>
      </c>
      <c r="AC720" s="40">
        <f t="shared" si="321"/>
        <v>0</v>
      </c>
      <c r="AD720" s="40">
        <f t="shared" si="322"/>
        <v>0</v>
      </c>
      <c r="AE720" s="40">
        <f t="shared" si="323"/>
        <v>0</v>
      </c>
      <c r="AF720" s="40">
        <f t="shared" si="324"/>
        <v>1</v>
      </c>
      <c r="AG720" s="40">
        <f t="shared" si="325"/>
        <v>0</v>
      </c>
      <c r="AH720" s="40">
        <f t="shared" si="326"/>
        <v>0</v>
      </c>
      <c r="AI720" s="40">
        <f t="shared" si="327"/>
        <v>0</v>
      </c>
      <c r="AJ720" s="40">
        <f t="shared" si="328"/>
        <v>0</v>
      </c>
      <c r="AK720" s="40">
        <f t="shared" si="329"/>
        <v>1</v>
      </c>
      <c r="AL720" s="40">
        <f t="shared" si="330"/>
        <v>0</v>
      </c>
      <c r="AM720" s="40">
        <f t="shared" si="331"/>
        <v>0</v>
      </c>
      <c r="AN720" s="40">
        <f t="shared" si="332"/>
        <v>0</v>
      </c>
      <c r="AO720" s="40">
        <f t="shared" si="333"/>
        <v>0</v>
      </c>
      <c r="AP720" s="40">
        <f t="shared" si="334"/>
        <v>0</v>
      </c>
      <c r="AQ720" s="40">
        <f t="shared" si="335"/>
        <v>0</v>
      </c>
      <c r="AR720" s="40">
        <f t="shared" si="336"/>
        <v>0</v>
      </c>
      <c r="AS720" s="40">
        <f t="shared" si="337"/>
        <v>0</v>
      </c>
    </row>
    <row r="721" spans="2:45" ht="14.4" customHeight="1" x14ac:dyDescent="0.25">
      <c r="B721" s="56" t="s">
        <v>45</v>
      </c>
      <c r="C721" s="57" t="s">
        <v>26</v>
      </c>
      <c r="D721" s="58" t="s">
        <v>32</v>
      </c>
      <c r="E721" s="62">
        <v>6.3699999999999981E-3</v>
      </c>
      <c r="F721" s="65">
        <f t="shared" si="338"/>
        <v>-5.0561558093980654</v>
      </c>
      <c r="S721" s="40">
        <f t="shared" si="311"/>
        <v>0</v>
      </c>
      <c r="T721" s="40">
        <f t="shared" si="312"/>
        <v>0</v>
      </c>
      <c r="U721" s="40">
        <f t="shared" si="313"/>
        <v>0</v>
      </c>
      <c r="V721" s="40">
        <f t="shared" si="314"/>
        <v>1</v>
      </c>
      <c r="W721" s="40">
        <f t="shared" si="315"/>
        <v>0</v>
      </c>
      <c r="X721" s="40">
        <f t="shared" si="316"/>
        <v>0</v>
      </c>
      <c r="Y721" s="40">
        <f t="shared" si="317"/>
        <v>0</v>
      </c>
      <c r="Z721" s="40">
        <f t="shared" si="318"/>
        <v>0</v>
      </c>
      <c r="AA721" s="40">
        <f t="shared" si="319"/>
        <v>0</v>
      </c>
      <c r="AB721" s="40">
        <f t="shared" si="320"/>
        <v>0</v>
      </c>
      <c r="AC721" s="40">
        <f t="shared" si="321"/>
        <v>0</v>
      </c>
      <c r="AD721" s="40">
        <f t="shared" si="322"/>
        <v>0</v>
      </c>
      <c r="AE721" s="40">
        <f t="shared" si="323"/>
        <v>0</v>
      </c>
      <c r="AF721" s="40">
        <f t="shared" si="324"/>
        <v>1</v>
      </c>
      <c r="AG721" s="40">
        <f t="shared" si="325"/>
        <v>0</v>
      </c>
      <c r="AH721" s="40">
        <f t="shared" si="326"/>
        <v>0</v>
      </c>
      <c r="AI721" s="40">
        <f t="shared" si="327"/>
        <v>0</v>
      </c>
      <c r="AJ721" s="40">
        <f t="shared" si="328"/>
        <v>0</v>
      </c>
      <c r="AK721" s="40">
        <f t="shared" si="329"/>
        <v>1</v>
      </c>
      <c r="AL721" s="40">
        <f t="shared" si="330"/>
        <v>0</v>
      </c>
      <c r="AM721" s="40">
        <f t="shared" si="331"/>
        <v>0</v>
      </c>
      <c r="AN721" s="40">
        <f t="shared" si="332"/>
        <v>0</v>
      </c>
      <c r="AO721" s="40">
        <f t="shared" si="333"/>
        <v>0</v>
      </c>
      <c r="AP721" s="40">
        <f t="shared" si="334"/>
        <v>0</v>
      </c>
      <c r="AQ721" s="40">
        <f t="shared" si="335"/>
        <v>0</v>
      </c>
      <c r="AR721" s="40">
        <f t="shared" si="336"/>
        <v>0</v>
      </c>
      <c r="AS721" s="40">
        <f t="shared" si="337"/>
        <v>0</v>
      </c>
    </row>
    <row r="722" spans="2:45" ht="14.4" customHeight="1" x14ac:dyDescent="0.25">
      <c r="B722" s="56" t="s">
        <v>45</v>
      </c>
      <c r="C722" s="57" t="s">
        <v>26</v>
      </c>
      <c r="D722" s="58" t="s">
        <v>32</v>
      </c>
      <c r="E722" s="62">
        <v>1.0719999999999999E-2</v>
      </c>
      <c r="F722" s="65">
        <f t="shared" si="338"/>
        <v>-4.5356441233394813</v>
      </c>
      <c r="S722" s="40">
        <f t="shared" si="311"/>
        <v>0</v>
      </c>
      <c r="T722" s="40">
        <f t="shared" si="312"/>
        <v>0</v>
      </c>
      <c r="U722" s="40">
        <f t="shared" si="313"/>
        <v>0</v>
      </c>
      <c r="V722" s="40">
        <f t="shared" si="314"/>
        <v>1</v>
      </c>
      <c r="W722" s="40">
        <f t="shared" si="315"/>
        <v>0</v>
      </c>
      <c r="X722" s="40">
        <f t="shared" si="316"/>
        <v>0</v>
      </c>
      <c r="Y722" s="40">
        <f t="shared" si="317"/>
        <v>0</v>
      </c>
      <c r="Z722" s="40">
        <f t="shared" si="318"/>
        <v>0</v>
      </c>
      <c r="AA722" s="40">
        <f t="shared" si="319"/>
        <v>0</v>
      </c>
      <c r="AB722" s="40">
        <f t="shared" si="320"/>
        <v>0</v>
      </c>
      <c r="AC722" s="40">
        <f t="shared" si="321"/>
        <v>0</v>
      </c>
      <c r="AD722" s="40">
        <f t="shared" si="322"/>
        <v>0</v>
      </c>
      <c r="AE722" s="40">
        <f t="shared" si="323"/>
        <v>0</v>
      </c>
      <c r="AF722" s="40">
        <f t="shared" si="324"/>
        <v>1</v>
      </c>
      <c r="AG722" s="40">
        <f t="shared" si="325"/>
        <v>0</v>
      </c>
      <c r="AH722" s="40">
        <f t="shared" si="326"/>
        <v>1</v>
      </c>
      <c r="AI722" s="40">
        <f t="shared" si="327"/>
        <v>0</v>
      </c>
      <c r="AJ722" s="40">
        <f t="shared" si="328"/>
        <v>0</v>
      </c>
      <c r="AK722" s="40">
        <f t="shared" si="329"/>
        <v>0</v>
      </c>
      <c r="AL722" s="40">
        <f t="shared" si="330"/>
        <v>0</v>
      </c>
      <c r="AM722" s="40">
        <f t="shared" si="331"/>
        <v>0</v>
      </c>
      <c r="AN722" s="40">
        <f t="shared" si="332"/>
        <v>0</v>
      </c>
      <c r="AO722" s="40">
        <f t="shared" si="333"/>
        <v>0</v>
      </c>
      <c r="AP722" s="40">
        <f t="shared" si="334"/>
        <v>0</v>
      </c>
      <c r="AQ722" s="40">
        <f t="shared" si="335"/>
        <v>0</v>
      </c>
      <c r="AR722" s="40">
        <f t="shared" si="336"/>
        <v>0</v>
      </c>
      <c r="AS722" s="40">
        <f t="shared" si="337"/>
        <v>0</v>
      </c>
    </row>
    <row r="723" spans="2:45" ht="14.4" customHeight="1" x14ac:dyDescent="0.25">
      <c r="B723" s="56" t="s">
        <v>45</v>
      </c>
      <c r="C723" s="57" t="s">
        <v>26</v>
      </c>
      <c r="D723" s="58" t="s">
        <v>27</v>
      </c>
      <c r="E723" s="62">
        <v>7.2100000000000003E-3</v>
      </c>
      <c r="F723" s="65">
        <f t="shared" si="338"/>
        <v>-4.9322863276852793</v>
      </c>
      <c r="S723" s="40">
        <f t="shared" si="311"/>
        <v>0</v>
      </c>
      <c r="T723" s="40">
        <f t="shared" si="312"/>
        <v>0</v>
      </c>
      <c r="U723" s="40">
        <f t="shared" si="313"/>
        <v>0</v>
      </c>
      <c r="V723" s="40">
        <f t="shared" si="314"/>
        <v>1</v>
      </c>
      <c r="W723" s="40">
        <f t="shared" si="315"/>
        <v>0</v>
      </c>
      <c r="X723" s="40">
        <f t="shared" si="316"/>
        <v>0</v>
      </c>
      <c r="Y723" s="40">
        <f t="shared" si="317"/>
        <v>0</v>
      </c>
      <c r="Z723" s="40">
        <f t="shared" si="318"/>
        <v>0</v>
      </c>
      <c r="AA723" s="40">
        <f t="shared" si="319"/>
        <v>0</v>
      </c>
      <c r="AB723" s="40">
        <f t="shared" si="320"/>
        <v>0</v>
      </c>
      <c r="AC723" s="40">
        <f t="shared" si="321"/>
        <v>0</v>
      </c>
      <c r="AD723" s="40">
        <f t="shared" si="322"/>
        <v>0</v>
      </c>
      <c r="AE723" s="40">
        <f t="shared" si="323"/>
        <v>0</v>
      </c>
      <c r="AF723" s="40">
        <f t="shared" si="324"/>
        <v>1</v>
      </c>
      <c r="AG723" s="40">
        <f t="shared" si="325"/>
        <v>0</v>
      </c>
      <c r="AH723" s="40">
        <f t="shared" si="326"/>
        <v>0</v>
      </c>
      <c r="AI723" s="40">
        <f t="shared" si="327"/>
        <v>0</v>
      </c>
      <c r="AJ723" s="40">
        <f t="shared" si="328"/>
        <v>0</v>
      </c>
      <c r="AK723" s="40">
        <f t="shared" si="329"/>
        <v>0</v>
      </c>
      <c r="AL723" s="40">
        <f t="shared" si="330"/>
        <v>0</v>
      </c>
      <c r="AM723" s="40">
        <f t="shared" si="331"/>
        <v>0</v>
      </c>
      <c r="AN723" s="40">
        <f t="shared" si="332"/>
        <v>0</v>
      </c>
      <c r="AO723" s="40">
        <f t="shared" si="333"/>
        <v>1</v>
      </c>
      <c r="AP723" s="40">
        <f t="shared" si="334"/>
        <v>0</v>
      </c>
      <c r="AQ723" s="40">
        <f t="shared" si="335"/>
        <v>0</v>
      </c>
      <c r="AR723" s="40">
        <f t="shared" si="336"/>
        <v>0</v>
      </c>
      <c r="AS723" s="40">
        <f t="shared" si="337"/>
        <v>0</v>
      </c>
    </row>
    <row r="724" spans="2:45" ht="14.4" customHeight="1" x14ac:dyDescent="0.25">
      <c r="B724" s="56" t="s">
        <v>45</v>
      </c>
      <c r="C724" s="57" t="s">
        <v>26</v>
      </c>
      <c r="D724" s="58" t="s">
        <v>31</v>
      </c>
      <c r="E724" s="62">
        <v>4.7400000000000012E-3</v>
      </c>
      <c r="F724" s="65">
        <f t="shared" si="338"/>
        <v>-5.3517181432751517</v>
      </c>
      <c r="S724" s="40">
        <f t="shared" si="311"/>
        <v>0</v>
      </c>
      <c r="T724" s="40">
        <f t="shared" si="312"/>
        <v>0</v>
      </c>
      <c r="U724" s="40">
        <f t="shared" si="313"/>
        <v>0</v>
      </c>
      <c r="V724" s="40">
        <f t="shared" si="314"/>
        <v>1</v>
      </c>
      <c r="W724" s="40">
        <f t="shared" si="315"/>
        <v>0</v>
      </c>
      <c r="X724" s="40">
        <f t="shared" si="316"/>
        <v>0</v>
      </c>
      <c r="Y724" s="40">
        <f t="shared" si="317"/>
        <v>0</v>
      </c>
      <c r="Z724" s="40">
        <f t="shared" si="318"/>
        <v>0</v>
      </c>
      <c r="AA724" s="40">
        <f t="shared" si="319"/>
        <v>0</v>
      </c>
      <c r="AB724" s="40">
        <f t="shared" si="320"/>
        <v>0</v>
      </c>
      <c r="AC724" s="40">
        <f t="shared" si="321"/>
        <v>0</v>
      </c>
      <c r="AD724" s="40">
        <f t="shared" si="322"/>
        <v>0</v>
      </c>
      <c r="AE724" s="40">
        <f t="shared" si="323"/>
        <v>0</v>
      </c>
      <c r="AF724" s="40">
        <f t="shared" si="324"/>
        <v>1</v>
      </c>
      <c r="AG724" s="40">
        <f t="shared" si="325"/>
        <v>0</v>
      </c>
      <c r="AH724" s="40">
        <f t="shared" si="326"/>
        <v>0</v>
      </c>
      <c r="AI724" s="40">
        <f t="shared" si="327"/>
        <v>0</v>
      </c>
      <c r="AJ724" s="40">
        <f t="shared" si="328"/>
        <v>0</v>
      </c>
      <c r="AK724" s="40">
        <f t="shared" si="329"/>
        <v>1</v>
      </c>
      <c r="AL724" s="40">
        <f t="shared" si="330"/>
        <v>0</v>
      </c>
      <c r="AM724" s="40">
        <f t="shared" si="331"/>
        <v>0</v>
      </c>
      <c r="AN724" s="40">
        <f t="shared" si="332"/>
        <v>0</v>
      </c>
      <c r="AO724" s="40">
        <f t="shared" si="333"/>
        <v>0</v>
      </c>
      <c r="AP724" s="40">
        <f t="shared" si="334"/>
        <v>0</v>
      </c>
      <c r="AQ724" s="40">
        <f t="shared" si="335"/>
        <v>0</v>
      </c>
      <c r="AR724" s="40">
        <f t="shared" si="336"/>
        <v>0</v>
      </c>
      <c r="AS724" s="40">
        <f t="shared" si="337"/>
        <v>0</v>
      </c>
    </row>
    <row r="725" spans="2:45" ht="14.4" customHeight="1" x14ac:dyDescent="0.25">
      <c r="B725" s="56" t="s">
        <v>45</v>
      </c>
      <c r="C725" s="57" t="s">
        <v>26</v>
      </c>
      <c r="D725" s="58" t="s">
        <v>32</v>
      </c>
      <c r="E725" s="62">
        <v>8.3000000000000036E-3</v>
      </c>
      <c r="F725" s="65">
        <f t="shared" si="338"/>
        <v>-4.7914997641795845</v>
      </c>
      <c r="S725" s="40">
        <f t="shared" si="311"/>
        <v>0</v>
      </c>
      <c r="T725" s="40">
        <f t="shared" si="312"/>
        <v>0</v>
      </c>
      <c r="U725" s="40">
        <f t="shared" si="313"/>
        <v>0</v>
      </c>
      <c r="V725" s="40">
        <f t="shared" si="314"/>
        <v>1</v>
      </c>
      <c r="W725" s="40">
        <f t="shared" si="315"/>
        <v>0</v>
      </c>
      <c r="X725" s="40">
        <f t="shared" si="316"/>
        <v>0</v>
      </c>
      <c r="Y725" s="40">
        <f t="shared" si="317"/>
        <v>0</v>
      </c>
      <c r="Z725" s="40">
        <f t="shared" si="318"/>
        <v>0</v>
      </c>
      <c r="AA725" s="40">
        <f t="shared" si="319"/>
        <v>0</v>
      </c>
      <c r="AB725" s="40">
        <f t="shared" si="320"/>
        <v>0</v>
      </c>
      <c r="AC725" s="40">
        <f t="shared" si="321"/>
        <v>0</v>
      </c>
      <c r="AD725" s="40">
        <f t="shared" si="322"/>
        <v>0</v>
      </c>
      <c r="AE725" s="40">
        <f t="shared" si="323"/>
        <v>0</v>
      </c>
      <c r="AF725" s="40">
        <f t="shared" si="324"/>
        <v>1</v>
      </c>
      <c r="AG725" s="40">
        <f t="shared" si="325"/>
        <v>0</v>
      </c>
      <c r="AH725" s="40">
        <f t="shared" si="326"/>
        <v>0</v>
      </c>
      <c r="AI725" s="40">
        <f t="shared" si="327"/>
        <v>0</v>
      </c>
      <c r="AJ725" s="40">
        <f t="shared" si="328"/>
        <v>0</v>
      </c>
      <c r="AK725" s="40">
        <f t="shared" si="329"/>
        <v>1</v>
      </c>
      <c r="AL725" s="40">
        <f t="shared" si="330"/>
        <v>0</v>
      </c>
      <c r="AM725" s="40">
        <f t="shared" si="331"/>
        <v>0</v>
      </c>
      <c r="AN725" s="40">
        <f t="shared" si="332"/>
        <v>0</v>
      </c>
      <c r="AO725" s="40">
        <f t="shared" si="333"/>
        <v>0</v>
      </c>
      <c r="AP725" s="40">
        <f t="shared" si="334"/>
        <v>0</v>
      </c>
      <c r="AQ725" s="40">
        <f t="shared" si="335"/>
        <v>0</v>
      </c>
      <c r="AR725" s="40">
        <f t="shared" si="336"/>
        <v>0</v>
      </c>
      <c r="AS725" s="40">
        <f t="shared" si="337"/>
        <v>0</v>
      </c>
    </row>
    <row r="726" spans="2:45" ht="14.4" customHeight="1" x14ac:dyDescent="0.25">
      <c r="B726" s="56" t="s">
        <v>45</v>
      </c>
      <c r="C726" s="57" t="s">
        <v>26</v>
      </c>
      <c r="D726" s="58" t="s">
        <v>32</v>
      </c>
      <c r="E726" s="62">
        <v>1.2859999999999995E-2</v>
      </c>
      <c r="F726" s="65">
        <f t="shared" si="338"/>
        <v>-4.3536335601726641</v>
      </c>
      <c r="S726" s="40">
        <f t="shared" si="311"/>
        <v>0</v>
      </c>
      <c r="T726" s="40">
        <f t="shared" si="312"/>
        <v>0</v>
      </c>
      <c r="U726" s="40">
        <f t="shared" si="313"/>
        <v>0</v>
      </c>
      <c r="V726" s="40">
        <f t="shared" si="314"/>
        <v>1</v>
      </c>
      <c r="W726" s="40">
        <f t="shared" si="315"/>
        <v>0</v>
      </c>
      <c r="X726" s="40">
        <f t="shared" si="316"/>
        <v>0</v>
      </c>
      <c r="Y726" s="40">
        <f t="shared" si="317"/>
        <v>0</v>
      </c>
      <c r="Z726" s="40">
        <f t="shared" si="318"/>
        <v>0</v>
      </c>
      <c r="AA726" s="40">
        <f t="shared" si="319"/>
        <v>0</v>
      </c>
      <c r="AB726" s="40">
        <f t="shared" si="320"/>
        <v>1</v>
      </c>
      <c r="AC726" s="40">
        <f t="shared" si="321"/>
        <v>0</v>
      </c>
      <c r="AD726" s="40">
        <f t="shared" si="322"/>
        <v>0</v>
      </c>
      <c r="AE726" s="40">
        <f t="shared" si="323"/>
        <v>0</v>
      </c>
      <c r="AF726" s="40">
        <f t="shared" si="324"/>
        <v>0</v>
      </c>
      <c r="AG726" s="40">
        <f t="shared" si="325"/>
        <v>0</v>
      </c>
      <c r="AH726" s="40">
        <f t="shared" si="326"/>
        <v>0</v>
      </c>
      <c r="AI726" s="40">
        <f t="shared" si="327"/>
        <v>0</v>
      </c>
      <c r="AJ726" s="40">
        <f t="shared" si="328"/>
        <v>0</v>
      </c>
      <c r="AK726" s="40">
        <f t="shared" si="329"/>
        <v>0</v>
      </c>
      <c r="AL726" s="40">
        <f t="shared" si="330"/>
        <v>0</v>
      </c>
      <c r="AM726" s="40">
        <f t="shared" si="331"/>
        <v>0</v>
      </c>
      <c r="AN726" s="40">
        <f t="shared" si="332"/>
        <v>0</v>
      </c>
      <c r="AO726" s="40">
        <f t="shared" si="333"/>
        <v>0</v>
      </c>
      <c r="AP726" s="40">
        <f t="shared" si="334"/>
        <v>0</v>
      </c>
      <c r="AQ726" s="40">
        <f t="shared" si="335"/>
        <v>0</v>
      </c>
      <c r="AR726" s="40">
        <f t="shared" si="336"/>
        <v>0</v>
      </c>
      <c r="AS726" s="40">
        <f t="shared" si="337"/>
        <v>1</v>
      </c>
    </row>
    <row r="727" spans="2:45" ht="14.4" customHeight="1" x14ac:dyDescent="0.25">
      <c r="B727" s="56" t="s">
        <v>45</v>
      </c>
      <c r="C727" s="57" t="s">
        <v>25</v>
      </c>
      <c r="D727" s="58" t="s">
        <v>22</v>
      </c>
      <c r="E727" s="62">
        <v>6.0800000000000003E-3</v>
      </c>
      <c r="F727" s="65">
        <f t="shared" si="338"/>
        <v>-5.1027505830040614</v>
      </c>
      <c r="S727" s="40">
        <f t="shared" si="311"/>
        <v>0</v>
      </c>
      <c r="T727" s="40">
        <f t="shared" si="312"/>
        <v>0</v>
      </c>
      <c r="U727" s="40">
        <f t="shared" si="313"/>
        <v>0</v>
      </c>
      <c r="V727" s="40">
        <f t="shared" si="314"/>
        <v>1</v>
      </c>
      <c r="W727" s="40">
        <f t="shared" si="315"/>
        <v>0</v>
      </c>
      <c r="X727" s="40">
        <f t="shared" si="316"/>
        <v>0</v>
      </c>
      <c r="Y727" s="40">
        <f t="shared" si="317"/>
        <v>0</v>
      </c>
      <c r="Z727" s="40">
        <f t="shared" si="318"/>
        <v>0</v>
      </c>
      <c r="AA727" s="40">
        <f t="shared" si="319"/>
        <v>0</v>
      </c>
      <c r="AB727" s="40">
        <f t="shared" si="320"/>
        <v>1</v>
      </c>
      <c r="AC727" s="40">
        <f t="shared" si="321"/>
        <v>0</v>
      </c>
      <c r="AD727" s="40">
        <f t="shared" si="322"/>
        <v>0</v>
      </c>
      <c r="AE727" s="40">
        <f t="shared" si="323"/>
        <v>0</v>
      </c>
      <c r="AF727" s="40">
        <f t="shared" si="324"/>
        <v>0</v>
      </c>
      <c r="AG727" s="40">
        <f t="shared" si="325"/>
        <v>0</v>
      </c>
      <c r="AH727" s="40">
        <f t="shared" si="326"/>
        <v>0</v>
      </c>
      <c r="AI727" s="40">
        <f t="shared" si="327"/>
        <v>0</v>
      </c>
      <c r="AJ727" s="40">
        <f t="shared" si="328"/>
        <v>0</v>
      </c>
      <c r="AK727" s="40">
        <f t="shared" si="329"/>
        <v>0</v>
      </c>
      <c r="AL727" s="40">
        <f t="shared" si="330"/>
        <v>0</v>
      </c>
      <c r="AM727" s="40">
        <f t="shared" si="331"/>
        <v>0</v>
      </c>
      <c r="AN727" s="40">
        <f t="shared" si="332"/>
        <v>0</v>
      </c>
      <c r="AO727" s="40">
        <f t="shared" si="333"/>
        <v>0</v>
      </c>
      <c r="AP727" s="40">
        <f t="shared" si="334"/>
        <v>0</v>
      </c>
      <c r="AQ727" s="40">
        <f t="shared" si="335"/>
        <v>0</v>
      </c>
      <c r="AR727" s="40">
        <f t="shared" si="336"/>
        <v>0</v>
      </c>
      <c r="AS727" s="40">
        <f t="shared" si="337"/>
        <v>1</v>
      </c>
    </row>
    <row r="728" spans="2:45" ht="14.4" customHeight="1" x14ac:dyDescent="0.25">
      <c r="B728" s="56" t="s">
        <v>45</v>
      </c>
      <c r="C728" s="57" t="s">
        <v>25</v>
      </c>
      <c r="D728" s="58" t="s">
        <v>22</v>
      </c>
      <c r="E728" s="62">
        <v>6.8500000000000002E-3</v>
      </c>
      <c r="F728" s="65">
        <f t="shared" si="338"/>
        <v>-4.983506626708003</v>
      </c>
      <c r="S728" s="40">
        <f t="shared" si="311"/>
        <v>0</v>
      </c>
      <c r="T728" s="40">
        <f t="shared" si="312"/>
        <v>0</v>
      </c>
      <c r="U728" s="40">
        <f t="shared" si="313"/>
        <v>0</v>
      </c>
      <c r="V728" s="40">
        <f t="shared" si="314"/>
        <v>1</v>
      </c>
      <c r="W728" s="40">
        <f t="shared" si="315"/>
        <v>0</v>
      </c>
      <c r="X728" s="40">
        <f t="shared" si="316"/>
        <v>0</v>
      </c>
      <c r="Y728" s="40">
        <f t="shared" si="317"/>
        <v>0</v>
      </c>
      <c r="Z728" s="40">
        <f t="shared" si="318"/>
        <v>0</v>
      </c>
      <c r="AA728" s="40">
        <f t="shared" si="319"/>
        <v>0</v>
      </c>
      <c r="AB728" s="40">
        <f t="shared" si="320"/>
        <v>0</v>
      </c>
      <c r="AC728" s="40">
        <f t="shared" si="321"/>
        <v>0</v>
      </c>
      <c r="AD728" s="40">
        <f t="shared" si="322"/>
        <v>0</v>
      </c>
      <c r="AE728" s="40">
        <f t="shared" si="323"/>
        <v>0</v>
      </c>
      <c r="AF728" s="40">
        <f t="shared" si="324"/>
        <v>1</v>
      </c>
      <c r="AG728" s="40">
        <f t="shared" si="325"/>
        <v>0</v>
      </c>
      <c r="AH728" s="40">
        <f t="shared" si="326"/>
        <v>0</v>
      </c>
      <c r="AI728" s="40">
        <f t="shared" si="327"/>
        <v>0</v>
      </c>
      <c r="AJ728" s="40">
        <f t="shared" si="328"/>
        <v>0</v>
      </c>
      <c r="AK728" s="40">
        <f t="shared" si="329"/>
        <v>1</v>
      </c>
      <c r="AL728" s="40">
        <f t="shared" si="330"/>
        <v>0</v>
      </c>
      <c r="AM728" s="40">
        <f t="shared" si="331"/>
        <v>0</v>
      </c>
      <c r="AN728" s="40">
        <f t="shared" si="332"/>
        <v>0</v>
      </c>
      <c r="AO728" s="40">
        <f t="shared" si="333"/>
        <v>0</v>
      </c>
      <c r="AP728" s="40">
        <f t="shared" si="334"/>
        <v>0</v>
      </c>
      <c r="AQ728" s="40">
        <f t="shared" si="335"/>
        <v>0</v>
      </c>
      <c r="AR728" s="40">
        <f t="shared" si="336"/>
        <v>0</v>
      </c>
      <c r="AS728" s="40">
        <f t="shared" si="337"/>
        <v>0</v>
      </c>
    </row>
    <row r="729" spans="2:45" ht="14.4" customHeight="1" x14ac:dyDescent="0.25">
      <c r="B729" s="56" t="s">
        <v>45</v>
      </c>
      <c r="C729" s="57" t="s">
        <v>26</v>
      </c>
      <c r="D729" s="58" t="s">
        <v>32</v>
      </c>
      <c r="E729" s="62">
        <v>9.3299999999999998E-3</v>
      </c>
      <c r="F729" s="65">
        <f t="shared" si="338"/>
        <v>-4.6745202641228847</v>
      </c>
      <c r="S729" s="40">
        <f t="shared" si="311"/>
        <v>0</v>
      </c>
      <c r="T729" s="40">
        <f t="shared" si="312"/>
        <v>0</v>
      </c>
      <c r="U729" s="40">
        <f t="shared" si="313"/>
        <v>0</v>
      </c>
      <c r="V729" s="40">
        <f t="shared" si="314"/>
        <v>1</v>
      </c>
      <c r="W729" s="40">
        <f t="shared" si="315"/>
        <v>0</v>
      </c>
      <c r="X729" s="40">
        <f t="shared" si="316"/>
        <v>0</v>
      </c>
      <c r="Y729" s="40">
        <f t="shared" si="317"/>
        <v>0</v>
      </c>
      <c r="Z729" s="40">
        <f t="shared" si="318"/>
        <v>0</v>
      </c>
      <c r="AA729" s="40">
        <f t="shared" si="319"/>
        <v>0</v>
      </c>
      <c r="AB729" s="40">
        <f t="shared" si="320"/>
        <v>0</v>
      </c>
      <c r="AC729" s="40">
        <f t="shared" si="321"/>
        <v>0</v>
      </c>
      <c r="AD729" s="40">
        <f t="shared" si="322"/>
        <v>0</v>
      </c>
      <c r="AE729" s="40">
        <f t="shared" si="323"/>
        <v>0</v>
      </c>
      <c r="AF729" s="40">
        <f t="shared" si="324"/>
        <v>1</v>
      </c>
      <c r="AG729" s="40">
        <f t="shared" si="325"/>
        <v>0</v>
      </c>
      <c r="AH729" s="40">
        <f t="shared" si="326"/>
        <v>0</v>
      </c>
      <c r="AI729" s="40">
        <f t="shared" si="327"/>
        <v>0</v>
      </c>
      <c r="AJ729" s="40">
        <f t="shared" si="328"/>
        <v>0</v>
      </c>
      <c r="AK729" s="40">
        <f t="shared" si="329"/>
        <v>0</v>
      </c>
      <c r="AL729" s="40">
        <f t="shared" si="330"/>
        <v>0</v>
      </c>
      <c r="AM729" s="40">
        <f t="shared" si="331"/>
        <v>0</v>
      </c>
      <c r="AN729" s="40">
        <f t="shared" si="332"/>
        <v>0</v>
      </c>
      <c r="AO729" s="40">
        <f t="shared" si="333"/>
        <v>0</v>
      </c>
      <c r="AP729" s="40">
        <f t="shared" si="334"/>
        <v>0</v>
      </c>
      <c r="AQ729" s="40">
        <f t="shared" si="335"/>
        <v>0</v>
      </c>
      <c r="AR729" s="40">
        <f t="shared" si="336"/>
        <v>0</v>
      </c>
      <c r="AS729" s="40">
        <f t="shared" si="337"/>
        <v>1</v>
      </c>
    </row>
    <row r="730" spans="2:45" ht="14.4" customHeight="1" x14ac:dyDescent="0.25">
      <c r="B730" s="56" t="s">
        <v>45</v>
      </c>
      <c r="C730" s="57" t="s">
        <v>26</v>
      </c>
      <c r="D730" s="58" t="s">
        <v>22</v>
      </c>
      <c r="E730" s="62">
        <v>6.3100000000000014E-3</v>
      </c>
      <c r="F730" s="65">
        <f t="shared" si="338"/>
        <v>-5.065619602429015</v>
      </c>
      <c r="S730" s="40">
        <f t="shared" si="311"/>
        <v>0</v>
      </c>
      <c r="T730" s="40">
        <f t="shared" si="312"/>
        <v>0</v>
      </c>
      <c r="U730" s="40">
        <f t="shared" si="313"/>
        <v>0</v>
      </c>
      <c r="V730" s="40">
        <f t="shared" si="314"/>
        <v>1</v>
      </c>
      <c r="W730" s="40">
        <f t="shared" si="315"/>
        <v>0</v>
      </c>
      <c r="X730" s="40">
        <f t="shared" si="316"/>
        <v>0</v>
      </c>
      <c r="Y730" s="40">
        <f t="shared" si="317"/>
        <v>0</v>
      </c>
      <c r="Z730" s="40">
        <f t="shared" si="318"/>
        <v>0</v>
      </c>
      <c r="AA730" s="40">
        <f t="shared" si="319"/>
        <v>0</v>
      </c>
      <c r="AB730" s="40">
        <f t="shared" si="320"/>
        <v>0</v>
      </c>
      <c r="AC730" s="40">
        <f t="shared" si="321"/>
        <v>0</v>
      </c>
      <c r="AD730" s="40">
        <f t="shared" si="322"/>
        <v>0</v>
      </c>
      <c r="AE730" s="40">
        <f t="shared" si="323"/>
        <v>0</v>
      </c>
      <c r="AF730" s="40">
        <f t="shared" si="324"/>
        <v>1</v>
      </c>
      <c r="AG730" s="40">
        <f t="shared" si="325"/>
        <v>0</v>
      </c>
      <c r="AH730" s="40">
        <f t="shared" si="326"/>
        <v>0</v>
      </c>
      <c r="AI730" s="40">
        <f t="shared" si="327"/>
        <v>0</v>
      </c>
      <c r="AJ730" s="40">
        <f t="shared" si="328"/>
        <v>0</v>
      </c>
      <c r="AK730" s="40">
        <f t="shared" si="329"/>
        <v>1</v>
      </c>
      <c r="AL730" s="40">
        <f t="shared" si="330"/>
        <v>0</v>
      </c>
      <c r="AM730" s="40">
        <f t="shared" si="331"/>
        <v>0</v>
      </c>
      <c r="AN730" s="40">
        <f t="shared" si="332"/>
        <v>0</v>
      </c>
      <c r="AO730" s="40">
        <f t="shared" si="333"/>
        <v>0</v>
      </c>
      <c r="AP730" s="40">
        <f t="shared" si="334"/>
        <v>0</v>
      </c>
      <c r="AQ730" s="40">
        <f t="shared" si="335"/>
        <v>0</v>
      </c>
      <c r="AR730" s="40">
        <f t="shared" si="336"/>
        <v>0</v>
      </c>
      <c r="AS730" s="40">
        <f t="shared" si="337"/>
        <v>0</v>
      </c>
    </row>
    <row r="731" spans="2:45" ht="14.4" customHeight="1" x14ac:dyDescent="0.25">
      <c r="B731" s="56" t="s">
        <v>45</v>
      </c>
      <c r="C731" s="57" t="s">
        <v>26</v>
      </c>
      <c r="D731" s="58" t="s">
        <v>32</v>
      </c>
      <c r="E731" s="62">
        <v>6.2799999999999974E-3</v>
      </c>
      <c r="F731" s="65">
        <f t="shared" si="338"/>
        <v>-5.0703852985020301</v>
      </c>
      <c r="S731" s="40">
        <f t="shared" si="311"/>
        <v>0</v>
      </c>
      <c r="T731" s="40">
        <f t="shared" si="312"/>
        <v>0</v>
      </c>
      <c r="U731" s="40">
        <f t="shared" si="313"/>
        <v>0</v>
      </c>
      <c r="V731" s="40">
        <f t="shared" si="314"/>
        <v>1</v>
      </c>
      <c r="W731" s="40">
        <f t="shared" si="315"/>
        <v>0</v>
      </c>
      <c r="X731" s="40">
        <f t="shared" si="316"/>
        <v>0</v>
      </c>
      <c r="Y731" s="40">
        <f t="shared" si="317"/>
        <v>0</v>
      </c>
      <c r="Z731" s="40">
        <f t="shared" si="318"/>
        <v>0</v>
      </c>
      <c r="AA731" s="40">
        <f t="shared" si="319"/>
        <v>0</v>
      </c>
      <c r="AB731" s="40">
        <f t="shared" si="320"/>
        <v>0</v>
      </c>
      <c r="AC731" s="40">
        <f t="shared" si="321"/>
        <v>0</v>
      </c>
      <c r="AD731" s="40">
        <f t="shared" si="322"/>
        <v>0</v>
      </c>
      <c r="AE731" s="40">
        <f t="shared" si="323"/>
        <v>0</v>
      </c>
      <c r="AF731" s="40">
        <f t="shared" si="324"/>
        <v>1</v>
      </c>
      <c r="AG731" s="40">
        <f t="shared" si="325"/>
        <v>0</v>
      </c>
      <c r="AH731" s="40">
        <f t="shared" si="326"/>
        <v>0</v>
      </c>
      <c r="AI731" s="40">
        <f t="shared" si="327"/>
        <v>0</v>
      </c>
      <c r="AJ731" s="40">
        <f t="shared" si="328"/>
        <v>0</v>
      </c>
      <c r="AK731" s="40">
        <f t="shared" si="329"/>
        <v>1</v>
      </c>
      <c r="AL731" s="40">
        <f t="shared" si="330"/>
        <v>0</v>
      </c>
      <c r="AM731" s="40">
        <f t="shared" si="331"/>
        <v>0</v>
      </c>
      <c r="AN731" s="40">
        <f t="shared" si="332"/>
        <v>0</v>
      </c>
      <c r="AO731" s="40">
        <f t="shared" si="333"/>
        <v>0</v>
      </c>
      <c r="AP731" s="40">
        <f t="shared" si="334"/>
        <v>0</v>
      </c>
      <c r="AQ731" s="40">
        <f t="shared" si="335"/>
        <v>0</v>
      </c>
      <c r="AR731" s="40">
        <f t="shared" si="336"/>
        <v>0</v>
      </c>
      <c r="AS731" s="40">
        <f t="shared" si="337"/>
        <v>0</v>
      </c>
    </row>
    <row r="732" spans="2:45" ht="14.4" customHeight="1" x14ac:dyDescent="0.25">
      <c r="B732" s="56" t="s">
        <v>45</v>
      </c>
      <c r="C732" s="57" t="s">
        <v>26</v>
      </c>
      <c r="D732" s="58" t="s">
        <v>32</v>
      </c>
      <c r="E732" s="62">
        <v>6.2099999999999994E-3</v>
      </c>
      <c r="F732" s="65">
        <f t="shared" si="338"/>
        <v>-5.0815943830367498</v>
      </c>
      <c r="S732" s="40">
        <f t="shared" si="311"/>
        <v>0</v>
      </c>
      <c r="T732" s="40">
        <f t="shared" si="312"/>
        <v>0</v>
      </c>
      <c r="U732" s="40">
        <f t="shared" si="313"/>
        <v>0</v>
      </c>
      <c r="V732" s="40">
        <f t="shared" si="314"/>
        <v>1</v>
      </c>
      <c r="W732" s="40">
        <f t="shared" si="315"/>
        <v>0</v>
      </c>
      <c r="X732" s="40">
        <f t="shared" si="316"/>
        <v>0</v>
      </c>
      <c r="Y732" s="40">
        <f t="shared" si="317"/>
        <v>0</v>
      </c>
      <c r="Z732" s="40">
        <f t="shared" si="318"/>
        <v>0</v>
      </c>
      <c r="AA732" s="40">
        <f t="shared" si="319"/>
        <v>0</v>
      </c>
      <c r="AB732" s="40">
        <f t="shared" si="320"/>
        <v>0</v>
      </c>
      <c r="AC732" s="40">
        <f t="shared" si="321"/>
        <v>0</v>
      </c>
      <c r="AD732" s="40">
        <f t="shared" si="322"/>
        <v>0</v>
      </c>
      <c r="AE732" s="40">
        <f t="shared" si="323"/>
        <v>0</v>
      </c>
      <c r="AF732" s="40">
        <f t="shared" si="324"/>
        <v>1</v>
      </c>
      <c r="AG732" s="40">
        <f t="shared" si="325"/>
        <v>0</v>
      </c>
      <c r="AH732" s="40">
        <f t="shared" si="326"/>
        <v>0</v>
      </c>
      <c r="AI732" s="40">
        <f t="shared" si="327"/>
        <v>0</v>
      </c>
      <c r="AJ732" s="40">
        <f t="shared" si="328"/>
        <v>1</v>
      </c>
      <c r="AK732" s="40">
        <f t="shared" si="329"/>
        <v>0</v>
      </c>
      <c r="AL732" s="40">
        <f t="shared" si="330"/>
        <v>0</v>
      </c>
      <c r="AM732" s="40">
        <f t="shared" si="331"/>
        <v>0</v>
      </c>
      <c r="AN732" s="40">
        <f t="shared" si="332"/>
        <v>0</v>
      </c>
      <c r="AO732" s="40">
        <f t="shared" si="333"/>
        <v>0</v>
      </c>
      <c r="AP732" s="40">
        <f t="shared" si="334"/>
        <v>0</v>
      </c>
      <c r="AQ732" s="40">
        <f t="shared" si="335"/>
        <v>0</v>
      </c>
      <c r="AR732" s="40">
        <f t="shared" si="336"/>
        <v>0</v>
      </c>
      <c r="AS732" s="40">
        <f t="shared" si="337"/>
        <v>0</v>
      </c>
    </row>
    <row r="733" spans="2:45" ht="14.4" customHeight="1" x14ac:dyDescent="0.25">
      <c r="B733" s="56" t="s">
        <v>45</v>
      </c>
      <c r="C733" s="57" t="s">
        <v>26</v>
      </c>
      <c r="D733" s="58" t="s">
        <v>37</v>
      </c>
      <c r="E733" s="62">
        <v>7.0899999999999982E-3</v>
      </c>
      <c r="F733" s="65">
        <f t="shared" si="338"/>
        <v>-4.9490699384381012</v>
      </c>
      <c r="S733" s="40">
        <f t="shared" si="311"/>
        <v>0</v>
      </c>
      <c r="T733" s="40">
        <f t="shared" si="312"/>
        <v>0</v>
      </c>
      <c r="U733" s="40">
        <f t="shared" si="313"/>
        <v>0</v>
      </c>
      <c r="V733" s="40">
        <f t="shared" si="314"/>
        <v>1</v>
      </c>
      <c r="W733" s="40">
        <f t="shared" si="315"/>
        <v>0</v>
      </c>
      <c r="X733" s="40">
        <f t="shared" si="316"/>
        <v>0</v>
      </c>
      <c r="Y733" s="40">
        <f t="shared" si="317"/>
        <v>0</v>
      </c>
      <c r="Z733" s="40">
        <f t="shared" si="318"/>
        <v>0</v>
      </c>
      <c r="AA733" s="40">
        <f t="shared" si="319"/>
        <v>0</v>
      </c>
      <c r="AB733" s="40">
        <f t="shared" si="320"/>
        <v>0</v>
      </c>
      <c r="AC733" s="40">
        <f t="shared" si="321"/>
        <v>0</v>
      </c>
      <c r="AD733" s="40">
        <f t="shared" si="322"/>
        <v>0</v>
      </c>
      <c r="AE733" s="40">
        <f t="shared" si="323"/>
        <v>0</v>
      </c>
      <c r="AF733" s="40">
        <f t="shared" si="324"/>
        <v>1</v>
      </c>
      <c r="AG733" s="40">
        <f t="shared" si="325"/>
        <v>0</v>
      </c>
      <c r="AH733" s="40">
        <f t="shared" si="326"/>
        <v>0</v>
      </c>
      <c r="AI733" s="40">
        <f t="shared" si="327"/>
        <v>0</v>
      </c>
      <c r="AJ733" s="40">
        <f t="shared" si="328"/>
        <v>0</v>
      </c>
      <c r="AK733" s="40">
        <f t="shared" si="329"/>
        <v>0</v>
      </c>
      <c r="AL733" s="40">
        <f t="shared" si="330"/>
        <v>1</v>
      </c>
      <c r="AM733" s="40">
        <f t="shared" si="331"/>
        <v>0</v>
      </c>
      <c r="AN733" s="40">
        <f t="shared" si="332"/>
        <v>0</v>
      </c>
      <c r="AO733" s="40">
        <f t="shared" si="333"/>
        <v>0</v>
      </c>
      <c r="AP733" s="40">
        <f t="shared" si="334"/>
        <v>0</v>
      </c>
      <c r="AQ733" s="40">
        <f t="shared" si="335"/>
        <v>0</v>
      </c>
      <c r="AR733" s="40">
        <f t="shared" si="336"/>
        <v>0</v>
      </c>
      <c r="AS733" s="40">
        <f t="shared" si="337"/>
        <v>0</v>
      </c>
    </row>
    <row r="734" spans="2:45" ht="14.4" customHeight="1" x14ac:dyDescent="0.25">
      <c r="B734" s="56" t="s">
        <v>45</v>
      </c>
      <c r="C734" s="57" t="s">
        <v>26</v>
      </c>
      <c r="D734" s="58" t="s">
        <v>24</v>
      </c>
      <c r="E734" s="62">
        <v>9.2099999999999977E-3</v>
      </c>
      <c r="F734" s="65">
        <f t="shared" si="338"/>
        <v>-4.6874654287149218</v>
      </c>
      <c r="S734" s="40">
        <f t="shared" si="311"/>
        <v>0</v>
      </c>
      <c r="T734" s="40">
        <f t="shared" si="312"/>
        <v>0</v>
      </c>
      <c r="U734" s="40">
        <f t="shared" si="313"/>
        <v>0</v>
      </c>
      <c r="V734" s="40">
        <f t="shared" si="314"/>
        <v>1</v>
      </c>
      <c r="W734" s="40">
        <f t="shared" si="315"/>
        <v>0</v>
      </c>
      <c r="X734" s="40">
        <f t="shared" si="316"/>
        <v>0</v>
      </c>
      <c r="Y734" s="40">
        <f t="shared" si="317"/>
        <v>0</v>
      </c>
      <c r="Z734" s="40">
        <f t="shared" si="318"/>
        <v>0</v>
      </c>
      <c r="AA734" s="40">
        <f t="shared" si="319"/>
        <v>0</v>
      </c>
      <c r="AB734" s="40">
        <f t="shared" si="320"/>
        <v>0</v>
      </c>
      <c r="AC734" s="40">
        <f t="shared" si="321"/>
        <v>0</v>
      </c>
      <c r="AD734" s="40">
        <f t="shared" si="322"/>
        <v>0</v>
      </c>
      <c r="AE734" s="40">
        <f t="shared" si="323"/>
        <v>0</v>
      </c>
      <c r="AF734" s="40">
        <f t="shared" si="324"/>
        <v>1</v>
      </c>
      <c r="AG734" s="40">
        <f t="shared" si="325"/>
        <v>0</v>
      </c>
      <c r="AH734" s="40">
        <f t="shared" si="326"/>
        <v>0</v>
      </c>
      <c r="AI734" s="40">
        <f t="shared" si="327"/>
        <v>0</v>
      </c>
      <c r="AJ734" s="40">
        <f t="shared" si="328"/>
        <v>0</v>
      </c>
      <c r="AK734" s="40">
        <f t="shared" si="329"/>
        <v>0</v>
      </c>
      <c r="AL734" s="40">
        <f t="shared" si="330"/>
        <v>1</v>
      </c>
      <c r="AM734" s="40">
        <f t="shared" si="331"/>
        <v>0</v>
      </c>
      <c r="AN734" s="40">
        <f t="shared" si="332"/>
        <v>0</v>
      </c>
      <c r="AO734" s="40">
        <f t="shared" si="333"/>
        <v>0</v>
      </c>
      <c r="AP734" s="40">
        <f t="shared" si="334"/>
        <v>0</v>
      </c>
      <c r="AQ734" s="40">
        <f t="shared" si="335"/>
        <v>0</v>
      </c>
      <c r="AR734" s="40">
        <f t="shared" si="336"/>
        <v>0</v>
      </c>
      <c r="AS734" s="40">
        <f t="shared" si="337"/>
        <v>0</v>
      </c>
    </row>
    <row r="735" spans="2:45" ht="14.4" customHeight="1" x14ac:dyDescent="0.25">
      <c r="B735" s="56" t="s">
        <v>45</v>
      </c>
      <c r="C735" s="57" t="s">
        <v>26</v>
      </c>
      <c r="D735" s="58" t="s">
        <v>24</v>
      </c>
      <c r="E735" s="62">
        <v>7.5499999999999994E-3</v>
      </c>
      <c r="F735" s="65">
        <f t="shared" si="338"/>
        <v>-4.8862077157212038</v>
      </c>
      <c r="S735" s="40">
        <f t="shared" si="311"/>
        <v>0</v>
      </c>
      <c r="T735" s="40">
        <f t="shared" si="312"/>
        <v>0</v>
      </c>
      <c r="U735" s="40">
        <f t="shared" si="313"/>
        <v>0</v>
      </c>
      <c r="V735" s="40">
        <f t="shared" si="314"/>
        <v>1</v>
      </c>
      <c r="W735" s="40">
        <f t="shared" si="315"/>
        <v>0</v>
      </c>
      <c r="X735" s="40">
        <f t="shared" si="316"/>
        <v>0</v>
      </c>
      <c r="Y735" s="40">
        <f t="shared" si="317"/>
        <v>0</v>
      </c>
      <c r="Z735" s="40">
        <f t="shared" si="318"/>
        <v>0</v>
      </c>
      <c r="AA735" s="40">
        <f t="shared" si="319"/>
        <v>0</v>
      </c>
      <c r="AB735" s="40">
        <f t="shared" si="320"/>
        <v>0</v>
      </c>
      <c r="AC735" s="40">
        <f t="shared" si="321"/>
        <v>0</v>
      </c>
      <c r="AD735" s="40">
        <f t="shared" si="322"/>
        <v>0</v>
      </c>
      <c r="AE735" s="40">
        <f t="shared" si="323"/>
        <v>0</v>
      </c>
      <c r="AF735" s="40">
        <f t="shared" si="324"/>
        <v>1</v>
      </c>
      <c r="AG735" s="40">
        <f t="shared" si="325"/>
        <v>0</v>
      </c>
      <c r="AH735" s="40">
        <f t="shared" si="326"/>
        <v>0</v>
      </c>
      <c r="AI735" s="40">
        <f t="shared" si="327"/>
        <v>1</v>
      </c>
      <c r="AJ735" s="40">
        <f t="shared" si="328"/>
        <v>0</v>
      </c>
      <c r="AK735" s="40">
        <f t="shared" si="329"/>
        <v>0</v>
      </c>
      <c r="AL735" s="40">
        <f t="shared" si="330"/>
        <v>0</v>
      </c>
      <c r="AM735" s="40">
        <f t="shared" si="331"/>
        <v>0</v>
      </c>
      <c r="AN735" s="40">
        <f t="shared" si="332"/>
        <v>0</v>
      </c>
      <c r="AO735" s="40">
        <f t="shared" si="333"/>
        <v>0</v>
      </c>
      <c r="AP735" s="40">
        <f t="shared" si="334"/>
        <v>0</v>
      </c>
      <c r="AQ735" s="40">
        <f t="shared" si="335"/>
        <v>0</v>
      </c>
      <c r="AR735" s="40">
        <f t="shared" si="336"/>
        <v>0</v>
      </c>
      <c r="AS735" s="40">
        <f t="shared" si="337"/>
        <v>0</v>
      </c>
    </row>
    <row r="736" spans="2:45" ht="14.4" customHeight="1" x14ac:dyDescent="0.25">
      <c r="B736" s="56" t="s">
        <v>45</v>
      </c>
      <c r="C736" s="57" t="s">
        <v>26</v>
      </c>
      <c r="D736" s="58" t="s">
        <v>28</v>
      </c>
      <c r="E736" s="62">
        <v>1.4970000000000004E-2</v>
      </c>
      <c r="F736" s="65">
        <f t="shared" si="338"/>
        <v>-4.2017070805505998</v>
      </c>
      <c r="S736" s="40">
        <f t="shared" si="311"/>
        <v>0</v>
      </c>
      <c r="T736" s="40">
        <f t="shared" si="312"/>
        <v>0</v>
      </c>
      <c r="U736" s="40">
        <f t="shared" si="313"/>
        <v>0</v>
      </c>
      <c r="V736" s="40">
        <f t="shared" si="314"/>
        <v>1</v>
      </c>
      <c r="W736" s="40">
        <f t="shared" si="315"/>
        <v>0</v>
      </c>
      <c r="X736" s="40">
        <f t="shared" si="316"/>
        <v>0</v>
      </c>
      <c r="Y736" s="40">
        <f t="shared" si="317"/>
        <v>0</v>
      </c>
      <c r="Z736" s="40">
        <f t="shared" si="318"/>
        <v>0</v>
      </c>
      <c r="AA736" s="40">
        <f t="shared" si="319"/>
        <v>0</v>
      </c>
      <c r="AB736" s="40">
        <f t="shared" si="320"/>
        <v>1</v>
      </c>
      <c r="AC736" s="40">
        <f t="shared" si="321"/>
        <v>0</v>
      </c>
      <c r="AD736" s="40">
        <f t="shared" si="322"/>
        <v>0</v>
      </c>
      <c r="AE736" s="40">
        <f t="shared" si="323"/>
        <v>0</v>
      </c>
      <c r="AF736" s="40">
        <f t="shared" si="324"/>
        <v>0</v>
      </c>
      <c r="AG736" s="40">
        <f t="shared" si="325"/>
        <v>0</v>
      </c>
      <c r="AH736" s="40">
        <f t="shared" si="326"/>
        <v>0</v>
      </c>
      <c r="AI736" s="40">
        <f t="shared" si="327"/>
        <v>1</v>
      </c>
      <c r="AJ736" s="40">
        <f t="shared" si="328"/>
        <v>0</v>
      </c>
      <c r="AK736" s="40">
        <f t="shared" si="329"/>
        <v>0</v>
      </c>
      <c r="AL736" s="40">
        <f t="shared" si="330"/>
        <v>0</v>
      </c>
      <c r="AM736" s="40">
        <f t="shared" si="331"/>
        <v>0</v>
      </c>
      <c r="AN736" s="40">
        <f t="shared" si="332"/>
        <v>0</v>
      </c>
      <c r="AO736" s="40">
        <f t="shared" si="333"/>
        <v>0</v>
      </c>
      <c r="AP736" s="40">
        <f t="shared" si="334"/>
        <v>0</v>
      </c>
      <c r="AQ736" s="40">
        <f t="shared" si="335"/>
        <v>0</v>
      </c>
      <c r="AR736" s="40">
        <f t="shared" si="336"/>
        <v>0</v>
      </c>
      <c r="AS736" s="40">
        <f t="shared" si="337"/>
        <v>0</v>
      </c>
    </row>
    <row r="737" spans="2:45" ht="14.4" customHeight="1" x14ac:dyDescent="0.25">
      <c r="B737" s="56" t="s">
        <v>45</v>
      </c>
      <c r="C737" s="57" t="s">
        <v>25</v>
      </c>
      <c r="D737" s="58" t="s">
        <v>28</v>
      </c>
      <c r="E737" s="62">
        <v>7.0299999999999998E-3</v>
      </c>
      <c r="F737" s="65">
        <f t="shared" si="338"/>
        <v>-4.9575685731595636</v>
      </c>
      <c r="S737" s="40">
        <f t="shared" si="311"/>
        <v>0</v>
      </c>
      <c r="T737" s="40">
        <f t="shared" si="312"/>
        <v>0</v>
      </c>
      <c r="U737" s="40">
        <f t="shared" si="313"/>
        <v>0</v>
      </c>
      <c r="V737" s="40">
        <f t="shared" si="314"/>
        <v>1</v>
      </c>
      <c r="W737" s="40">
        <f t="shared" si="315"/>
        <v>0</v>
      </c>
      <c r="X737" s="40">
        <f t="shared" si="316"/>
        <v>0</v>
      </c>
      <c r="Y737" s="40">
        <f t="shared" si="317"/>
        <v>0</v>
      </c>
      <c r="Z737" s="40">
        <f t="shared" si="318"/>
        <v>0</v>
      </c>
      <c r="AA737" s="40">
        <f t="shared" si="319"/>
        <v>0</v>
      </c>
      <c r="AB737" s="40">
        <f t="shared" si="320"/>
        <v>0</v>
      </c>
      <c r="AC737" s="40">
        <f t="shared" si="321"/>
        <v>0</v>
      </c>
      <c r="AD737" s="40">
        <f t="shared" si="322"/>
        <v>0</v>
      </c>
      <c r="AE737" s="40">
        <f t="shared" si="323"/>
        <v>0</v>
      </c>
      <c r="AF737" s="40">
        <f t="shared" si="324"/>
        <v>1</v>
      </c>
      <c r="AG737" s="40">
        <f t="shared" si="325"/>
        <v>0</v>
      </c>
      <c r="AH737" s="40">
        <f t="shared" si="326"/>
        <v>0</v>
      </c>
      <c r="AI737" s="40">
        <f t="shared" si="327"/>
        <v>0</v>
      </c>
      <c r="AJ737" s="40">
        <f t="shared" si="328"/>
        <v>0</v>
      </c>
      <c r="AK737" s="40">
        <f t="shared" si="329"/>
        <v>1</v>
      </c>
      <c r="AL737" s="40">
        <f t="shared" si="330"/>
        <v>0</v>
      </c>
      <c r="AM737" s="40">
        <f t="shared" si="331"/>
        <v>0</v>
      </c>
      <c r="AN737" s="40">
        <f t="shared" si="332"/>
        <v>0</v>
      </c>
      <c r="AO737" s="40">
        <f t="shared" si="333"/>
        <v>0</v>
      </c>
      <c r="AP737" s="40">
        <f t="shared" si="334"/>
        <v>0</v>
      </c>
      <c r="AQ737" s="40">
        <f t="shared" si="335"/>
        <v>0</v>
      </c>
      <c r="AR737" s="40">
        <f t="shared" si="336"/>
        <v>0</v>
      </c>
      <c r="AS737" s="40">
        <f t="shared" si="337"/>
        <v>0</v>
      </c>
    </row>
    <row r="738" spans="2:45" ht="14.4" customHeight="1" x14ac:dyDescent="0.25">
      <c r="B738" s="56" t="s">
        <v>45</v>
      </c>
      <c r="C738" s="57" t="s">
        <v>26</v>
      </c>
      <c r="D738" s="58" t="s">
        <v>32</v>
      </c>
      <c r="E738" s="62">
        <v>1.1679999999999999E-2</v>
      </c>
      <c r="F738" s="65">
        <f t="shared" si="338"/>
        <v>-4.4498773015820561</v>
      </c>
      <c r="S738" s="40">
        <f t="shared" si="311"/>
        <v>0</v>
      </c>
      <c r="T738" s="40">
        <f t="shared" si="312"/>
        <v>0</v>
      </c>
      <c r="U738" s="40">
        <f t="shared" si="313"/>
        <v>0</v>
      </c>
      <c r="V738" s="40">
        <f t="shared" si="314"/>
        <v>1</v>
      </c>
      <c r="W738" s="40">
        <f t="shared" si="315"/>
        <v>0</v>
      </c>
      <c r="X738" s="40">
        <f t="shared" si="316"/>
        <v>0</v>
      </c>
      <c r="Y738" s="40">
        <f t="shared" si="317"/>
        <v>0</v>
      </c>
      <c r="Z738" s="40">
        <f t="shared" si="318"/>
        <v>0</v>
      </c>
      <c r="AA738" s="40">
        <f t="shared" si="319"/>
        <v>0</v>
      </c>
      <c r="AB738" s="40">
        <f t="shared" si="320"/>
        <v>0</v>
      </c>
      <c r="AC738" s="40">
        <f t="shared" si="321"/>
        <v>0</v>
      </c>
      <c r="AD738" s="40">
        <f t="shared" si="322"/>
        <v>0</v>
      </c>
      <c r="AE738" s="40">
        <f t="shared" si="323"/>
        <v>0</v>
      </c>
      <c r="AF738" s="40">
        <f t="shared" si="324"/>
        <v>1</v>
      </c>
      <c r="AG738" s="40">
        <f t="shared" si="325"/>
        <v>0</v>
      </c>
      <c r="AH738" s="40">
        <f t="shared" si="326"/>
        <v>0</v>
      </c>
      <c r="AI738" s="40">
        <f t="shared" si="327"/>
        <v>0</v>
      </c>
      <c r="AJ738" s="40">
        <f t="shared" si="328"/>
        <v>0</v>
      </c>
      <c r="AK738" s="40">
        <f t="shared" si="329"/>
        <v>0</v>
      </c>
      <c r="AL738" s="40">
        <f t="shared" si="330"/>
        <v>1</v>
      </c>
      <c r="AM738" s="40">
        <f t="shared" si="331"/>
        <v>0</v>
      </c>
      <c r="AN738" s="40">
        <f t="shared" si="332"/>
        <v>0</v>
      </c>
      <c r="AO738" s="40">
        <f t="shared" si="333"/>
        <v>0</v>
      </c>
      <c r="AP738" s="40">
        <f t="shared" si="334"/>
        <v>0</v>
      </c>
      <c r="AQ738" s="40">
        <f t="shared" si="335"/>
        <v>0</v>
      </c>
      <c r="AR738" s="40">
        <f t="shared" si="336"/>
        <v>0</v>
      </c>
      <c r="AS738" s="40">
        <f t="shared" si="337"/>
        <v>0</v>
      </c>
    </row>
    <row r="739" spans="2:45" ht="14.4" customHeight="1" x14ac:dyDescent="0.25">
      <c r="B739" s="56" t="s">
        <v>45</v>
      </c>
      <c r="C739" s="57" t="s">
        <v>26</v>
      </c>
      <c r="D739" s="58" t="s">
        <v>24</v>
      </c>
      <c r="E739" s="62">
        <v>5.1000000000000021E-3</v>
      </c>
      <c r="F739" s="65">
        <f t="shared" si="338"/>
        <v>-5.2785147392518565</v>
      </c>
      <c r="S739" s="40">
        <f t="shared" si="311"/>
        <v>0</v>
      </c>
      <c r="T739" s="40">
        <f t="shared" si="312"/>
        <v>0</v>
      </c>
      <c r="U739" s="40">
        <f t="shared" si="313"/>
        <v>0</v>
      </c>
      <c r="V739" s="40">
        <f t="shared" si="314"/>
        <v>1</v>
      </c>
      <c r="W739" s="40">
        <f t="shared" si="315"/>
        <v>0</v>
      </c>
      <c r="X739" s="40">
        <f t="shared" si="316"/>
        <v>0</v>
      </c>
      <c r="Y739" s="40">
        <f t="shared" si="317"/>
        <v>0</v>
      </c>
      <c r="Z739" s="40">
        <f t="shared" si="318"/>
        <v>0</v>
      </c>
      <c r="AA739" s="40">
        <f t="shared" si="319"/>
        <v>0</v>
      </c>
      <c r="AB739" s="40">
        <f t="shared" si="320"/>
        <v>1</v>
      </c>
      <c r="AC739" s="40">
        <f t="shared" si="321"/>
        <v>0</v>
      </c>
      <c r="AD739" s="40">
        <f t="shared" si="322"/>
        <v>0</v>
      </c>
      <c r="AE739" s="40">
        <f t="shared" si="323"/>
        <v>0</v>
      </c>
      <c r="AF739" s="40">
        <f t="shared" si="324"/>
        <v>0</v>
      </c>
      <c r="AG739" s="40">
        <f t="shared" si="325"/>
        <v>0</v>
      </c>
      <c r="AH739" s="40">
        <f t="shared" si="326"/>
        <v>0</v>
      </c>
      <c r="AI739" s="40">
        <f t="shared" si="327"/>
        <v>0</v>
      </c>
      <c r="AJ739" s="40">
        <f t="shared" si="328"/>
        <v>0</v>
      </c>
      <c r="AK739" s="40">
        <f t="shared" si="329"/>
        <v>0</v>
      </c>
      <c r="AL739" s="40">
        <f t="shared" si="330"/>
        <v>1</v>
      </c>
      <c r="AM739" s="40">
        <f t="shared" si="331"/>
        <v>0</v>
      </c>
      <c r="AN739" s="40">
        <f t="shared" si="332"/>
        <v>0</v>
      </c>
      <c r="AO739" s="40">
        <f t="shared" si="333"/>
        <v>0</v>
      </c>
      <c r="AP739" s="40">
        <f t="shared" si="334"/>
        <v>0</v>
      </c>
      <c r="AQ739" s="40">
        <f t="shared" si="335"/>
        <v>0</v>
      </c>
      <c r="AR739" s="40">
        <f t="shared" si="336"/>
        <v>0</v>
      </c>
      <c r="AS739" s="40">
        <f t="shared" si="337"/>
        <v>0</v>
      </c>
    </row>
    <row r="740" spans="2:45" ht="14.4" customHeight="1" x14ac:dyDescent="0.25">
      <c r="B740" s="56" t="s">
        <v>45</v>
      </c>
      <c r="C740" s="57" t="s">
        <v>25</v>
      </c>
      <c r="D740" s="58" t="s">
        <v>24</v>
      </c>
      <c r="E740" s="62">
        <v>4.9799999999999983E-3</v>
      </c>
      <c r="F740" s="65">
        <f t="shared" si="338"/>
        <v>-5.3023253879455758</v>
      </c>
      <c r="S740" s="40">
        <f t="shared" si="311"/>
        <v>0</v>
      </c>
      <c r="T740" s="40">
        <f t="shared" si="312"/>
        <v>0</v>
      </c>
      <c r="U740" s="40">
        <f t="shared" si="313"/>
        <v>0</v>
      </c>
      <c r="V740" s="40">
        <f t="shared" si="314"/>
        <v>1</v>
      </c>
      <c r="W740" s="40">
        <f t="shared" si="315"/>
        <v>0</v>
      </c>
      <c r="X740" s="40">
        <f t="shared" si="316"/>
        <v>0</v>
      </c>
      <c r="Y740" s="40">
        <f t="shared" si="317"/>
        <v>0</v>
      </c>
      <c r="Z740" s="40">
        <f t="shared" si="318"/>
        <v>0</v>
      </c>
      <c r="AA740" s="40">
        <f t="shared" si="319"/>
        <v>0</v>
      </c>
      <c r="AB740" s="40">
        <f t="shared" si="320"/>
        <v>0</v>
      </c>
      <c r="AC740" s="40">
        <f t="shared" si="321"/>
        <v>0</v>
      </c>
      <c r="AD740" s="40">
        <f t="shared" si="322"/>
        <v>0</v>
      </c>
      <c r="AE740" s="40">
        <f t="shared" si="323"/>
        <v>0</v>
      </c>
      <c r="AF740" s="40">
        <f t="shared" si="324"/>
        <v>1</v>
      </c>
      <c r="AG740" s="40">
        <f t="shared" si="325"/>
        <v>0</v>
      </c>
      <c r="AH740" s="40">
        <f t="shared" si="326"/>
        <v>0</v>
      </c>
      <c r="AI740" s="40">
        <f t="shared" si="327"/>
        <v>0</v>
      </c>
      <c r="AJ740" s="40">
        <f t="shared" si="328"/>
        <v>1</v>
      </c>
      <c r="AK740" s="40">
        <f t="shared" si="329"/>
        <v>0</v>
      </c>
      <c r="AL740" s="40">
        <f t="shared" si="330"/>
        <v>0</v>
      </c>
      <c r="AM740" s="40">
        <f t="shared" si="331"/>
        <v>0</v>
      </c>
      <c r="AN740" s="40">
        <f t="shared" si="332"/>
        <v>0</v>
      </c>
      <c r="AO740" s="40">
        <f t="shared" si="333"/>
        <v>0</v>
      </c>
      <c r="AP740" s="40">
        <f t="shared" si="334"/>
        <v>0</v>
      </c>
      <c r="AQ740" s="40">
        <f t="shared" si="335"/>
        <v>0</v>
      </c>
      <c r="AR740" s="40">
        <f t="shared" si="336"/>
        <v>0</v>
      </c>
      <c r="AS740" s="40">
        <f t="shared" si="337"/>
        <v>0</v>
      </c>
    </row>
    <row r="741" spans="2:45" ht="14.4" customHeight="1" x14ac:dyDescent="0.25">
      <c r="B741" s="56" t="s">
        <v>45</v>
      </c>
      <c r="C741" s="57" t="s">
        <v>26</v>
      </c>
      <c r="D741" s="58" t="s">
        <v>37</v>
      </c>
      <c r="E741" s="62">
        <v>5.6000000000000025E-3</v>
      </c>
      <c r="F741" s="65">
        <f t="shared" si="338"/>
        <v>-5.1849886812410331</v>
      </c>
      <c r="S741" s="40">
        <f t="shared" si="311"/>
        <v>0</v>
      </c>
      <c r="T741" s="40">
        <f t="shared" si="312"/>
        <v>0</v>
      </c>
      <c r="U741" s="40">
        <f t="shared" si="313"/>
        <v>0</v>
      </c>
      <c r="V741" s="40">
        <f t="shared" si="314"/>
        <v>1</v>
      </c>
      <c r="W741" s="40">
        <f t="shared" si="315"/>
        <v>0</v>
      </c>
      <c r="X741" s="40">
        <f t="shared" si="316"/>
        <v>0</v>
      </c>
      <c r="Y741" s="40">
        <f t="shared" si="317"/>
        <v>0</v>
      </c>
      <c r="Z741" s="40">
        <f t="shared" si="318"/>
        <v>0</v>
      </c>
      <c r="AA741" s="40">
        <f t="shared" si="319"/>
        <v>0</v>
      </c>
      <c r="AB741" s="40">
        <f t="shared" si="320"/>
        <v>0</v>
      </c>
      <c r="AC741" s="40">
        <f t="shared" si="321"/>
        <v>0</v>
      </c>
      <c r="AD741" s="40">
        <f t="shared" si="322"/>
        <v>0</v>
      </c>
      <c r="AE741" s="40">
        <f t="shared" si="323"/>
        <v>0</v>
      </c>
      <c r="AF741" s="40">
        <f t="shared" si="324"/>
        <v>1</v>
      </c>
      <c r="AG741" s="40">
        <f t="shared" si="325"/>
        <v>0</v>
      </c>
      <c r="AH741" s="40">
        <f t="shared" si="326"/>
        <v>0</v>
      </c>
      <c r="AI741" s="40">
        <f t="shared" si="327"/>
        <v>0</v>
      </c>
      <c r="AJ741" s="40">
        <f t="shared" si="328"/>
        <v>1</v>
      </c>
      <c r="AK741" s="40">
        <f t="shared" si="329"/>
        <v>0</v>
      </c>
      <c r="AL741" s="40">
        <f t="shared" si="330"/>
        <v>0</v>
      </c>
      <c r="AM741" s="40">
        <f t="shared" si="331"/>
        <v>0</v>
      </c>
      <c r="AN741" s="40">
        <f t="shared" si="332"/>
        <v>0</v>
      </c>
      <c r="AO741" s="40">
        <f t="shared" si="333"/>
        <v>0</v>
      </c>
      <c r="AP741" s="40">
        <f t="shared" si="334"/>
        <v>0</v>
      </c>
      <c r="AQ741" s="40">
        <f t="shared" si="335"/>
        <v>0</v>
      </c>
      <c r="AR741" s="40">
        <f t="shared" si="336"/>
        <v>0</v>
      </c>
      <c r="AS741" s="40">
        <f t="shared" si="337"/>
        <v>0</v>
      </c>
    </row>
    <row r="742" spans="2:45" ht="14.4" customHeight="1" x14ac:dyDescent="0.25">
      <c r="B742" s="56" t="s">
        <v>45</v>
      </c>
      <c r="C742" s="57" t="s">
        <v>26</v>
      </c>
      <c r="D742" s="58" t="s">
        <v>37</v>
      </c>
      <c r="E742" s="62">
        <v>5.6100000000000021E-3</v>
      </c>
      <c r="F742" s="65">
        <f t="shared" si="338"/>
        <v>-5.1832045594475318</v>
      </c>
      <c r="S742" s="40">
        <f t="shared" si="311"/>
        <v>0</v>
      </c>
      <c r="T742" s="40">
        <f t="shared" si="312"/>
        <v>0</v>
      </c>
      <c r="U742" s="40">
        <f t="shared" si="313"/>
        <v>0</v>
      </c>
      <c r="V742" s="40">
        <f t="shared" si="314"/>
        <v>1</v>
      </c>
      <c r="W742" s="40">
        <f t="shared" si="315"/>
        <v>0</v>
      </c>
      <c r="X742" s="40">
        <f t="shared" si="316"/>
        <v>0</v>
      </c>
      <c r="Y742" s="40">
        <f t="shared" si="317"/>
        <v>0</v>
      </c>
      <c r="Z742" s="40">
        <f t="shared" si="318"/>
        <v>0</v>
      </c>
      <c r="AA742" s="40">
        <f t="shared" si="319"/>
        <v>0</v>
      </c>
      <c r="AB742" s="40">
        <f t="shared" si="320"/>
        <v>0</v>
      </c>
      <c r="AC742" s="40">
        <f t="shared" si="321"/>
        <v>0</v>
      </c>
      <c r="AD742" s="40">
        <f t="shared" si="322"/>
        <v>0</v>
      </c>
      <c r="AE742" s="40">
        <f t="shared" si="323"/>
        <v>0</v>
      </c>
      <c r="AF742" s="40">
        <f t="shared" si="324"/>
        <v>1</v>
      </c>
      <c r="AG742" s="40">
        <f t="shared" si="325"/>
        <v>0</v>
      </c>
      <c r="AH742" s="40">
        <f t="shared" si="326"/>
        <v>0</v>
      </c>
      <c r="AI742" s="40">
        <f t="shared" si="327"/>
        <v>1</v>
      </c>
      <c r="AJ742" s="40">
        <f t="shared" si="328"/>
        <v>0</v>
      </c>
      <c r="AK742" s="40">
        <f t="shared" si="329"/>
        <v>0</v>
      </c>
      <c r="AL742" s="40">
        <f t="shared" si="330"/>
        <v>0</v>
      </c>
      <c r="AM742" s="40">
        <f t="shared" si="331"/>
        <v>0</v>
      </c>
      <c r="AN742" s="40">
        <f t="shared" si="332"/>
        <v>0</v>
      </c>
      <c r="AO742" s="40">
        <f t="shared" si="333"/>
        <v>0</v>
      </c>
      <c r="AP742" s="40">
        <f t="shared" si="334"/>
        <v>0</v>
      </c>
      <c r="AQ742" s="40">
        <f t="shared" si="335"/>
        <v>0</v>
      </c>
      <c r="AR742" s="40">
        <f t="shared" si="336"/>
        <v>0</v>
      </c>
      <c r="AS742" s="40">
        <f t="shared" si="337"/>
        <v>0</v>
      </c>
    </row>
    <row r="743" spans="2:45" ht="14.4" customHeight="1" x14ac:dyDescent="0.25">
      <c r="B743" s="56" t="s">
        <v>45</v>
      </c>
      <c r="C743" s="57" t="s">
        <v>26</v>
      </c>
      <c r="D743" s="58" t="s">
        <v>28</v>
      </c>
      <c r="E743" s="62">
        <v>6.2599999999999973E-3</v>
      </c>
      <c r="F743" s="65">
        <f t="shared" si="338"/>
        <v>-5.0735750938701303</v>
      </c>
      <c r="S743" s="40">
        <f t="shared" si="311"/>
        <v>0</v>
      </c>
      <c r="T743" s="40">
        <f t="shared" si="312"/>
        <v>0</v>
      </c>
      <c r="U743" s="40">
        <f t="shared" si="313"/>
        <v>0</v>
      </c>
      <c r="V743" s="40">
        <f t="shared" si="314"/>
        <v>1</v>
      </c>
      <c r="W743" s="40">
        <f t="shared" si="315"/>
        <v>0</v>
      </c>
      <c r="X743" s="40">
        <f t="shared" si="316"/>
        <v>0</v>
      </c>
      <c r="Y743" s="40">
        <f t="shared" si="317"/>
        <v>0</v>
      </c>
      <c r="Z743" s="40">
        <f t="shared" si="318"/>
        <v>0</v>
      </c>
      <c r="AA743" s="40">
        <f t="shared" si="319"/>
        <v>0</v>
      </c>
      <c r="AB743" s="40">
        <f t="shared" si="320"/>
        <v>0</v>
      </c>
      <c r="AC743" s="40">
        <f t="shared" si="321"/>
        <v>0</v>
      </c>
      <c r="AD743" s="40">
        <f t="shared" si="322"/>
        <v>0</v>
      </c>
      <c r="AE743" s="40">
        <f t="shared" si="323"/>
        <v>0</v>
      </c>
      <c r="AF743" s="40">
        <f t="shared" si="324"/>
        <v>1</v>
      </c>
      <c r="AG743" s="40">
        <f t="shared" si="325"/>
        <v>0</v>
      </c>
      <c r="AH743" s="40">
        <f t="shared" si="326"/>
        <v>0</v>
      </c>
      <c r="AI743" s="40">
        <f t="shared" si="327"/>
        <v>0</v>
      </c>
      <c r="AJ743" s="40">
        <f t="shared" si="328"/>
        <v>0</v>
      </c>
      <c r="AK743" s="40">
        <f t="shared" si="329"/>
        <v>0</v>
      </c>
      <c r="AL743" s="40">
        <f t="shared" si="330"/>
        <v>0</v>
      </c>
      <c r="AM743" s="40">
        <f t="shared" si="331"/>
        <v>0</v>
      </c>
      <c r="AN743" s="40">
        <f t="shared" si="332"/>
        <v>0</v>
      </c>
      <c r="AO743" s="40">
        <f t="shared" si="333"/>
        <v>0</v>
      </c>
      <c r="AP743" s="40">
        <f t="shared" si="334"/>
        <v>0</v>
      </c>
      <c r="AQ743" s="40">
        <f t="shared" si="335"/>
        <v>0</v>
      </c>
      <c r="AR743" s="40">
        <f t="shared" si="336"/>
        <v>0</v>
      </c>
      <c r="AS743" s="40">
        <f t="shared" si="337"/>
        <v>1</v>
      </c>
    </row>
    <row r="744" spans="2:45" ht="14.4" customHeight="1" x14ac:dyDescent="0.25">
      <c r="B744" s="56" t="s">
        <v>45</v>
      </c>
      <c r="C744" s="57" t="s">
        <v>26</v>
      </c>
      <c r="D744" s="58" t="s">
        <v>22</v>
      </c>
      <c r="E744" s="62">
        <v>5.1400000000000013E-3</v>
      </c>
      <c r="F744" s="65">
        <f t="shared" si="338"/>
        <v>-5.2707021995150631</v>
      </c>
      <c r="S744" s="40">
        <f t="shared" si="311"/>
        <v>0</v>
      </c>
      <c r="T744" s="40">
        <f t="shared" si="312"/>
        <v>0</v>
      </c>
      <c r="U744" s="40">
        <f t="shared" si="313"/>
        <v>0</v>
      </c>
      <c r="V744" s="40">
        <f t="shared" si="314"/>
        <v>1</v>
      </c>
      <c r="W744" s="40">
        <f t="shared" si="315"/>
        <v>0</v>
      </c>
      <c r="X744" s="40">
        <f t="shared" si="316"/>
        <v>0</v>
      </c>
      <c r="Y744" s="40">
        <f t="shared" si="317"/>
        <v>0</v>
      </c>
      <c r="Z744" s="40">
        <f t="shared" si="318"/>
        <v>0</v>
      </c>
      <c r="AA744" s="40">
        <f t="shared" si="319"/>
        <v>0</v>
      </c>
      <c r="AB744" s="40">
        <f t="shared" si="320"/>
        <v>0</v>
      </c>
      <c r="AC744" s="40">
        <f t="shared" si="321"/>
        <v>0</v>
      </c>
      <c r="AD744" s="40">
        <f t="shared" si="322"/>
        <v>0</v>
      </c>
      <c r="AE744" s="40">
        <f t="shared" si="323"/>
        <v>0</v>
      </c>
      <c r="AF744" s="40">
        <f t="shared" si="324"/>
        <v>1</v>
      </c>
      <c r="AG744" s="40">
        <f t="shared" si="325"/>
        <v>0</v>
      </c>
      <c r="AH744" s="40">
        <f t="shared" si="326"/>
        <v>0</v>
      </c>
      <c r="AI744" s="40">
        <f t="shared" si="327"/>
        <v>0</v>
      </c>
      <c r="AJ744" s="40">
        <f t="shared" si="328"/>
        <v>0</v>
      </c>
      <c r="AK744" s="40">
        <f t="shared" si="329"/>
        <v>0</v>
      </c>
      <c r="AL744" s="40">
        <f t="shared" si="330"/>
        <v>0</v>
      </c>
      <c r="AM744" s="40">
        <f t="shared" si="331"/>
        <v>0</v>
      </c>
      <c r="AN744" s="40">
        <f t="shared" si="332"/>
        <v>0</v>
      </c>
      <c r="AO744" s="40">
        <f t="shared" si="333"/>
        <v>0</v>
      </c>
      <c r="AP744" s="40">
        <f t="shared" si="334"/>
        <v>0</v>
      </c>
      <c r="AQ744" s="40">
        <f t="shared" si="335"/>
        <v>1</v>
      </c>
      <c r="AR744" s="40">
        <f t="shared" si="336"/>
        <v>0</v>
      </c>
      <c r="AS744" s="40">
        <f t="shared" si="337"/>
        <v>0</v>
      </c>
    </row>
    <row r="745" spans="2:45" ht="14.4" customHeight="1" x14ac:dyDescent="0.25">
      <c r="B745" s="56" t="s">
        <v>45</v>
      </c>
      <c r="C745" s="57" t="s">
        <v>26</v>
      </c>
      <c r="D745" s="58" t="s">
        <v>30</v>
      </c>
      <c r="E745" s="62">
        <v>1.2459999999999999E-2</v>
      </c>
      <c r="F745" s="65">
        <f t="shared" si="338"/>
        <v>-4.3852317656228301</v>
      </c>
      <c r="S745" s="40">
        <f t="shared" si="311"/>
        <v>0</v>
      </c>
      <c r="T745" s="40">
        <f t="shared" si="312"/>
        <v>0</v>
      </c>
      <c r="U745" s="40">
        <f t="shared" si="313"/>
        <v>0</v>
      </c>
      <c r="V745" s="40">
        <f t="shared" si="314"/>
        <v>1</v>
      </c>
      <c r="W745" s="40">
        <f t="shared" si="315"/>
        <v>0</v>
      </c>
      <c r="X745" s="40">
        <f t="shared" si="316"/>
        <v>0</v>
      </c>
      <c r="Y745" s="40">
        <f t="shared" si="317"/>
        <v>0</v>
      </c>
      <c r="Z745" s="40">
        <f t="shared" si="318"/>
        <v>0</v>
      </c>
      <c r="AA745" s="40">
        <f t="shared" si="319"/>
        <v>0</v>
      </c>
      <c r="AB745" s="40">
        <f t="shared" si="320"/>
        <v>1</v>
      </c>
      <c r="AC745" s="40">
        <f t="shared" si="321"/>
        <v>0</v>
      </c>
      <c r="AD745" s="40">
        <f t="shared" si="322"/>
        <v>0</v>
      </c>
      <c r="AE745" s="40">
        <f t="shared" si="323"/>
        <v>0</v>
      </c>
      <c r="AF745" s="40">
        <f t="shared" si="324"/>
        <v>0</v>
      </c>
      <c r="AG745" s="40">
        <f t="shared" si="325"/>
        <v>0</v>
      </c>
      <c r="AH745" s="40">
        <f t="shared" si="326"/>
        <v>0</v>
      </c>
      <c r="AI745" s="40">
        <f t="shared" si="327"/>
        <v>1</v>
      </c>
      <c r="AJ745" s="40">
        <f t="shared" si="328"/>
        <v>0</v>
      </c>
      <c r="AK745" s="40">
        <f t="shared" si="329"/>
        <v>0</v>
      </c>
      <c r="AL745" s="40">
        <f t="shared" si="330"/>
        <v>0</v>
      </c>
      <c r="AM745" s="40">
        <f t="shared" si="331"/>
        <v>0</v>
      </c>
      <c r="AN745" s="40">
        <f t="shared" si="332"/>
        <v>0</v>
      </c>
      <c r="AO745" s="40">
        <f t="shared" si="333"/>
        <v>0</v>
      </c>
      <c r="AP745" s="40">
        <f t="shared" si="334"/>
        <v>0</v>
      </c>
      <c r="AQ745" s="40">
        <f t="shared" si="335"/>
        <v>0</v>
      </c>
      <c r="AR745" s="40">
        <f t="shared" si="336"/>
        <v>0</v>
      </c>
      <c r="AS745" s="40">
        <f t="shared" si="337"/>
        <v>0</v>
      </c>
    </row>
    <row r="746" spans="2:45" ht="14.4" customHeight="1" x14ac:dyDescent="0.25">
      <c r="B746" s="56" t="s">
        <v>45</v>
      </c>
      <c r="C746" s="57" t="s">
        <v>25</v>
      </c>
      <c r="D746" s="58" t="s">
        <v>28</v>
      </c>
      <c r="E746" s="62">
        <v>2.5299999999999997E-3</v>
      </c>
      <c r="F746" s="65">
        <f t="shared" si="338"/>
        <v>-5.9795359762427083</v>
      </c>
      <c r="S746" s="40">
        <f t="shared" si="311"/>
        <v>0</v>
      </c>
      <c r="T746" s="40">
        <f t="shared" si="312"/>
        <v>0</v>
      </c>
      <c r="U746" s="40">
        <f t="shared" si="313"/>
        <v>0</v>
      </c>
      <c r="V746" s="40">
        <f t="shared" si="314"/>
        <v>1</v>
      </c>
      <c r="W746" s="40">
        <f t="shared" si="315"/>
        <v>0</v>
      </c>
      <c r="X746" s="40">
        <f t="shared" si="316"/>
        <v>0</v>
      </c>
      <c r="Y746" s="40">
        <f t="shared" si="317"/>
        <v>0</v>
      </c>
      <c r="Z746" s="40">
        <f t="shared" si="318"/>
        <v>0</v>
      </c>
      <c r="AA746" s="40">
        <f t="shared" si="319"/>
        <v>0</v>
      </c>
      <c r="AB746" s="40">
        <f t="shared" si="320"/>
        <v>1</v>
      </c>
      <c r="AC746" s="40">
        <f t="shared" si="321"/>
        <v>0</v>
      </c>
      <c r="AD746" s="40">
        <f t="shared" si="322"/>
        <v>0</v>
      </c>
      <c r="AE746" s="40">
        <f t="shared" si="323"/>
        <v>0</v>
      </c>
      <c r="AF746" s="40">
        <f t="shared" si="324"/>
        <v>0</v>
      </c>
      <c r="AG746" s="40">
        <f t="shared" si="325"/>
        <v>0</v>
      </c>
      <c r="AH746" s="40">
        <f t="shared" si="326"/>
        <v>0</v>
      </c>
      <c r="AI746" s="40">
        <f t="shared" si="327"/>
        <v>0</v>
      </c>
      <c r="AJ746" s="40">
        <f t="shared" si="328"/>
        <v>0</v>
      </c>
      <c r="AK746" s="40">
        <f t="shared" si="329"/>
        <v>0</v>
      </c>
      <c r="AL746" s="40">
        <f t="shared" si="330"/>
        <v>1</v>
      </c>
      <c r="AM746" s="40">
        <f t="shared" si="331"/>
        <v>0</v>
      </c>
      <c r="AN746" s="40">
        <f t="shared" si="332"/>
        <v>0</v>
      </c>
      <c r="AO746" s="40">
        <f t="shared" si="333"/>
        <v>0</v>
      </c>
      <c r="AP746" s="40">
        <f t="shared" si="334"/>
        <v>0</v>
      </c>
      <c r="AQ746" s="40">
        <f t="shared" si="335"/>
        <v>0</v>
      </c>
      <c r="AR746" s="40">
        <f t="shared" si="336"/>
        <v>0</v>
      </c>
      <c r="AS746" s="40">
        <f t="shared" si="337"/>
        <v>0</v>
      </c>
    </row>
    <row r="747" spans="2:45" ht="14.4" customHeight="1" x14ac:dyDescent="0.25">
      <c r="B747" s="56" t="s">
        <v>45</v>
      </c>
      <c r="C747" s="57" t="s">
        <v>25</v>
      </c>
      <c r="D747" s="58" t="s">
        <v>24</v>
      </c>
      <c r="E747" s="62">
        <v>7.1299999999999983E-3</v>
      </c>
      <c r="F747" s="65">
        <f t="shared" si="338"/>
        <v>-4.9434440445559327</v>
      </c>
      <c r="S747" s="40">
        <f t="shared" si="311"/>
        <v>0</v>
      </c>
      <c r="T747" s="40">
        <f t="shared" si="312"/>
        <v>0</v>
      </c>
      <c r="U747" s="40">
        <f t="shared" si="313"/>
        <v>0</v>
      </c>
      <c r="V747" s="40">
        <f t="shared" si="314"/>
        <v>1</v>
      </c>
      <c r="W747" s="40">
        <f t="shared" si="315"/>
        <v>0</v>
      </c>
      <c r="X747" s="40">
        <f t="shared" si="316"/>
        <v>0</v>
      </c>
      <c r="Y747" s="40">
        <f t="shared" si="317"/>
        <v>0</v>
      </c>
      <c r="Z747" s="40">
        <f t="shared" si="318"/>
        <v>0</v>
      </c>
      <c r="AA747" s="40">
        <f t="shared" si="319"/>
        <v>0</v>
      </c>
      <c r="AB747" s="40">
        <f t="shared" si="320"/>
        <v>1</v>
      </c>
      <c r="AC747" s="40">
        <f t="shared" si="321"/>
        <v>0</v>
      </c>
      <c r="AD747" s="40">
        <f t="shared" si="322"/>
        <v>0</v>
      </c>
      <c r="AE747" s="40">
        <f t="shared" si="323"/>
        <v>0</v>
      </c>
      <c r="AF747" s="40">
        <f t="shared" si="324"/>
        <v>0</v>
      </c>
      <c r="AG747" s="40">
        <f t="shared" si="325"/>
        <v>0</v>
      </c>
      <c r="AH747" s="40">
        <f t="shared" si="326"/>
        <v>0</v>
      </c>
      <c r="AI747" s="40">
        <f t="shared" si="327"/>
        <v>0</v>
      </c>
      <c r="AJ747" s="40">
        <f t="shared" si="328"/>
        <v>0</v>
      </c>
      <c r="AK747" s="40">
        <f t="shared" si="329"/>
        <v>0</v>
      </c>
      <c r="AL747" s="40">
        <f t="shared" si="330"/>
        <v>0</v>
      </c>
      <c r="AM747" s="40">
        <f t="shared" si="331"/>
        <v>0</v>
      </c>
      <c r="AN747" s="40">
        <f t="shared" si="332"/>
        <v>0</v>
      </c>
      <c r="AO747" s="40">
        <f t="shared" si="333"/>
        <v>1</v>
      </c>
      <c r="AP747" s="40">
        <f t="shared" si="334"/>
        <v>0</v>
      </c>
      <c r="AQ747" s="40">
        <f t="shared" si="335"/>
        <v>0</v>
      </c>
      <c r="AR747" s="40">
        <f t="shared" si="336"/>
        <v>0</v>
      </c>
      <c r="AS747" s="40">
        <f t="shared" si="337"/>
        <v>0</v>
      </c>
    </row>
    <row r="748" spans="2:45" ht="14.4" customHeight="1" x14ac:dyDescent="0.25">
      <c r="B748" s="56" t="s">
        <v>45</v>
      </c>
      <c r="C748" s="57" t="s">
        <v>25</v>
      </c>
      <c r="D748" s="58" t="s">
        <v>31</v>
      </c>
      <c r="E748" s="62">
        <v>7.1299999999999983E-3</v>
      </c>
      <c r="F748" s="65">
        <f t="shared" si="338"/>
        <v>-4.9434440445559327</v>
      </c>
      <c r="S748" s="40">
        <f t="shared" si="311"/>
        <v>0</v>
      </c>
      <c r="T748" s="40">
        <f t="shared" si="312"/>
        <v>0</v>
      </c>
      <c r="U748" s="40">
        <f t="shared" si="313"/>
        <v>0</v>
      </c>
      <c r="V748" s="40">
        <f t="shared" si="314"/>
        <v>1</v>
      </c>
      <c r="W748" s="40">
        <f t="shared" si="315"/>
        <v>0</v>
      </c>
      <c r="X748" s="40">
        <f t="shared" si="316"/>
        <v>0</v>
      </c>
      <c r="Y748" s="40">
        <f t="shared" si="317"/>
        <v>0</v>
      </c>
      <c r="Z748" s="40">
        <f t="shared" si="318"/>
        <v>0</v>
      </c>
      <c r="AA748" s="40">
        <f t="shared" si="319"/>
        <v>0</v>
      </c>
      <c r="AB748" s="40">
        <f t="shared" si="320"/>
        <v>1</v>
      </c>
      <c r="AC748" s="40">
        <f t="shared" si="321"/>
        <v>0</v>
      </c>
      <c r="AD748" s="40">
        <f t="shared" si="322"/>
        <v>0</v>
      </c>
      <c r="AE748" s="40">
        <f t="shared" si="323"/>
        <v>0</v>
      </c>
      <c r="AF748" s="40">
        <f t="shared" si="324"/>
        <v>0</v>
      </c>
      <c r="AG748" s="40">
        <f t="shared" si="325"/>
        <v>0</v>
      </c>
      <c r="AH748" s="40">
        <f t="shared" si="326"/>
        <v>0</v>
      </c>
      <c r="AI748" s="40">
        <f t="shared" si="327"/>
        <v>0</v>
      </c>
      <c r="AJ748" s="40">
        <f t="shared" si="328"/>
        <v>0</v>
      </c>
      <c r="AK748" s="40">
        <f t="shared" si="329"/>
        <v>0</v>
      </c>
      <c r="AL748" s="40">
        <f t="shared" si="330"/>
        <v>0</v>
      </c>
      <c r="AM748" s="40">
        <f t="shared" si="331"/>
        <v>0</v>
      </c>
      <c r="AN748" s="40">
        <f t="shared" si="332"/>
        <v>0</v>
      </c>
      <c r="AO748" s="40">
        <f t="shared" si="333"/>
        <v>0</v>
      </c>
      <c r="AP748" s="40">
        <f t="shared" si="334"/>
        <v>0</v>
      </c>
      <c r="AQ748" s="40">
        <f t="shared" si="335"/>
        <v>0</v>
      </c>
      <c r="AR748" s="40">
        <f t="shared" si="336"/>
        <v>1</v>
      </c>
      <c r="AS748" s="40">
        <f t="shared" si="337"/>
        <v>0</v>
      </c>
    </row>
    <row r="749" spans="2:45" ht="14.4" customHeight="1" x14ac:dyDescent="0.25">
      <c r="B749" s="56" t="s">
        <v>45</v>
      </c>
      <c r="C749" s="57" t="s">
        <v>25</v>
      </c>
      <c r="D749" s="58" t="s">
        <v>33</v>
      </c>
      <c r="E749" s="62">
        <v>3.5400000000000015E-3</v>
      </c>
      <c r="F749" s="65">
        <f t="shared" si="338"/>
        <v>-5.6436285518364535</v>
      </c>
      <c r="S749" s="40">
        <f t="shared" si="311"/>
        <v>0</v>
      </c>
      <c r="T749" s="40">
        <f t="shared" si="312"/>
        <v>0</v>
      </c>
      <c r="U749" s="40">
        <f t="shared" si="313"/>
        <v>0</v>
      </c>
      <c r="V749" s="40">
        <f t="shared" si="314"/>
        <v>1</v>
      </c>
      <c r="W749" s="40">
        <f t="shared" si="315"/>
        <v>0</v>
      </c>
      <c r="X749" s="40">
        <f t="shared" si="316"/>
        <v>0</v>
      </c>
      <c r="Y749" s="40">
        <f t="shared" si="317"/>
        <v>0</v>
      </c>
      <c r="Z749" s="40">
        <f t="shared" si="318"/>
        <v>0</v>
      </c>
      <c r="AA749" s="40">
        <f t="shared" si="319"/>
        <v>0</v>
      </c>
      <c r="AB749" s="40">
        <f t="shared" si="320"/>
        <v>0</v>
      </c>
      <c r="AC749" s="40">
        <f t="shared" si="321"/>
        <v>0</v>
      </c>
      <c r="AD749" s="40">
        <f t="shared" si="322"/>
        <v>0</v>
      </c>
      <c r="AE749" s="40">
        <f t="shared" si="323"/>
        <v>0</v>
      </c>
      <c r="AF749" s="40">
        <f t="shared" si="324"/>
        <v>1</v>
      </c>
      <c r="AG749" s="40">
        <f t="shared" si="325"/>
        <v>0</v>
      </c>
      <c r="AH749" s="40">
        <f t="shared" si="326"/>
        <v>0</v>
      </c>
      <c r="AI749" s="40">
        <f t="shared" si="327"/>
        <v>0</v>
      </c>
      <c r="AJ749" s="40">
        <f t="shared" si="328"/>
        <v>0</v>
      </c>
      <c r="AK749" s="40">
        <f t="shared" si="329"/>
        <v>1</v>
      </c>
      <c r="AL749" s="40">
        <f t="shared" si="330"/>
        <v>0</v>
      </c>
      <c r="AM749" s="40">
        <f t="shared" si="331"/>
        <v>0</v>
      </c>
      <c r="AN749" s="40">
        <f t="shared" si="332"/>
        <v>0</v>
      </c>
      <c r="AO749" s="40">
        <f t="shared" si="333"/>
        <v>0</v>
      </c>
      <c r="AP749" s="40">
        <f t="shared" si="334"/>
        <v>0</v>
      </c>
      <c r="AQ749" s="40">
        <f t="shared" si="335"/>
        <v>0</v>
      </c>
      <c r="AR749" s="40">
        <f t="shared" si="336"/>
        <v>0</v>
      </c>
      <c r="AS749" s="40">
        <f t="shared" si="337"/>
        <v>0</v>
      </c>
    </row>
    <row r="750" spans="2:45" ht="14.4" customHeight="1" x14ac:dyDescent="0.25">
      <c r="B750" s="56" t="s">
        <v>45</v>
      </c>
      <c r="C750" s="57" t="s">
        <v>26</v>
      </c>
      <c r="D750" s="58" t="s">
        <v>32</v>
      </c>
      <c r="E750" s="62">
        <v>1.1860000000000002E-2</v>
      </c>
      <c r="F750" s="65">
        <f t="shared" si="338"/>
        <v>-4.4345838854125574</v>
      </c>
      <c r="S750" s="40">
        <f t="shared" si="311"/>
        <v>0</v>
      </c>
      <c r="T750" s="40">
        <f t="shared" si="312"/>
        <v>0</v>
      </c>
      <c r="U750" s="40">
        <f t="shared" si="313"/>
        <v>0</v>
      </c>
      <c r="V750" s="40">
        <f t="shared" si="314"/>
        <v>1</v>
      </c>
      <c r="W750" s="40">
        <f t="shared" si="315"/>
        <v>0</v>
      </c>
      <c r="X750" s="40">
        <f t="shared" si="316"/>
        <v>0</v>
      </c>
      <c r="Y750" s="40">
        <f t="shared" si="317"/>
        <v>0</v>
      </c>
      <c r="Z750" s="40">
        <f t="shared" si="318"/>
        <v>0</v>
      </c>
      <c r="AA750" s="40">
        <f t="shared" si="319"/>
        <v>0</v>
      </c>
      <c r="AB750" s="40">
        <f t="shared" si="320"/>
        <v>0</v>
      </c>
      <c r="AC750" s="40">
        <f t="shared" si="321"/>
        <v>0</v>
      </c>
      <c r="AD750" s="40">
        <f t="shared" si="322"/>
        <v>0</v>
      </c>
      <c r="AE750" s="40">
        <f t="shared" si="323"/>
        <v>0</v>
      </c>
      <c r="AF750" s="40">
        <f t="shared" si="324"/>
        <v>1</v>
      </c>
      <c r="AG750" s="40">
        <f t="shared" si="325"/>
        <v>0</v>
      </c>
      <c r="AH750" s="40">
        <f t="shared" si="326"/>
        <v>0</v>
      </c>
      <c r="AI750" s="40">
        <f t="shared" si="327"/>
        <v>0</v>
      </c>
      <c r="AJ750" s="40">
        <f t="shared" si="328"/>
        <v>0</v>
      </c>
      <c r="AK750" s="40">
        <f t="shared" si="329"/>
        <v>0</v>
      </c>
      <c r="AL750" s="40">
        <f t="shared" si="330"/>
        <v>0</v>
      </c>
      <c r="AM750" s="40">
        <f t="shared" si="331"/>
        <v>0</v>
      </c>
      <c r="AN750" s="40">
        <f t="shared" si="332"/>
        <v>0</v>
      </c>
      <c r="AO750" s="40">
        <f t="shared" si="333"/>
        <v>1</v>
      </c>
      <c r="AP750" s="40">
        <f t="shared" si="334"/>
        <v>0</v>
      </c>
      <c r="AQ750" s="40">
        <f t="shared" si="335"/>
        <v>0</v>
      </c>
      <c r="AR750" s="40">
        <f t="shared" si="336"/>
        <v>0</v>
      </c>
      <c r="AS750" s="40">
        <f t="shared" si="337"/>
        <v>0</v>
      </c>
    </row>
    <row r="751" spans="2:45" ht="14.4" customHeight="1" x14ac:dyDescent="0.25">
      <c r="B751" s="56" t="s">
        <v>45</v>
      </c>
      <c r="C751" s="57" t="s">
        <v>26</v>
      </c>
      <c r="D751" s="58" t="s">
        <v>31</v>
      </c>
      <c r="E751" s="62">
        <v>6.4400000000000004E-3</v>
      </c>
      <c r="F751" s="65">
        <f t="shared" si="338"/>
        <v>-5.0452267388658747</v>
      </c>
      <c r="S751" s="40">
        <f t="shared" si="311"/>
        <v>0</v>
      </c>
      <c r="T751" s="40">
        <f t="shared" si="312"/>
        <v>0</v>
      </c>
      <c r="U751" s="40">
        <f t="shared" si="313"/>
        <v>0</v>
      </c>
      <c r="V751" s="40">
        <f t="shared" si="314"/>
        <v>1</v>
      </c>
      <c r="W751" s="40">
        <f t="shared" si="315"/>
        <v>0</v>
      </c>
      <c r="X751" s="40">
        <f t="shared" si="316"/>
        <v>0</v>
      </c>
      <c r="Y751" s="40">
        <f t="shared" si="317"/>
        <v>0</v>
      </c>
      <c r="Z751" s="40">
        <f t="shared" si="318"/>
        <v>0</v>
      </c>
      <c r="AA751" s="40">
        <f t="shared" si="319"/>
        <v>0</v>
      </c>
      <c r="AB751" s="40">
        <f t="shared" si="320"/>
        <v>0</v>
      </c>
      <c r="AC751" s="40">
        <f t="shared" si="321"/>
        <v>0</v>
      </c>
      <c r="AD751" s="40">
        <f t="shared" si="322"/>
        <v>0</v>
      </c>
      <c r="AE751" s="40">
        <f t="shared" si="323"/>
        <v>0</v>
      </c>
      <c r="AF751" s="40">
        <f t="shared" si="324"/>
        <v>1</v>
      </c>
      <c r="AG751" s="40">
        <f t="shared" si="325"/>
        <v>0</v>
      </c>
      <c r="AH751" s="40">
        <f t="shared" si="326"/>
        <v>1</v>
      </c>
      <c r="AI751" s="40">
        <f t="shared" si="327"/>
        <v>0</v>
      </c>
      <c r="AJ751" s="40">
        <f t="shared" si="328"/>
        <v>0</v>
      </c>
      <c r="AK751" s="40">
        <f t="shared" si="329"/>
        <v>0</v>
      </c>
      <c r="AL751" s="40">
        <f t="shared" si="330"/>
        <v>0</v>
      </c>
      <c r="AM751" s="40">
        <f t="shared" si="331"/>
        <v>0</v>
      </c>
      <c r="AN751" s="40">
        <f t="shared" si="332"/>
        <v>0</v>
      </c>
      <c r="AO751" s="40">
        <f t="shared" si="333"/>
        <v>0</v>
      </c>
      <c r="AP751" s="40">
        <f t="shared" si="334"/>
        <v>0</v>
      </c>
      <c r="AQ751" s="40">
        <f t="shared" si="335"/>
        <v>0</v>
      </c>
      <c r="AR751" s="40">
        <f t="shared" si="336"/>
        <v>0</v>
      </c>
      <c r="AS751" s="40">
        <f t="shared" si="337"/>
        <v>0</v>
      </c>
    </row>
    <row r="752" spans="2:45" ht="14.4" customHeight="1" x14ac:dyDescent="0.25">
      <c r="B752" s="56" t="s">
        <v>45</v>
      </c>
      <c r="C752" s="57" t="s">
        <v>26</v>
      </c>
      <c r="D752" s="58" t="s">
        <v>27</v>
      </c>
      <c r="E752" s="62">
        <v>9.4800000000000023E-3</v>
      </c>
      <c r="F752" s="65">
        <f t="shared" si="338"/>
        <v>-4.6585709627152063</v>
      </c>
      <c r="S752" s="40">
        <f t="shared" si="311"/>
        <v>0</v>
      </c>
      <c r="T752" s="40">
        <f t="shared" si="312"/>
        <v>0</v>
      </c>
      <c r="U752" s="40">
        <f t="shared" si="313"/>
        <v>0</v>
      </c>
      <c r="V752" s="40">
        <f t="shared" si="314"/>
        <v>1</v>
      </c>
      <c r="W752" s="40">
        <f t="shared" si="315"/>
        <v>0</v>
      </c>
      <c r="X752" s="40">
        <f t="shared" si="316"/>
        <v>0</v>
      </c>
      <c r="Y752" s="40">
        <f t="shared" si="317"/>
        <v>0</v>
      </c>
      <c r="Z752" s="40">
        <f t="shared" si="318"/>
        <v>0</v>
      </c>
      <c r="AA752" s="40">
        <f t="shared" si="319"/>
        <v>0</v>
      </c>
      <c r="AB752" s="40">
        <f t="shared" si="320"/>
        <v>0</v>
      </c>
      <c r="AC752" s="40">
        <f t="shared" si="321"/>
        <v>0</v>
      </c>
      <c r="AD752" s="40">
        <f t="shared" si="322"/>
        <v>0</v>
      </c>
      <c r="AE752" s="40">
        <f t="shared" si="323"/>
        <v>0</v>
      </c>
      <c r="AF752" s="40">
        <f t="shared" si="324"/>
        <v>1</v>
      </c>
      <c r="AG752" s="40">
        <f t="shared" si="325"/>
        <v>0</v>
      </c>
      <c r="AH752" s="40">
        <f t="shared" si="326"/>
        <v>0</v>
      </c>
      <c r="AI752" s="40">
        <f t="shared" si="327"/>
        <v>0</v>
      </c>
      <c r="AJ752" s="40">
        <f t="shared" si="328"/>
        <v>0</v>
      </c>
      <c r="AK752" s="40">
        <f t="shared" si="329"/>
        <v>0</v>
      </c>
      <c r="AL752" s="40">
        <f t="shared" si="330"/>
        <v>1</v>
      </c>
      <c r="AM752" s="40">
        <f t="shared" si="331"/>
        <v>0</v>
      </c>
      <c r="AN752" s="40">
        <f t="shared" si="332"/>
        <v>0</v>
      </c>
      <c r="AO752" s="40">
        <f t="shared" si="333"/>
        <v>0</v>
      </c>
      <c r="AP752" s="40">
        <f t="shared" si="334"/>
        <v>0</v>
      </c>
      <c r="AQ752" s="40">
        <f t="shared" si="335"/>
        <v>0</v>
      </c>
      <c r="AR752" s="40">
        <f t="shared" si="336"/>
        <v>0</v>
      </c>
      <c r="AS752" s="40">
        <f t="shared" si="337"/>
        <v>0</v>
      </c>
    </row>
    <row r="753" spans="2:45" ht="14.4" customHeight="1" x14ac:dyDescent="0.25">
      <c r="B753" s="56" t="s">
        <v>45</v>
      </c>
      <c r="C753" s="57" t="s">
        <v>26</v>
      </c>
      <c r="D753" s="58" t="s">
        <v>24</v>
      </c>
      <c r="E753" s="62">
        <v>1.4380000000000002E-2</v>
      </c>
      <c r="F753" s="65">
        <f t="shared" si="338"/>
        <v>-4.2419169266892363</v>
      </c>
      <c r="S753" s="40">
        <f t="shared" si="311"/>
        <v>0</v>
      </c>
      <c r="T753" s="40">
        <f t="shared" si="312"/>
        <v>0</v>
      </c>
      <c r="U753" s="40">
        <f t="shared" si="313"/>
        <v>0</v>
      </c>
      <c r="V753" s="40">
        <f t="shared" si="314"/>
        <v>1</v>
      </c>
      <c r="W753" s="40">
        <f t="shared" si="315"/>
        <v>0</v>
      </c>
      <c r="X753" s="40">
        <f t="shared" si="316"/>
        <v>0</v>
      </c>
      <c r="Y753" s="40">
        <f t="shared" si="317"/>
        <v>0</v>
      </c>
      <c r="Z753" s="40">
        <f t="shared" si="318"/>
        <v>0</v>
      </c>
      <c r="AA753" s="40">
        <f t="shared" si="319"/>
        <v>0</v>
      </c>
      <c r="AB753" s="40">
        <f t="shared" si="320"/>
        <v>0</v>
      </c>
      <c r="AC753" s="40">
        <f t="shared" si="321"/>
        <v>0</v>
      </c>
      <c r="AD753" s="40">
        <f t="shared" si="322"/>
        <v>0</v>
      </c>
      <c r="AE753" s="40">
        <f t="shared" si="323"/>
        <v>0</v>
      </c>
      <c r="AF753" s="40">
        <f t="shared" si="324"/>
        <v>1</v>
      </c>
      <c r="AG753" s="40">
        <f t="shared" si="325"/>
        <v>0</v>
      </c>
      <c r="AH753" s="40">
        <f t="shared" si="326"/>
        <v>0</v>
      </c>
      <c r="AI753" s="40">
        <f t="shared" si="327"/>
        <v>0</v>
      </c>
      <c r="AJ753" s="40">
        <f t="shared" si="328"/>
        <v>0</v>
      </c>
      <c r="AK753" s="40">
        <f t="shared" si="329"/>
        <v>0</v>
      </c>
      <c r="AL753" s="40">
        <f t="shared" si="330"/>
        <v>0</v>
      </c>
      <c r="AM753" s="40">
        <f t="shared" si="331"/>
        <v>0</v>
      </c>
      <c r="AN753" s="40">
        <f t="shared" si="332"/>
        <v>0</v>
      </c>
      <c r="AO753" s="40">
        <f t="shared" si="333"/>
        <v>0</v>
      </c>
      <c r="AP753" s="40">
        <f t="shared" si="334"/>
        <v>0</v>
      </c>
      <c r="AQ753" s="40">
        <f t="shared" si="335"/>
        <v>0</v>
      </c>
      <c r="AR753" s="40">
        <f t="shared" si="336"/>
        <v>0</v>
      </c>
      <c r="AS753" s="40">
        <f t="shared" si="337"/>
        <v>1</v>
      </c>
    </row>
    <row r="754" spans="2:45" ht="14.4" customHeight="1" x14ac:dyDescent="0.25">
      <c r="B754" s="56" t="s">
        <v>45</v>
      </c>
      <c r="C754" s="57" t="s">
        <v>26</v>
      </c>
      <c r="D754" s="58" t="s">
        <v>22</v>
      </c>
      <c r="E754" s="62">
        <v>4.3200000000000009E-3</v>
      </c>
      <c r="F754" s="65">
        <f t="shared" si="338"/>
        <v>-5.4444998767261179</v>
      </c>
      <c r="S754" s="40">
        <f t="shared" si="311"/>
        <v>0</v>
      </c>
      <c r="T754" s="40">
        <f t="shared" si="312"/>
        <v>0</v>
      </c>
      <c r="U754" s="40">
        <f t="shared" si="313"/>
        <v>0</v>
      </c>
      <c r="V754" s="40">
        <f t="shared" si="314"/>
        <v>1</v>
      </c>
      <c r="W754" s="40">
        <f t="shared" si="315"/>
        <v>0</v>
      </c>
      <c r="X754" s="40">
        <f t="shared" si="316"/>
        <v>0</v>
      </c>
      <c r="Y754" s="40">
        <f t="shared" si="317"/>
        <v>0</v>
      </c>
      <c r="Z754" s="40">
        <f t="shared" si="318"/>
        <v>1</v>
      </c>
      <c r="AA754" s="40">
        <f t="shared" si="319"/>
        <v>0</v>
      </c>
      <c r="AB754" s="40">
        <f t="shared" si="320"/>
        <v>0</v>
      </c>
      <c r="AC754" s="40">
        <f t="shared" si="321"/>
        <v>0</v>
      </c>
      <c r="AD754" s="40">
        <f t="shared" si="322"/>
        <v>0</v>
      </c>
      <c r="AE754" s="40">
        <f t="shared" si="323"/>
        <v>0</v>
      </c>
      <c r="AF754" s="40">
        <f t="shared" si="324"/>
        <v>0</v>
      </c>
      <c r="AG754" s="40">
        <f t="shared" si="325"/>
        <v>0</v>
      </c>
      <c r="AH754" s="40">
        <f t="shared" si="326"/>
        <v>0</v>
      </c>
      <c r="AI754" s="40">
        <f t="shared" si="327"/>
        <v>0</v>
      </c>
      <c r="AJ754" s="40">
        <f t="shared" si="328"/>
        <v>0</v>
      </c>
      <c r="AK754" s="40">
        <f t="shared" si="329"/>
        <v>0</v>
      </c>
      <c r="AL754" s="40">
        <f t="shared" si="330"/>
        <v>1</v>
      </c>
      <c r="AM754" s="40">
        <f t="shared" si="331"/>
        <v>0</v>
      </c>
      <c r="AN754" s="40">
        <f t="shared" si="332"/>
        <v>0</v>
      </c>
      <c r="AO754" s="40">
        <f t="shared" si="333"/>
        <v>0</v>
      </c>
      <c r="AP754" s="40">
        <f t="shared" si="334"/>
        <v>0</v>
      </c>
      <c r="AQ754" s="40">
        <f t="shared" si="335"/>
        <v>0</v>
      </c>
      <c r="AR754" s="40">
        <f t="shared" si="336"/>
        <v>0</v>
      </c>
      <c r="AS754" s="40">
        <f t="shared" si="337"/>
        <v>0</v>
      </c>
    </row>
    <row r="755" spans="2:45" ht="14.4" customHeight="1" x14ac:dyDescent="0.25">
      <c r="B755" s="56" t="s">
        <v>45</v>
      </c>
      <c r="C755" s="57" t="s">
        <v>36</v>
      </c>
      <c r="D755" s="58" t="s">
        <v>24</v>
      </c>
      <c r="E755" s="62">
        <v>4.8099999999999983E-3</v>
      </c>
      <c r="F755" s="65">
        <f t="shared" si="338"/>
        <v>-5.3370581948644675</v>
      </c>
      <c r="S755" s="40">
        <f t="shared" si="311"/>
        <v>0</v>
      </c>
      <c r="T755" s="40">
        <f t="shared" si="312"/>
        <v>0</v>
      </c>
      <c r="U755" s="40">
        <f t="shared" si="313"/>
        <v>0</v>
      </c>
      <c r="V755" s="40">
        <f t="shared" si="314"/>
        <v>1</v>
      </c>
      <c r="W755" s="40">
        <f t="shared" si="315"/>
        <v>0</v>
      </c>
      <c r="X755" s="40">
        <f t="shared" si="316"/>
        <v>0</v>
      </c>
      <c r="Y755" s="40">
        <f t="shared" si="317"/>
        <v>0</v>
      </c>
      <c r="Z755" s="40">
        <f t="shared" si="318"/>
        <v>0</v>
      </c>
      <c r="AA755" s="40">
        <f t="shared" si="319"/>
        <v>0</v>
      </c>
      <c r="AB755" s="40">
        <f t="shared" si="320"/>
        <v>0</v>
      </c>
      <c r="AC755" s="40">
        <f t="shared" si="321"/>
        <v>1</v>
      </c>
      <c r="AD755" s="40">
        <f t="shared" si="322"/>
        <v>0</v>
      </c>
      <c r="AE755" s="40">
        <f t="shared" si="323"/>
        <v>0</v>
      </c>
      <c r="AF755" s="40">
        <f t="shared" si="324"/>
        <v>0</v>
      </c>
      <c r="AG755" s="40">
        <f t="shared" si="325"/>
        <v>0</v>
      </c>
      <c r="AH755" s="40">
        <f t="shared" si="326"/>
        <v>0</v>
      </c>
      <c r="AI755" s="40">
        <f t="shared" si="327"/>
        <v>0</v>
      </c>
      <c r="AJ755" s="40">
        <f t="shared" si="328"/>
        <v>0</v>
      </c>
      <c r="AK755" s="40">
        <f t="shared" si="329"/>
        <v>0</v>
      </c>
      <c r="AL755" s="40">
        <f t="shared" si="330"/>
        <v>0</v>
      </c>
      <c r="AM755" s="40">
        <f t="shared" si="331"/>
        <v>0</v>
      </c>
      <c r="AN755" s="40">
        <f t="shared" si="332"/>
        <v>0</v>
      </c>
      <c r="AO755" s="40">
        <f t="shared" si="333"/>
        <v>0</v>
      </c>
      <c r="AP755" s="40">
        <f t="shared" si="334"/>
        <v>0</v>
      </c>
      <c r="AQ755" s="40">
        <f t="shared" si="335"/>
        <v>1</v>
      </c>
      <c r="AR755" s="40">
        <f t="shared" si="336"/>
        <v>0</v>
      </c>
      <c r="AS755" s="40">
        <f t="shared" si="337"/>
        <v>0</v>
      </c>
    </row>
    <row r="756" spans="2:45" ht="14.4" customHeight="1" x14ac:dyDescent="0.25">
      <c r="B756" s="56" t="s">
        <v>45</v>
      </c>
      <c r="C756" s="57" t="s">
        <v>23</v>
      </c>
      <c r="D756" s="58" t="s">
        <v>30</v>
      </c>
      <c r="E756" s="62">
        <v>3.1499999999999996E-3</v>
      </c>
      <c r="F756" s="65">
        <f t="shared" si="338"/>
        <v>-5.7603528261445955</v>
      </c>
      <c r="S756" s="40">
        <f t="shared" si="311"/>
        <v>0</v>
      </c>
      <c r="T756" s="40">
        <f t="shared" si="312"/>
        <v>0</v>
      </c>
      <c r="U756" s="40">
        <f t="shared" si="313"/>
        <v>0</v>
      </c>
      <c r="V756" s="40">
        <f t="shared" si="314"/>
        <v>1</v>
      </c>
      <c r="W756" s="40">
        <f t="shared" si="315"/>
        <v>0</v>
      </c>
      <c r="X756" s="40">
        <f t="shared" si="316"/>
        <v>0</v>
      </c>
      <c r="Y756" s="40">
        <f t="shared" si="317"/>
        <v>0</v>
      </c>
      <c r="Z756" s="40">
        <f t="shared" si="318"/>
        <v>0</v>
      </c>
      <c r="AA756" s="40">
        <f t="shared" si="319"/>
        <v>0</v>
      </c>
      <c r="AB756" s="40">
        <f t="shared" si="320"/>
        <v>0</v>
      </c>
      <c r="AC756" s="40">
        <f t="shared" si="321"/>
        <v>0</v>
      </c>
      <c r="AD756" s="40">
        <f t="shared" si="322"/>
        <v>0</v>
      </c>
      <c r="AE756" s="40">
        <f t="shared" si="323"/>
        <v>0</v>
      </c>
      <c r="AF756" s="40">
        <f t="shared" si="324"/>
        <v>1</v>
      </c>
      <c r="AG756" s="40">
        <f t="shared" si="325"/>
        <v>0</v>
      </c>
      <c r="AH756" s="40">
        <f t="shared" si="326"/>
        <v>0</v>
      </c>
      <c r="AI756" s="40">
        <f t="shared" si="327"/>
        <v>0</v>
      </c>
      <c r="AJ756" s="40">
        <f t="shared" si="328"/>
        <v>1</v>
      </c>
      <c r="AK756" s="40">
        <f t="shared" si="329"/>
        <v>0</v>
      </c>
      <c r="AL756" s="40">
        <f t="shared" si="330"/>
        <v>0</v>
      </c>
      <c r="AM756" s="40">
        <f t="shared" si="331"/>
        <v>0</v>
      </c>
      <c r="AN756" s="40">
        <f t="shared" si="332"/>
        <v>0</v>
      </c>
      <c r="AO756" s="40">
        <f t="shared" si="333"/>
        <v>0</v>
      </c>
      <c r="AP756" s="40">
        <f t="shared" si="334"/>
        <v>0</v>
      </c>
      <c r="AQ756" s="40">
        <f t="shared" si="335"/>
        <v>0</v>
      </c>
      <c r="AR756" s="40">
        <f t="shared" si="336"/>
        <v>0</v>
      </c>
      <c r="AS756" s="40">
        <f t="shared" si="337"/>
        <v>0</v>
      </c>
    </row>
    <row r="757" spans="2:45" ht="14.4" customHeight="1" x14ac:dyDescent="0.25">
      <c r="B757" s="56" t="s">
        <v>45</v>
      </c>
      <c r="C757" s="57" t="s">
        <v>26</v>
      </c>
      <c r="D757" s="58" t="s">
        <v>37</v>
      </c>
      <c r="E757" s="62">
        <v>1.4460000000000001E-2</v>
      </c>
      <c r="F757" s="65">
        <f t="shared" si="338"/>
        <v>-4.2363690622515184</v>
      </c>
      <c r="S757" s="40">
        <f t="shared" si="311"/>
        <v>0</v>
      </c>
      <c r="T757" s="40">
        <f t="shared" si="312"/>
        <v>0</v>
      </c>
      <c r="U757" s="40">
        <f t="shared" si="313"/>
        <v>0</v>
      </c>
      <c r="V757" s="40">
        <f t="shared" si="314"/>
        <v>1</v>
      </c>
      <c r="W757" s="40">
        <f t="shared" si="315"/>
        <v>0</v>
      </c>
      <c r="X757" s="40">
        <f t="shared" si="316"/>
        <v>0</v>
      </c>
      <c r="Y757" s="40">
        <f t="shared" si="317"/>
        <v>0</v>
      </c>
      <c r="Z757" s="40">
        <f t="shared" si="318"/>
        <v>0</v>
      </c>
      <c r="AA757" s="40">
        <f t="shared" si="319"/>
        <v>0</v>
      </c>
      <c r="AB757" s="40">
        <f t="shared" si="320"/>
        <v>0</v>
      </c>
      <c r="AC757" s="40">
        <f t="shared" si="321"/>
        <v>0</v>
      </c>
      <c r="AD757" s="40">
        <f t="shared" si="322"/>
        <v>0</v>
      </c>
      <c r="AE757" s="40">
        <f t="shared" si="323"/>
        <v>0</v>
      </c>
      <c r="AF757" s="40">
        <f t="shared" si="324"/>
        <v>1</v>
      </c>
      <c r="AG757" s="40">
        <f t="shared" si="325"/>
        <v>0</v>
      </c>
      <c r="AH757" s="40">
        <f t="shared" si="326"/>
        <v>0</v>
      </c>
      <c r="AI757" s="40">
        <f t="shared" si="327"/>
        <v>0</v>
      </c>
      <c r="AJ757" s="40">
        <f t="shared" si="328"/>
        <v>0</v>
      </c>
      <c r="AK757" s="40">
        <f t="shared" si="329"/>
        <v>0</v>
      </c>
      <c r="AL757" s="40">
        <f t="shared" si="330"/>
        <v>0</v>
      </c>
      <c r="AM757" s="40">
        <f t="shared" si="331"/>
        <v>0</v>
      </c>
      <c r="AN757" s="40">
        <f t="shared" si="332"/>
        <v>0</v>
      </c>
      <c r="AO757" s="40">
        <f t="shared" si="333"/>
        <v>1</v>
      </c>
      <c r="AP757" s="40">
        <f t="shared" si="334"/>
        <v>0</v>
      </c>
      <c r="AQ757" s="40">
        <f t="shared" si="335"/>
        <v>0</v>
      </c>
      <c r="AR757" s="40">
        <f t="shared" si="336"/>
        <v>0</v>
      </c>
      <c r="AS757" s="40">
        <f t="shared" si="337"/>
        <v>0</v>
      </c>
    </row>
    <row r="758" spans="2:45" ht="14.4" customHeight="1" x14ac:dyDescent="0.25">
      <c r="B758" s="56" t="s">
        <v>45</v>
      </c>
      <c r="C758" s="57" t="s">
        <v>26</v>
      </c>
      <c r="D758" s="58" t="s">
        <v>31</v>
      </c>
      <c r="E758" s="62">
        <v>8.7300000000000034E-3</v>
      </c>
      <c r="F758" s="65">
        <f t="shared" si="338"/>
        <v>-4.7409899091306258</v>
      </c>
      <c r="S758" s="40">
        <f t="shared" si="311"/>
        <v>0</v>
      </c>
      <c r="T758" s="40">
        <f t="shared" si="312"/>
        <v>0</v>
      </c>
      <c r="U758" s="40">
        <f t="shared" si="313"/>
        <v>0</v>
      </c>
      <c r="V758" s="40">
        <f t="shared" si="314"/>
        <v>1</v>
      </c>
      <c r="W758" s="40">
        <f t="shared" si="315"/>
        <v>0</v>
      </c>
      <c r="X758" s="40">
        <f t="shared" si="316"/>
        <v>0</v>
      </c>
      <c r="Y758" s="40">
        <f t="shared" si="317"/>
        <v>0</v>
      </c>
      <c r="Z758" s="40">
        <f t="shared" si="318"/>
        <v>0</v>
      </c>
      <c r="AA758" s="40">
        <f t="shared" si="319"/>
        <v>0</v>
      </c>
      <c r="AB758" s="40">
        <f t="shared" si="320"/>
        <v>0</v>
      </c>
      <c r="AC758" s="40">
        <f t="shared" si="321"/>
        <v>0</v>
      </c>
      <c r="AD758" s="40">
        <f t="shared" si="322"/>
        <v>0</v>
      </c>
      <c r="AE758" s="40">
        <f t="shared" si="323"/>
        <v>0</v>
      </c>
      <c r="AF758" s="40">
        <f t="shared" si="324"/>
        <v>1</v>
      </c>
      <c r="AG758" s="40">
        <f t="shared" si="325"/>
        <v>0</v>
      </c>
      <c r="AH758" s="40">
        <f t="shared" si="326"/>
        <v>0</v>
      </c>
      <c r="AI758" s="40">
        <f t="shared" si="327"/>
        <v>1</v>
      </c>
      <c r="AJ758" s="40">
        <f t="shared" si="328"/>
        <v>0</v>
      </c>
      <c r="AK758" s="40">
        <f t="shared" si="329"/>
        <v>0</v>
      </c>
      <c r="AL758" s="40">
        <f t="shared" si="330"/>
        <v>0</v>
      </c>
      <c r="AM758" s="40">
        <f t="shared" si="331"/>
        <v>0</v>
      </c>
      <c r="AN758" s="40">
        <f t="shared" si="332"/>
        <v>0</v>
      </c>
      <c r="AO758" s="40">
        <f t="shared" si="333"/>
        <v>0</v>
      </c>
      <c r="AP758" s="40">
        <f t="shared" si="334"/>
        <v>0</v>
      </c>
      <c r="AQ758" s="40">
        <f t="shared" si="335"/>
        <v>0</v>
      </c>
      <c r="AR758" s="40">
        <f t="shared" si="336"/>
        <v>0</v>
      </c>
      <c r="AS758" s="40">
        <f t="shared" si="337"/>
        <v>0</v>
      </c>
    </row>
    <row r="759" spans="2:45" ht="14.4" customHeight="1" x14ac:dyDescent="0.25">
      <c r="B759" s="56" t="s">
        <v>45</v>
      </c>
      <c r="C759" s="57" t="s">
        <v>26</v>
      </c>
      <c r="D759" s="58" t="s">
        <v>28</v>
      </c>
      <c r="E759" s="62">
        <v>4.7200000000000011E-3</v>
      </c>
      <c r="F759" s="65">
        <f t="shared" si="338"/>
        <v>-5.3559464793846727</v>
      </c>
      <c r="S759" s="40">
        <f t="shared" si="311"/>
        <v>0</v>
      </c>
      <c r="T759" s="40">
        <f t="shared" si="312"/>
        <v>0</v>
      </c>
      <c r="U759" s="40">
        <f t="shared" si="313"/>
        <v>0</v>
      </c>
      <c r="V759" s="40">
        <f t="shared" si="314"/>
        <v>1</v>
      </c>
      <c r="W759" s="40">
        <f t="shared" si="315"/>
        <v>0</v>
      </c>
      <c r="X759" s="40">
        <f t="shared" si="316"/>
        <v>0</v>
      </c>
      <c r="Y759" s="40">
        <f t="shared" si="317"/>
        <v>0</v>
      </c>
      <c r="Z759" s="40">
        <f t="shared" si="318"/>
        <v>0</v>
      </c>
      <c r="AA759" s="40">
        <f t="shared" si="319"/>
        <v>0</v>
      </c>
      <c r="AB759" s="40">
        <f t="shared" si="320"/>
        <v>0</v>
      </c>
      <c r="AC759" s="40">
        <f t="shared" si="321"/>
        <v>0</v>
      </c>
      <c r="AD759" s="40">
        <f t="shared" si="322"/>
        <v>0</v>
      </c>
      <c r="AE759" s="40">
        <f t="shared" si="323"/>
        <v>0</v>
      </c>
      <c r="AF759" s="40">
        <f t="shared" si="324"/>
        <v>1</v>
      </c>
      <c r="AG759" s="40">
        <f t="shared" si="325"/>
        <v>0</v>
      </c>
      <c r="AH759" s="40">
        <f t="shared" si="326"/>
        <v>0</v>
      </c>
      <c r="AI759" s="40">
        <f t="shared" si="327"/>
        <v>1</v>
      </c>
      <c r="AJ759" s="40">
        <f t="shared" si="328"/>
        <v>0</v>
      </c>
      <c r="AK759" s="40">
        <f t="shared" si="329"/>
        <v>0</v>
      </c>
      <c r="AL759" s="40">
        <f t="shared" si="330"/>
        <v>0</v>
      </c>
      <c r="AM759" s="40">
        <f t="shared" si="331"/>
        <v>0</v>
      </c>
      <c r="AN759" s="40">
        <f t="shared" si="332"/>
        <v>0</v>
      </c>
      <c r="AO759" s="40">
        <f t="shared" si="333"/>
        <v>0</v>
      </c>
      <c r="AP759" s="40">
        <f t="shared" si="334"/>
        <v>0</v>
      </c>
      <c r="AQ759" s="40">
        <f t="shared" si="335"/>
        <v>0</v>
      </c>
      <c r="AR759" s="40">
        <f t="shared" si="336"/>
        <v>0</v>
      </c>
      <c r="AS759" s="40">
        <f t="shared" si="337"/>
        <v>0</v>
      </c>
    </row>
    <row r="760" spans="2:45" ht="14.4" customHeight="1" x14ac:dyDescent="0.25">
      <c r="B760" s="56" t="s">
        <v>45</v>
      </c>
      <c r="C760" s="57" t="s">
        <v>26</v>
      </c>
      <c r="D760" s="58" t="s">
        <v>28</v>
      </c>
      <c r="E760" s="62">
        <v>1.4079999999999995E-2</v>
      </c>
      <c r="F760" s="65">
        <f t="shared" si="338"/>
        <v>-4.2629999282522411</v>
      </c>
      <c r="S760" s="40">
        <f t="shared" si="311"/>
        <v>0</v>
      </c>
      <c r="T760" s="40">
        <f t="shared" si="312"/>
        <v>0</v>
      </c>
      <c r="U760" s="40">
        <f t="shared" si="313"/>
        <v>0</v>
      </c>
      <c r="V760" s="40">
        <f t="shared" si="314"/>
        <v>1</v>
      </c>
      <c r="W760" s="40">
        <f t="shared" si="315"/>
        <v>0</v>
      </c>
      <c r="X760" s="40">
        <f t="shared" si="316"/>
        <v>0</v>
      </c>
      <c r="Y760" s="40">
        <f t="shared" si="317"/>
        <v>0</v>
      </c>
      <c r="Z760" s="40">
        <f t="shared" si="318"/>
        <v>0</v>
      </c>
      <c r="AA760" s="40">
        <f t="shared" si="319"/>
        <v>0</v>
      </c>
      <c r="AB760" s="40">
        <f t="shared" si="320"/>
        <v>0</v>
      </c>
      <c r="AC760" s="40">
        <f t="shared" si="321"/>
        <v>0</v>
      </c>
      <c r="AD760" s="40">
        <f t="shared" si="322"/>
        <v>0</v>
      </c>
      <c r="AE760" s="40">
        <f t="shared" si="323"/>
        <v>0</v>
      </c>
      <c r="AF760" s="40">
        <f t="shared" si="324"/>
        <v>1</v>
      </c>
      <c r="AG760" s="40">
        <f t="shared" si="325"/>
        <v>0</v>
      </c>
      <c r="AH760" s="40">
        <f t="shared" si="326"/>
        <v>0</v>
      </c>
      <c r="AI760" s="40">
        <f t="shared" si="327"/>
        <v>0</v>
      </c>
      <c r="AJ760" s="40">
        <f t="shared" si="328"/>
        <v>0</v>
      </c>
      <c r="AK760" s="40">
        <f t="shared" si="329"/>
        <v>0</v>
      </c>
      <c r="AL760" s="40">
        <f t="shared" si="330"/>
        <v>0</v>
      </c>
      <c r="AM760" s="40">
        <f t="shared" si="331"/>
        <v>0</v>
      </c>
      <c r="AN760" s="40">
        <f t="shared" si="332"/>
        <v>0</v>
      </c>
      <c r="AO760" s="40">
        <f t="shared" si="333"/>
        <v>0</v>
      </c>
      <c r="AP760" s="40">
        <f t="shared" si="334"/>
        <v>0</v>
      </c>
      <c r="AQ760" s="40">
        <f t="shared" si="335"/>
        <v>0</v>
      </c>
      <c r="AR760" s="40">
        <f t="shared" si="336"/>
        <v>0</v>
      </c>
      <c r="AS760" s="40">
        <f t="shared" si="337"/>
        <v>1</v>
      </c>
    </row>
    <row r="761" spans="2:45" ht="14.4" customHeight="1" x14ac:dyDescent="0.25">
      <c r="B761" s="56" t="s">
        <v>45</v>
      </c>
      <c r="C761" s="57" t="s">
        <v>26</v>
      </c>
      <c r="D761" s="58" t="s">
        <v>22</v>
      </c>
      <c r="E761" s="62">
        <v>8.8199999999999997E-3</v>
      </c>
      <c r="F761" s="65">
        <f t="shared" si="338"/>
        <v>-4.7307334089634372</v>
      </c>
      <c r="S761" s="40">
        <f t="shared" si="311"/>
        <v>0</v>
      </c>
      <c r="T761" s="40">
        <f t="shared" si="312"/>
        <v>0</v>
      </c>
      <c r="U761" s="40">
        <f t="shared" si="313"/>
        <v>0</v>
      </c>
      <c r="V761" s="40">
        <f t="shared" si="314"/>
        <v>1</v>
      </c>
      <c r="W761" s="40">
        <f t="shared" si="315"/>
        <v>0</v>
      </c>
      <c r="X761" s="40">
        <f t="shared" si="316"/>
        <v>0</v>
      </c>
      <c r="Y761" s="40">
        <f t="shared" si="317"/>
        <v>0</v>
      </c>
      <c r="Z761" s="40">
        <f t="shared" si="318"/>
        <v>0</v>
      </c>
      <c r="AA761" s="40">
        <f t="shared" si="319"/>
        <v>0</v>
      </c>
      <c r="AB761" s="40">
        <f t="shared" si="320"/>
        <v>0</v>
      </c>
      <c r="AC761" s="40">
        <f t="shared" si="321"/>
        <v>0</v>
      </c>
      <c r="AD761" s="40">
        <f t="shared" si="322"/>
        <v>0</v>
      </c>
      <c r="AE761" s="40">
        <f t="shared" si="323"/>
        <v>0</v>
      </c>
      <c r="AF761" s="40">
        <f t="shared" si="324"/>
        <v>1</v>
      </c>
      <c r="AG761" s="40">
        <f t="shared" si="325"/>
        <v>0</v>
      </c>
      <c r="AH761" s="40">
        <f t="shared" si="326"/>
        <v>0</v>
      </c>
      <c r="AI761" s="40">
        <f t="shared" si="327"/>
        <v>0</v>
      </c>
      <c r="AJ761" s="40">
        <f t="shared" si="328"/>
        <v>0</v>
      </c>
      <c r="AK761" s="40">
        <f t="shared" si="329"/>
        <v>0</v>
      </c>
      <c r="AL761" s="40">
        <f t="shared" si="330"/>
        <v>0</v>
      </c>
      <c r="AM761" s="40">
        <f t="shared" si="331"/>
        <v>0</v>
      </c>
      <c r="AN761" s="40">
        <f t="shared" si="332"/>
        <v>0</v>
      </c>
      <c r="AO761" s="40">
        <f t="shared" si="333"/>
        <v>0</v>
      </c>
      <c r="AP761" s="40">
        <f t="shared" si="334"/>
        <v>0</v>
      </c>
      <c r="AQ761" s="40">
        <f t="shared" si="335"/>
        <v>0</v>
      </c>
      <c r="AR761" s="40">
        <f t="shared" si="336"/>
        <v>0</v>
      </c>
      <c r="AS761" s="40">
        <f t="shared" si="337"/>
        <v>1</v>
      </c>
    </row>
    <row r="762" spans="2:45" ht="14.4" customHeight="1" x14ac:dyDescent="0.25">
      <c r="B762" s="56" t="s">
        <v>45</v>
      </c>
      <c r="C762" s="57" t="s">
        <v>26</v>
      </c>
      <c r="D762" s="58" t="s">
        <v>22</v>
      </c>
      <c r="E762" s="62">
        <v>2.8299999999999996E-3</v>
      </c>
      <c r="F762" s="65">
        <f t="shared" si="338"/>
        <v>-5.8674785673269909</v>
      </c>
      <c r="S762" s="40">
        <f t="shared" si="311"/>
        <v>0</v>
      </c>
      <c r="T762" s="40">
        <f t="shared" si="312"/>
        <v>0</v>
      </c>
      <c r="U762" s="40">
        <f t="shared" si="313"/>
        <v>0</v>
      </c>
      <c r="V762" s="40">
        <f t="shared" si="314"/>
        <v>1</v>
      </c>
      <c r="W762" s="40">
        <f t="shared" si="315"/>
        <v>0</v>
      </c>
      <c r="X762" s="40">
        <f t="shared" si="316"/>
        <v>0</v>
      </c>
      <c r="Y762" s="40">
        <f t="shared" si="317"/>
        <v>0</v>
      </c>
      <c r="Z762" s="40">
        <f t="shared" si="318"/>
        <v>0</v>
      </c>
      <c r="AA762" s="40">
        <f t="shared" si="319"/>
        <v>0</v>
      </c>
      <c r="AB762" s="40">
        <f t="shared" si="320"/>
        <v>0</v>
      </c>
      <c r="AC762" s="40">
        <f t="shared" si="321"/>
        <v>0</v>
      </c>
      <c r="AD762" s="40">
        <f t="shared" si="322"/>
        <v>0</v>
      </c>
      <c r="AE762" s="40">
        <f t="shared" si="323"/>
        <v>0</v>
      </c>
      <c r="AF762" s="40">
        <f t="shared" si="324"/>
        <v>1</v>
      </c>
      <c r="AG762" s="40">
        <f t="shared" si="325"/>
        <v>0</v>
      </c>
      <c r="AH762" s="40">
        <f t="shared" si="326"/>
        <v>0</v>
      </c>
      <c r="AI762" s="40">
        <f t="shared" si="327"/>
        <v>0</v>
      </c>
      <c r="AJ762" s="40">
        <f t="shared" si="328"/>
        <v>1</v>
      </c>
      <c r="AK762" s="40">
        <f t="shared" si="329"/>
        <v>0</v>
      </c>
      <c r="AL762" s="40">
        <f t="shared" si="330"/>
        <v>0</v>
      </c>
      <c r="AM762" s="40">
        <f t="shared" si="331"/>
        <v>0</v>
      </c>
      <c r="AN762" s="40">
        <f t="shared" si="332"/>
        <v>0</v>
      </c>
      <c r="AO762" s="40">
        <f t="shared" si="333"/>
        <v>0</v>
      </c>
      <c r="AP762" s="40">
        <f t="shared" si="334"/>
        <v>0</v>
      </c>
      <c r="AQ762" s="40">
        <f t="shared" si="335"/>
        <v>0</v>
      </c>
      <c r="AR762" s="40">
        <f t="shared" si="336"/>
        <v>0</v>
      </c>
      <c r="AS762" s="40">
        <f t="shared" si="337"/>
        <v>0</v>
      </c>
    </row>
    <row r="763" spans="2:45" ht="14.4" customHeight="1" x14ac:dyDescent="0.25">
      <c r="B763" s="56" t="s">
        <v>45</v>
      </c>
      <c r="C763" s="57" t="s">
        <v>26</v>
      </c>
      <c r="D763" s="58" t="s">
        <v>37</v>
      </c>
      <c r="E763" s="62">
        <v>5.8299999999999975E-3</v>
      </c>
      <c r="F763" s="65">
        <f t="shared" si="338"/>
        <v>-5.1447382786197364</v>
      </c>
      <c r="S763" s="40">
        <f t="shared" si="311"/>
        <v>0</v>
      </c>
      <c r="T763" s="40">
        <f t="shared" si="312"/>
        <v>0</v>
      </c>
      <c r="U763" s="40">
        <f t="shared" si="313"/>
        <v>0</v>
      </c>
      <c r="V763" s="40">
        <f t="shared" si="314"/>
        <v>1</v>
      </c>
      <c r="W763" s="40">
        <f t="shared" si="315"/>
        <v>0</v>
      </c>
      <c r="X763" s="40">
        <f t="shared" si="316"/>
        <v>0</v>
      </c>
      <c r="Y763" s="40">
        <f t="shared" si="317"/>
        <v>0</v>
      </c>
      <c r="Z763" s="40">
        <f t="shared" si="318"/>
        <v>0</v>
      </c>
      <c r="AA763" s="40">
        <f t="shared" si="319"/>
        <v>0</v>
      </c>
      <c r="AB763" s="40">
        <f t="shared" si="320"/>
        <v>0</v>
      </c>
      <c r="AC763" s="40">
        <f t="shared" si="321"/>
        <v>0</v>
      </c>
      <c r="AD763" s="40">
        <f t="shared" si="322"/>
        <v>0</v>
      </c>
      <c r="AE763" s="40">
        <f t="shared" si="323"/>
        <v>0</v>
      </c>
      <c r="AF763" s="40">
        <f t="shared" si="324"/>
        <v>1</v>
      </c>
      <c r="AG763" s="40">
        <f t="shared" si="325"/>
        <v>0</v>
      </c>
      <c r="AH763" s="40">
        <f t="shared" si="326"/>
        <v>0</v>
      </c>
      <c r="AI763" s="40">
        <f t="shared" si="327"/>
        <v>0</v>
      </c>
      <c r="AJ763" s="40">
        <f t="shared" si="328"/>
        <v>0</v>
      </c>
      <c r="AK763" s="40">
        <f t="shared" si="329"/>
        <v>0</v>
      </c>
      <c r="AL763" s="40">
        <f t="shared" si="330"/>
        <v>0</v>
      </c>
      <c r="AM763" s="40">
        <f t="shared" si="331"/>
        <v>0</v>
      </c>
      <c r="AN763" s="40">
        <f t="shared" si="332"/>
        <v>0</v>
      </c>
      <c r="AO763" s="40">
        <f t="shared" si="333"/>
        <v>1</v>
      </c>
      <c r="AP763" s="40">
        <f t="shared" si="334"/>
        <v>0</v>
      </c>
      <c r="AQ763" s="40">
        <f t="shared" si="335"/>
        <v>0</v>
      </c>
      <c r="AR763" s="40">
        <f t="shared" si="336"/>
        <v>0</v>
      </c>
      <c r="AS763" s="40">
        <f t="shared" si="337"/>
        <v>0</v>
      </c>
    </row>
    <row r="764" spans="2:45" ht="14.4" customHeight="1" x14ac:dyDescent="0.25">
      <c r="B764" s="56" t="s">
        <v>45</v>
      </c>
      <c r="C764" s="57" t="s">
        <v>26</v>
      </c>
      <c r="D764" s="58" t="s">
        <v>31</v>
      </c>
      <c r="E764" s="62">
        <v>7.440000000000003E-3</v>
      </c>
      <c r="F764" s="65">
        <f t="shared" si="338"/>
        <v>-4.9008844301371361</v>
      </c>
      <c r="S764" s="40">
        <f t="shared" si="311"/>
        <v>0</v>
      </c>
      <c r="T764" s="40">
        <f t="shared" si="312"/>
        <v>0</v>
      </c>
      <c r="U764" s="40">
        <f t="shared" si="313"/>
        <v>0</v>
      </c>
      <c r="V764" s="40">
        <f t="shared" si="314"/>
        <v>1</v>
      </c>
      <c r="W764" s="40">
        <f t="shared" si="315"/>
        <v>0</v>
      </c>
      <c r="X764" s="40">
        <f t="shared" si="316"/>
        <v>0</v>
      </c>
      <c r="Y764" s="40">
        <f t="shared" si="317"/>
        <v>0</v>
      </c>
      <c r="Z764" s="40">
        <f t="shared" si="318"/>
        <v>0</v>
      </c>
      <c r="AA764" s="40">
        <f t="shared" si="319"/>
        <v>0</v>
      </c>
      <c r="AB764" s="40">
        <f t="shared" si="320"/>
        <v>0</v>
      </c>
      <c r="AC764" s="40">
        <f t="shared" si="321"/>
        <v>0</v>
      </c>
      <c r="AD764" s="40">
        <f t="shared" si="322"/>
        <v>0</v>
      </c>
      <c r="AE764" s="40">
        <f t="shared" si="323"/>
        <v>0</v>
      </c>
      <c r="AF764" s="40">
        <f t="shared" si="324"/>
        <v>1</v>
      </c>
      <c r="AG764" s="40">
        <f t="shared" si="325"/>
        <v>0</v>
      </c>
      <c r="AH764" s="40">
        <f t="shared" si="326"/>
        <v>0</v>
      </c>
      <c r="AI764" s="40">
        <f t="shared" si="327"/>
        <v>0</v>
      </c>
      <c r="AJ764" s="40">
        <f t="shared" si="328"/>
        <v>0</v>
      </c>
      <c r="AK764" s="40">
        <f t="shared" si="329"/>
        <v>0</v>
      </c>
      <c r="AL764" s="40">
        <f t="shared" si="330"/>
        <v>1</v>
      </c>
      <c r="AM764" s="40">
        <f t="shared" si="331"/>
        <v>0</v>
      </c>
      <c r="AN764" s="40">
        <f t="shared" si="332"/>
        <v>0</v>
      </c>
      <c r="AO764" s="40">
        <f t="shared" si="333"/>
        <v>0</v>
      </c>
      <c r="AP764" s="40">
        <f t="shared" si="334"/>
        <v>0</v>
      </c>
      <c r="AQ764" s="40">
        <f t="shared" si="335"/>
        <v>0</v>
      </c>
      <c r="AR764" s="40">
        <f t="shared" si="336"/>
        <v>0</v>
      </c>
      <c r="AS764" s="40">
        <f t="shared" si="337"/>
        <v>0</v>
      </c>
    </row>
    <row r="765" spans="2:45" ht="14.4" customHeight="1" x14ac:dyDescent="0.25">
      <c r="B765" s="56" t="s">
        <v>45</v>
      </c>
      <c r="C765" s="57" t="s">
        <v>26</v>
      </c>
      <c r="D765" s="58" t="s">
        <v>24</v>
      </c>
      <c r="E765" s="62">
        <v>1.4650000000000005E-2</v>
      </c>
      <c r="F765" s="65">
        <f t="shared" si="338"/>
        <v>-4.2233149435190604</v>
      </c>
      <c r="S765" s="40">
        <f t="shared" si="311"/>
        <v>0</v>
      </c>
      <c r="T765" s="40">
        <f t="shared" si="312"/>
        <v>0</v>
      </c>
      <c r="U765" s="40">
        <f t="shared" si="313"/>
        <v>0</v>
      </c>
      <c r="V765" s="40">
        <f t="shared" si="314"/>
        <v>1</v>
      </c>
      <c r="W765" s="40">
        <f t="shared" si="315"/>
        <v>0</v>
      </c>
      <c r="X765" s="40">
        <f t="shared" si="316"/>
        <v>0</v>
      </c>
      <c r="Y765" s="40">
        <f t="shared" si="317"/>
        <v>0</v>
      </c>
      <c r="Z765" s="40">
        <f t="shared" si="318"/>
        <v>0</v>
      </c>
      <c r="AA765" s="40">
        <f t="shared" si="319"/>
        <v>0</v>
      </c>
      <c r="AB765" s="40">
        <f t="shared" si="320"/>
        <v>0</v>
      </c>
      <c r="AC765" s="40">
        <f t="shared" si="321"/>
        <v>0</v>
      </c>
      <c r="AD765" s="40">
        <f t="shared" si="322"/>
        <v>0</v>
      </c>
      <c r="AE765" s="40">
        <f t="shared" si="323"/>
        <v>0</v>
      </c>
      <c r="AF765" s="40">
        <f t="shared" si="324"/>
        <v>1</v>
      </c>
      <c r="AG765" s="40">
        <f t="shared" si="325"/>
        <v>0</v>
      </c>
      <c r="AH765" s="40">
        <f t="shared" si="326"/>
        <v>0</v>
      </c>
      <c r="AI765" s="40">
        <f t="shared" si="327"/>
        <v>0</v>
      </c>
      <c r="AJ765" s="40">
        <f t="shared" si="328"/>
        <v>0</v>
      </c>
      <c r="AK765" s="40">
        <f t="shared" si="329"/>
        <v>0</v>
      </c>
      <c r="AL765" s="40">
        <f t="shared" si="330"/>
        <v>1</v>
      </c>
      <c r="AM765" s="40">
        <f t="shared" si="331"/>
        <v>0</v>
      </c>
      <c r="AN765" s="40">
        <f t="shared" si="332"/>
        <v>0</v>
      </c>
      <c r="AO765" s="40">
        <f t="shared" si="333"/>
        <v>0</v>
      </c>
      <c r="AP765" s="40">
        <f t="shared" si="334"/>
        <v>0</v>
      </c>
      <c r="AQ765" s="40">
        <f t="shared" si="335"/>
        <v>0</v>
      </c>
      <c r="AR765" s="40">
        <f t="shared" si="336"/>
        <v>0</v>
      </c>
      <c r="AS765" s="40">
        <f t="shared" si="337"/>
        <v>0</v>
      </c>
    </row>
    <row r="766" spans="2:45" ht="14.4" customHeight="1" x14ac:dyDescent="0.25">
      <c r="B766" s="56" t="s">
        <v>45</v>
      </c>
      <c r="C766" s="57" t="s">
        <v>26</v>
      </c>
      <c r="D766" s="58" t="s">
        <v>24</v>
      </c>
      <c r="E766" s="62">
        <v>1.2319999999999994E-2</v>
      </c>
      <c r="F766" s="65">
        <f t="shared" si="338"/>
        <v>-4.3965313208767638</v>
      </c>
      <c r="S766" s="40">
        <f t="shared" si="311"/>
        <v>0</v>
      </c>
      <c r="T766" s="40">
        <f t="shared" si="312"/>
        <v>0</v>
      </c>
      <c r="U766" s="40">
        <f t="shared" si="313"/>
        <v>0</v>
      </c>
      <c r="V766" s="40">
        <f t="shared" si="314"/>
        <v>1</v>
      </c>
      <c r="W766" s="40">
        <f t="shared" si="315"/>
        <v>0</v>
      </c>
      <c r="X766" s="40">
        <f t="shared" si="316"/>
        <v>0</v>
      </c>
      <c r="Y766" s="40">
        <f t="shared" si="317"/>
        <v>0</v>
      </c>
      <c r="Z766" s="40">
        <f t="shared" si="318"/>
        <v>0</v>
      </c>
      <c r="AA766" s="40">
        <f t="shared" si="319"/>
        <v>0</v>
      </c>
      <c r="AB766" s="40">
        <f t="shared" si="320"/>
        <v>0</v>
      </c>
      <c r="AC766" s="40">
        <f t="shared" si="321"/>
        <v>0</v>
      </c>
      <c r="AD766" s="40">
        <f t="shared" si="322"/>
        <v>0</v>
      </c>
      <c r="AE766" s="40">
        <f t="shared" si="323"/>
        <v>0</v>
      </c>
      <c r="AF766" s="40">
        <f t="shared" si="324"/>
        <v>1</v>
      </c>
      <c r="AG766" s="40">
        <f t="shared" si="325"/>
        <v>0</v>
      </c>
      <c r="AH766" s="40">
        <f t="shared" si="326"/>
        <v>0</v>
      </c>
      <c r="AI766" s="40">
        <f t="shared" si="327"/>
        <v>0</v>
      </c>
      <c r="AJ766" s="40">
        <f t="shared" si="328"/>
        <v>0</v>
      </c>
      <c r="AK766" s="40">
        <f t="shared" si="329"/>
        <v>0</v>
      </c>
      <c r="AL766" s="40">
        <f t="shared" si="330"/>
        <v>0</v>
      </c>
      <c r="AM766" s="40">
        <f t="shared" si="331"/>
        <v>0</v>
      </c>
      <c r="AN766" s="40">
        <f t="shared" si="332"/>
        <v>0</v>
      </c>
      <c r="AO766" s="40">
        <f t="shared" si="333"/>
        <v>0</v>
      </c>
      <c r="AP766" s="40">
        <f t="shared" si="334"/>
        <v>0</v>
      </c>
      <c r="AQ766" s="40">
        <f t="shared" si="335"/>
        <v>1</v>
      </c>
      <c r="AR766" s="40">
        <f t="shared" si="336"/>
        <v>0</v>
      </c>
      <c r="AS766" s="40">
        <f t="shared" si="337"/>
        <v>0</v>
      </c>
    </row>
    <row r="767" spans="2:45" ht="14.4" customHeight="1" x14ac:dyDescent="0.25">
      <c r="B767" s="56" t="s">
        <v>45</v>
      </c>
      <c r="C767" s="57" t="s">
        <v>26</v>
      </c>
      <c r="D767" s="58" t="s">
        <v>30</v>
      </c>
      <c r="E767" s="62">
        <v>7.139999999999997E-3</v>
      </c>
      <c r="F767" s="65">
        <f t="shared" si="338"/>
        <v>-4.9420425026306445</v>
      </c>
      <c r="S767" s="40">
        <f t="shared" si="311"/>
        <v>0</v>
      </c>
      <c r="T767" s="40">
        <f t="shared" si="312"/>
        <v>0</v>
      </c>
      <c r="U767" s="40">
        <f t="shared" si="313"/>
        <v>0</v>
      </c>
      <c r="V767" s="40">
        <f t="shared" si="314"/>
        <v>1</v>
      </c>
      <c r="W767" s="40">
        <f t="shared" si="315"/>
        <v>0</v>
      </c>
      <c r="X767" s="40">
        <f t="shared" si="316"/>
        <v>0</v>
      </c>
      <c r="Y767" s="40">
        <f t="shared" si="317"/>
        <v>0</v>
      </c>
      <c r="Z767" s="40">
        <f t="shared" si="318"/>
        <v>0</v>
      </c>
      <c r="AA767" s="40">
        <f t="shared" si="319"/>
        <v>0</v>
      </c>
      <c r="AB767" s="40">
        <f t="shared" si="320"/>
        <v>0</v>
      </c>
      <c r="AC767" s="40">
        <f t="shared" si="321"/>
        <v>0</v>
      </c>
      <c r="AD767" s="40">
        <f t="shared" si="322"/>
        <v>0</v>
      </c>
      <c r="AE767" s="40">
        <f t="shared" si="323"/>
        <v>0</v>
      </c>
      <c r="AF767" s="40">
        <f t="shared" si="324"/>
        <v>1</v>
      </c>
      <c r="AG767" s="40">
        <f t="shared" si="325"/>
        <v>0</v>
      </c>
      <c r="AH767" s="40">
        <f t="shared" si="326"/>
        <v>0</v>
      </c>
      <c r="AI767" s="40">
        <f t="shared" si="327"/>
        <v>0</v>
      </c>
      <c r="AJ767" s="40">
        <f t="shared" si="328"/>
        <v>0</v>
      </c>
      <c r="AK767" s="40">
        <f t="shared" si="329"/>
        <v>0</v>
      </c>
      <c r="AL767" s="40">
        <f t="shared" si="330"/>
        <v>1</v>
      </c>
      <c r="AM767" s="40">
        <f t="shared" si="331"/>
        <v>0</v>
      </c>
      <c r="AN767" s="40">
        <f t="shared" si="332"/>
        <v>0</v>
      </c>
      <c r="AO767" s="40">
        <f t="shared" si="333"/>
        <v>0</v>
      </c>
      <c r="AP767" s="40">
        <f t="shared" si="334"/>
        <v>0</v>
      </c>
      <c r="AQ767" s="40">
        <f t="shared" si="335"/>
        <v>0</v>
      </c>
      <c r="AR767" s="40">
        <f t="shared" si="336"/>
        <v>0</v>
      </c>
      <c r="AS767" s="40">
        <f t="shared" si="337"/>
        <v>0</v>
      </c>
    </row>
    <row r="768" spans="2:45" ht="14.4" customHeight="1" x14ac:dyDescent="0.25">
      <c r="B768" s="56" t="s">
        <v>45</v>
      </c>
      <c r="C768" s="57" t="s">
        <v>26</v>
      </c>
      <c r="D768" s="58" t="s">
        <v>24</v>
      </c>
      <c r="E768" s="62">
        <v>3.9900000000000005E-3</v>
      </c>
      <c r="F768" s="65">
        <f t="shared" si="338"/>
        <v>-5.5239640480803649</v>
      </c>
      <c r="S768" s="40">
        <f t="shared" si="311"/>
        <v>0</v>
      </c>
      <c r="T768" s="40">
        <f t="shared" si="312"/>
        <v>0</v>
      </c>
      <c r="U768" s="40">
        <f t="shared" si="313"/>
        <v>0</v>
      </c>
      <c r="V768" s="40">
        <f t="shared" si="314"/>
        <v>1</v>
      </c>
      <c r="W768" s="40">
        <f t="shared" si="315"/>
        <v>0</v>
      </c>
      <c r="X768" s="40">
        <f t="shared" si="316"/>
        <v>0</v>
      </c>
      <c r="Y768" s="40">
        <f t="shared" si="317"/>
        <v>0</v>
      </c>
      <c r="Z768" s="40">
        <f t="shared" si="318"/>
        <v>0</v>
      </c>
      <c r="AA768" s="40">
        <f t="shared" si="319"/>
        <v>0</v>
      </c>
      <c r="AB768" s="40">
        <f t="shared" si="320"/>
        <v>0</v>
      </c>
      <c r="AC768" s="40">
        <f t="shared" si="321"/>
        <v>0</v>
      </c>
      <c r="AD768" s="40">
        <f t="shared" si="322"/>
        <v>0</v>
      </c>
      <c r="AE768" s="40">
        <f t="shared" si="323"/>
        <v>0</v>
      </c>
      <c r="AF768" s="40">
        <f t="shared" si="324"/>
        <v>1</v>
      </c>
      <c r="AG768" s="40">
        <f t="shared" si="325"/>
        <v>0</v>
      </c>
      <c r="AH768" s="40">
        <f t="shared" si="326"/>
        <v>0</v>
      </c>
      <c r="AI768" s="40">
        <f t="shared" si="327"/>
        <v>0</v>
      </c>
      <c r="AJ768" s="40">
        <f t="shared" si="328"/>
        <v>0</v>
      </c>
      <c r="AK768" s="40">
        <f t="shared" si="329"/>
        <v>0</v>
      </c>
      <c r="AL768" s="40">
        <f t="shared" si="330"/>
        <v>1</v>
      </c>
      <c r="AM768" s="40">
        <f t="shared" si="331"/>
        <v>0</v>
      </c>
      <c r="AN768" s="40">
        <f t="shared" si="332"/>
        <v>0</v>
      </c>
      <c r="AO768" s="40">
        <f t="shared" si="333"/>
        <v>0</v>
      </c>
      <c r="AP768" s="40">
        <f t="shared" si="334"/>
        <v>0</v>
      </c>
      <c r="AQ768" s="40">
        <f t="shared" si="335"/>
        <v>0</v>
      </c>
      <c r="AR768" s="40">
        <f t="shared" si="336"/>
        <v>0</v>
      </c>
      <c r="AS768" s="40">
        <f t="shared" si="337"/>
        <v>0</v>
      </c>
    </row>
    <row r="769" spans="2:45" ht="14.4" customHeight="1" x14ac:dyDescent="0.25">
      <c r="B769" s="56" t="s">
        <v>45</v>
      </c>
      <c r="C769" s="57" t="s">
        <v>26</v>
      </c>
      <c r="D769" s="58" t="s">
        <v>24</v>
      </c>
      <c r="E769" s="62">
        <v>1.3380000000000005E-2</v>
      </c>
      <c r="F769" s="65">
        <f t="shared" si="338"/>
        <v>-4.3139942242820544</v>
      </c>
      <c r="S769" s="40">
        <f t="shared" si="311"/>
        <v>0</v>
      </c>
      <c r="T769" s="40">
        <f t="shared" si="312"/>
        <v>0</v>
      </c>
      <c r="U769" s="40">
        <f t="shared" si="313"/>
        <v>0</v>
      </c>
      <c r="V769" s="40">
        <f t="shared" si="314"/>
        <v>1</v>
      </c>
      <c r="W769" s="40">
        <f t="shared" si="315"/>
        <v>0</v>
      </c>
      <c r="X769" s="40">
        <f t="shared" si="316"/>
        <v>0</v>
      </c>
      <c r="Y769" s="40">
        <f t="shared" si="317"/>
        <v>0</v>
      </c>
      <c r="Z769" s="40">
        <f t="shared" si="318"/>
        <v>0</v>
      </c>
      <c r="AA769" s="40">
        <f t="shared" si="319"/>
        <v>0</v>
      </c>
      <c r="AB769" s="40">
        <f t="shared" si="320"/>
        <v>0</v>
      </c>
      <c r="AC769" s="40">
        <f t="shared" si="321"/>
        <v>0</v>
      </c>
      <c r="AD769" s="40">
        <f t="shared" si="322"/>
        <v>0</v>
      </c>
      <c r="AE769" s="40">
        <f t="shared" si="323"/>
        <v>0</v>
      </c>
      <c r="AF769" s="40">
        <f t="shared" si="324"/>
        <v>1</v>
      </c>
      <c r="AG769" s="40">
        <f t="shared" si="325"/>
        <v>0</v>
      </c>
      <c r="AH769" s="40">
        <f t="shared" si="326"/>
        <v>0</v>
      </c>
      <c r="AI769" s="40">
        <f t="shared" si="327"/>
        <v>0</v>
      </c>
      <c r="AJ769" s="40">
        <f t="shared" si="328"/>
        <v>0</v>
      </c>
      <c r="AK769" s="40">
        <f t="shared" si="329"/>
        <v>0</v>
      </c>
      <c r="AL769" s="40">
        <f t="shared" si="330"/>
        <v>0</v>
      </c>
      <c r="AM769" s="40">
        <f t="shared" si="331"/>
        <v>0</v>
      </c>
      <c r="AN769" s="40">
        <f t="shared" si="332"/>
        <v>1</v>
      </c>
      <c r="AO769" s="40">
        <f t="shared" si="333"/>
        <v>0</v>
      </c>
      <c r="AP769" s="40">
        <f t="shared" si="334"/>
        <v>0</v>
      </c>
      <c r="AQ769" s="40">
        <f t="shared" si="335"/>
        <v>0</v>
      </c>
      <c r="AR769" s="40">
        <f t="shared" si="336"/>
        <v>0</v>
      </c>
      <c r="AS769" s="40">
        <f t="shared" si="337"/>
        <v>0</v>
      </c>
    </row>
    <row r="770" spans="2:45" ht="14.4" customHeight="1" x14ac:dyDescent="0.25">
      <c r="B770" s="56" t="s">
        <v>45</v>
      </c>
      <c r="C770" s="57" t="s">
        <v>26</v>
      </c>
      <c r="D770" s="58" t="s">
        <v>29</v>
      </c>
      <c r="E770" s="62">
        <v>4.1999999999999989E-3</v>
      </c>
      <c r="F770" s="65">
        <f t="shared" si="338"/>
        <v>-5.4726707536928147</v>
      </c>
      <c r="S770" s="40">
        <f t="shared" si="311"/>
        <v>0</v>
      </c>
      <c r="T770" s="40">
        <f t="shared" si="312"/>
        <v>0</v>
      </c>
      <c r="U770" s="40">
        <f t="shared" si="313"/>
        <v>0</v>
      </c>
      <c r="V770" s="40">
        <f t="shared" si="314"/>
        <v>1</v>
      </c>
      <c r="W770" s="40">
        <f t="shared" si="315"/>
        <v>0</v>
      </c>
      <c r="X770" s="40">
        <f t="shared" si="316"/>
        <v>0</v>
      </c>
      <c r="Y770" s="40">
        <f t="shared" si="317"/>
        <v>0</v>
      </c>
      <c r="Z770" s="40">
        <f t="shared" si="318"/>
        <v>0</v>
      </c>
      <c r="AA770" s="40">
        <f t="shared" si="319"/>
        <v>0</v>
      </c>
      <c r="AB770" s="40">
        <f t="shared" si="320"/>
        <v>0</v>
      </c>
      <c r="AC770" s="40">
        <f t="shared" si="321"/>
        <v>0</v>
      </c>
      <c r="AD770" s="40">
        <f t="shared" si="322"/>
        <v>0</v>
      </c>
      <c r="AE770" s="40">
        <f t="shared" si="323"/>
        <v>0</v>
      </c>
      <c r="AF770" s="40">
        <f t="shared" si="324"/>
        <v>1</v>
      </c>
      <c r="AG770" s="40">
        <f t="shared" si="325"/>
        <v>0</v>
      </c>
      <c r="AH770" s="40">
        <f t="shared" si="326"/>
        <v>1</v>
      </c>
      <c r="AI770" s="40">
        <f t="shared" si="327"/>
        <v>0</v>
      </c>
      <c r="AJ770" s="40">
        <f t="shared" si="328"/>
        <v>0</v>
      </c>
      <c r="AK770" s="40">
        <f t="shared" si="329"/>
        <v>0</v>
      </c>
      <c r="AL770" s="40">
        <f t="shared" si="330"/>
        <v>0</v>
      </c>
      <c r="AM770" s="40">
        <f t="shared" si="331"/>
        <v>0</v>
      </c>
      <c r="AN770" s="40">
        <f t="shared" si="332"/>
        <v>0</v>
      </c>
      <c r="AO770" s="40">
        <f t="shared" si="333"/>
        <v>0</v>
      </c>
      <c r="AP770" s="40">
        <f t="shared" si="334"/>
        <v>0</v>
      </c>
      <c r="AQ770" s="40">
        <f t="shared" si="335"/>
        <v>0</v>
      </c>
      <c r="AR770" s="40">
        <f t="shared" si="336"/>
        <v>0</v>
      </c>
      <c r="AS770" s="40">
        <f t="shared" si="337"/>
        <v>0</v>
      </c>
    </row>
    <row r="771" spans="2:45" ht="14.4" customHeight="1" x14ac:dyDescent="0.25">
      <c r="B771" s="56" t="s">
        <v>45</v>
      </c>
      <c r="C771" s="57" t="s">
        <v>26</v>
      </c>
      <c r="D771" s="58" t="s">
        <v>27</v>
      </c>
      <c r="E771" s="62">
        <v>4.3000000000000017E-3</v>
      </c>
      <c r="F771" s="65">
        <f t="shared" si="338"/>
        <v>-5.4491402562826199</v>
      </c>
      <c r="S771" s="40">
        <f t="shared" si="311"/>
        <v>0</v>
      </c>
      <c r="T771" s="40">
        <f t="shared" si="312"/>
        <v>0</v>
      </c>
      <c r="U771" s="40">
        <f t="shared" si="313"/>
        <v>0</v>
      </c>
      <c r="V771" s="40">
        <f t="shared" si="314"/>
        <v>1</v>
      </c>
      <c r="W771" s="40">
        <f t="shared" si="315"/>
        <v>0</v>
      </c>
      <c r="X771" s="40">
        <f t="shared" si="316"/>
        <v>0</v>
      </c>
      <c r="Y771" s="40">
        <f t="shared" si="317"/>
        <v>0</v>
      </c>
      <c r="Z771" s="40">
        <f t="shared" si="318"/>
        <v>0</v>
      </c>
      <c r="AA771" s="40">
        <f t="shared" si="319"/>
        <v>0</v>
      </c>
      <c r="AB771" s="40">
        <f t="shared" si="320"/>
        <v>0</v>
      </c>
      <c r="AC771" s="40">
        <f t="shared" si="321"/>
        <v>0</v>
      </c>
      <c r="AD771" s="40">
        <f t="shared" si="322"/>
        <v>0</v>
      </c>
      <c r="AE771" s="40">
        <f t="shared" si="323"/>
        <v>0</v>
      </c>
      <c r="AF771" s="40">
        <f t="shared" si="324"/>
        <v>1</v>
      </c>
      <c r="AG771" s="40">
        <f t="shared" si="325"/>
        <v>0</v>
      </c>
      <c r="AH771" s="40">
        <f t="shared" si="326"/>
        <v>0</v>
      </c>
      <c r="AI771" s="40">
        <f t="shared" si="327"/>
        <v>0</v>
      </c>
      <c r="AJ771" s="40">
        <f t="shared" si="328"/>
        <v>0</v>
      </c>
      <c r="AK771" s="40">
        <f t="shared" si="329"/>
        <v>1</v>
      </c>
      <c r="AL771" s="40">
        <f t="shared" si="330"/>
        <v>0</v>
      </c>
      <c r="AM771" s="40">
        <f t="shared" si="331"/>
        <v>0</v>
      </c>
      <c r="AN771" s="40">
        <f t="shared" si="332"/>
        <v>0</v>
      </c>
      <c r="AO771" s="40">
        <f t="shared" si="333"/>
        <v>0</v>
      </c>
      <c r="AP771" s="40">
        <f t="shared" si="334"/>
        <v>0</v>
      </c>
      <c r="AQ771" s="40">
        <f t="shared" si="335"/>
        <v>0</v>
      </c>
      <c r="AR771" s="40">
        <f t="shared" si="336"/>
        <v>0</v>
      </c>
      <c r="AS771" s="40">
        <f t="shared" si="337"/>
        <v>0</v>
      </c>
    </row>
    <row r="772" spans="2:45" ht="14.4" customHeight="1" x14ac:dyDescent="0.25">
      <c r="B772" s="56" t="s">
        <v>45</v>
      </c>
      <c r="C772" s="57" t="s">
        <v>26</v>
      </c>
      <c r="D772" s="58" t="s">
        <v>32</v>
      </c>
      <c r="E772" s="62">
        <v>1.0599999999999998E-2</v>
      </c>
      <c r="F772" s="65">
        <f t="shared" si="338"/>
        <v>-4.5469012778641158</v>
      </c>
      <c r="S772" s="40">
        <f t="shared" si="311"/>
        <v>0</v>
      </c>
      <c r="T772" s="40">
        <f t="shared" si="312"/>
        <v>0</v>
      </c>
      <c r="U772" s="40">
        <f t="shared" si="313"/>
        <v>0</v>
      </c>
      <c r="V772" s="40">
        <f t="shared" si="314"/>
        <v>1</v>
      </c>
      <c r="W772" s="40">
        <f t="shared" si="315"/>
        <v>0</v>
      </c>
      <c r="X772" s="40">
        <f t="shared" si="316"/>
        <v>0</v>
      </c>
      <c r="Y772" s="40">
        <f t="shared" si="317"/>
        <v>0</v>
      </c>
      <c r="Z772" s="40">
        <f t="shared" si="318"/>
        <v>1</v>
      </c>
      <c r="AA772" s="40">
        <f t="shared" si="319"/>
        <v>0</v>
      </c>
      <c r="AB772" s="40">
        <f t="shared" si="320"/>
        <v>0</v>
      </c>
      <c r="AC772" s="40">
        <f t="shared" si="321"/>
        <v>0</v>
      </c>
      <c r="AD772" s="40">
        <f t="shared" si="322"/>
        <v>0</v>
      </c>
      <c r="AE772" s="40">
        <f t="shared" si="323"/>
        <v>0</v>
      </c>
      <c r="AF772" s="40">
        <f t="shared" si="324"/>
        <v>0</v>
      </c>
      <c r="AG772" s="40">
        <f t="shared" si="325"/>
        <v>0</v>
      </c>
      <c r="AH772" s="40">
        <f t="shared" si="326"/>
        <v>0</v>
      </c>
      <c r="AI772" s="40">
        <f t="shared" si="327"/>
        <v>1</v>
      </c>
      <c r="AJ772" s="40">
        <f t="shared" si="328"/>
        <v>0</v>
      </c>
      <c r="AK772" s="40">
        <f t="shared" si="329"/>
        <v>0</v>
      </c>
      <c r="AL772" s="40">
        <f t="shared" si="330"/>
        <v>0</v>
      </c>
      <c r="AM772" s="40">
        <f t="shared" si="331"/>
        <v>0</v>
      </c>
      <c r="AN772" s="40">
        <f t="shared" si="332"/>
        <v>0</v>
      </c>
      <c r="AO772" s="40">
        <f t="shared" si="333"/>
        <v>0</v>
      </c>
      <c r="AP772" s="40">
        <f t="shared" si="334"/>
        <v>0</v>
      </c>
      <c r="AQ772" s="40">
        <f t="shared" si="335"/>
        <v>0</v>
      </c>
      <c r="AR772" s="40">
        <f t="shared" si="336"/>
        <v>0</v>
      </c>
      <c r="AS772" s="40">
        <f t="shared" si="337"/>
        <v>0</v>
      </c>
    </row>
    <row r="773" spans="2:45" ht="14.4" customHeight="1" x14ac:dyDescent="0.25">
      <c r="B773" s="56" t="s">
        <v>45</v>
      </c>
      <c r="C773" s="57" t="s">
        <v>36</v>
      </c>
      <c r="D773" s="58" t="s">
        <v>28</v>
      </c>
      <c r="E773" s="62">
        <v>3.3699999999999989E-3</v>
      </c>
      <c r="F773" s="65">
        <f t="shared" si="338"/>
        <v>-5.692842534617867</v>
      </c>
      <c r="S773" s="40">
        <f t="shared" si="311"/>
        <v>0</v>
      </c>
      <c r="T773" s="40">
        <f t="shared" si="312"/>
        <v>0</v>
      </c>
      <c r="U773" s="40">
        <f t="shared" si="313"/>
        <v>0</v>
      </c>
      <c r="V773" s="40">
        <f t="shared" si="314"/>
        <v>1</v>
      </c>
      <c r="W773" s="40">
        <f t="shared" si="315"/>
        <v>0</v>
      </c>
      <c r="X773" s="40">
        <f t="shared" si="316"/>
        <v>0</v>
      </c>
      <c r="Y773" s="40">
        <f t="shared" si="317"/>
        <v>0</v>
      </c>
      <c r="Z773" s="40">
        <f t="shared" si="318"/>
        <v>1</v>
      </c>
      <c r="AA773" s="40">
        <f t="shared" si="319"/>
        <v>0</v>
      </c>
      <c r="AB773" s="40">
        <f t="shared" si="320"/>
        <v>0</v>
      </c>
      <c r="AC773" s="40">
        <f t="shared" si="321"/>
        <v>0</v>
      </c>
      <c r="AD773" s="40">
        <f t="shared" si="322"/>
        <v>0</v>
      </c>
      <c r="AE773" s="40">
        <f t="shared" si="323"/>
        <v>0</v>
      </c>
      <c r="AF773" s="40">
        <f t="shared" si="324"/>
        <v>0</v>
      </c>
      <c r="AG773" s="40">
        <f t="shared" si="325"/>
        <v>0</v>
      </c>
      <c r="AH773" s="40">
        <f t="shared" si="326"/>
        <v>0</v>
      </c>
      <c r="AI773" s="40">
        <f t="shared" si="327"/>
        <v>0</v>
      </c>
      <c r="AJ773" s="40">
        <f t="shared" si="328"/>
        <v>0</v>
      </c>
      <c r="AK773" s="40">
        <f t="shared" si="329"/>
        <v>0</v>
      </c>
      <c r="AL773" s="40">
        <f t="shared" si="330"/>
        <v>0</v>
      </c>
      <c r="AM773" s="40">
        <f t="shared" si="331"/>
        <v>1</v>
      </c>
      <c r="AN773" s="40">
        <f t="shared" si="332"/>
        <v>0</v>
      </c>
      <c r="AO773" s="40">
        <f t="shared" si="333"/>
        <v>0</v>
      </c>
      <c r="AP773" s="40">
        <f t="shared" si="334"/>
        <v>0</v>
      </c>
      <c r="AQ773" s="40">
        <f t="shared" si="335"/>
        <v>0</v>
      </c>
      <c r="AR773" s="40">
        <f t="shared" si="336"/>
        <v>0</v>
      </c>
      <c r="AS773" s="40">
        <f t="shared" si="337"/>
        <v>0</v>
      </c>
    </row>
    <row r="774" spans="2:45" ht="14.4" customHeight="1" x14ac:dyDescent="0.25">
      <c r="B774" s="56" t="s">
        <v>45</v>
      </c>
      <c r="C774" s="57" t="s">
        <v>36</v>
      </c>
      <c r="D774" s="58" t="s">
        <v>35</v>
      </c>
      <c r="E774" s="62">
        <v>9.6699999999999963E-3</v>
      </c>
      <c r="F774" s="65">
        <f t="shared" si="338"/>
        <v>-4.6387269695169344</v>
      </c>
      <c r="S774" s="40">
        <f t="shared" si="311"/>
        <v>0</v>
      </c>
      <c r="T774" s="40">
        <f t="shared" si="312"/>
        <v>0</v>
      </c>
      <c r="U774" s="40">
        <f t="shared" si="313"/>
        <v>0</v>
      </c>
      <c r="V774" s="40">
        <f t="shared" si="314"/>
        <v>1</v>
      </c>
      <c r="W774" s="40">
        <f t="shared" si="315"/>
        <v>0</v>
      </c>
      <c r="X774" s="40">
        <f t="shared" si="316"/>
        <v>0</v>
      </c>
      <c r="Y774" s="40">
        <f t="shared" si="317"/>
        <v>0</v>
      </c>
      <c r="Z774" s="40">
        <f t="shared" si="318"/>
        <v>0</v>
      </c>
      <c r="AA774" s="40">
        <f t="shared" si="319"/>
        <v>0</v>
      </c>
      <c r="AB774" s="40">
        <f t="shared" si="320"/>
        <v>0</v>
      </c>
      <c r="AC774" s="40">
        <f t="shared" si="321"/>
        <v>0</v>
      </c>
      <c r="AD774" s="40">
        <f t="shared" si="322"/>
        <v>0</v>
      </c>
      <c r="AE774" s="40">
        <f t="shared" si="323"/>
        <v>0</v>
      </c>
      <c r="AF774" s="40">
        <f t="shared" si="324"/>
        <v>1</v>
      </c>
      <c r="AG774" s="40">
        <f t="shared" si="325"/>
        <v>0</v>
      </c>
      <c r="AH774" s="40">
        <f t="shared" si="326"/>
        <v>0</v>
      </c>
      <c r="AI774" s="40">
        <f t="shared" si="327"/>
        <v>0</v>
      </c>
      <c r="AJ774" s="40">
        <f t="shared" si="328"/>
        <v>0</v>
      </c>
      <c r="AK774" s="40">
        <f t="shared" si="329"/>
        <v>0</v>
      </c>
      <c r="AL774" s="40">
        <f t="shared" si="330"/>
        <v>0</v>
      </c>
      <c r="AM774" s="40">
        <f t="shared" si="331"/>
        <v>0</v>
      </c>
      <c r="AN774" s="40">
        <f t="shared" si="332"/>
        <v>0</v>
      </c>
      <c r="AO774" s="40">
        <f t="shared" si="333"/>
        <v>1</v>
      </c>
      <c r="AP774" s="40">
        <f t="shared" si="334"/>
        <v>0</v>
      </c>
      <c r="AQ774" s="40">
        <f t="shared" si="335"/>
        <v>0</v>
      </c>
      <c r="AR774" s="40">
        <f t="shared" si="336"/>
        <v>0</v>
      </c>
      <c r="AS774" s="40">
        <f t="shared" si="337"/>
        <v>0</v>
      </c>
    </row>
    <row r="775" spans="2:45" ht="14.4" customHeight="1" x14ac:dyDescent="0.25">
      <c r="B775" s="56" t="s">
        <v>45</v>
      </c>
      <c r="C775" s="57" t="s">
        <v>26</v>
      </c>
      <c r="D775" s="58" t="s">
        <v>31</v>
      </c>
      <c r="E775" s="62">
        <v>2.8799999999999997E-3</v>
      </c>
      <c r="F775" s="65">
        <f t="shared" si="338"/>
        <v>-5.8499649848342825</v>
      </c>
      <c r="S775" s="40">
        <f t="shared" si="311"/>
        <v>0</v>
      </c>
      <c r="T775" s="40">
        <f t="shared" si="312"/>
        <v>0</v>
      </c>
      <c r="U775" s="40">
        <f t="shared" si="313"/>
        <v>0</v>
      </c>
      <c r="V775" s="40">
        <f t="shared" si="314"/>
        <v>1</v>
      </c>
      <c r="W775" s="40">
        <f t="shared" si="315"/>
        <v>0</v>
      </c>
      <c r="X775" s="40">
        <f t="shared" si="316"/>
        <v>0</v>
      </c>
      <c r="Y775" s="40">
        <f t="shared" si="317"/>
        <v>0</v>
      </c>
      <c r="Z775" s="40">
        <f t="shared" si="318"/>
        <v>0</v>
      </c>
      <c r="AA775" s="40">
        <f t="shared" si="319"/>
        <v>0</v>
      </c>
      <c r="AB775" s="40">
        <f t="shared" si="320"/>
        <v>0</v>
      </c>
      <c r="AC775" s="40">
        <f t="shared" si="321"/>
        <v>0</v>
      </c>
      <c r="AD775" s="40">
        <f t="shared" si="322"/>
        <v>0</v>
      </c>
      <c r="AE775" s="40">
        <f t="shared" si="323"/>
        <v>0</v>
      </c>
      <c r="AF775" s="40">
        <f t="shared" si="324"/>
        <v>1</v>
      </c>
      <c r="AG775" s="40">
        <f t="shared" si="325"/>
        <v>0</v>
      </c>
      <c r="AH775" s="40">
        <f t="shared" si="326"/>
        <v>0</v>
      </c>
      <c r="AI775" s="40">
        <f t="shared" si="327"/>
        <v>0</v>
      </c>
      <c r="AJ775" s="40">
        <f t="shared" si="328"/>
        <v>0</v>
      </c>
      <c r="AK775" s="40">
        <f t="shared" si="329"/>
        <v>0</v>
      </c>
      <c r="AL775" s="40">
        <f t="shared" si="330"/>
        <v>0</v>
      </c>
      <c r="AM775" s="40">
        <f t="shared" si="331"/>
        <v>0</v>
      </c>
      <c r="AN775" s="40">
        <f t="shared" si="332"/>
        <v>0</v>
      </c>
      <c r="AO775" s="40">
        <f t="shared" si="333"/>
        <v>1</v>
      </c>
      <c r="AP775" s="40">
        <f t="shared" si="334"/>
        <v>0</v>
      </c>
      <c r="AQ775" s="40">
        <f t="shared" si="335"/>
        <v>0</v>
      </c>
      <c r="AR775" s="40">
        <f t="shared" si="336"/>
        <v>0</v>
      </c>
      <c r="AS775" s="40">
        <f t="shared" si="337"/>
        <v>0</v>
      </c>
    </row>
    <row r="776" spans="2:45" ht="14.4" customHeight="1" x14ac:dyDescent="0.25">
      <c r="B776" s="56" t="s">
        <v>45</v>
      </c>
      <c r="C776" s="57" t="s">
        <v>26</v>
      </c>
      <c r="D776" s="58" t="s">
        <v>31</v>
      </c>
      <c r="E776" s="62">
        <v>8.0299999999999972E-3</v>
      </c>
      <c r="F776" s="65">
        <f t="shared" si="338"/>
        <v>-4.824570751023467</v>
      </c>
      <c r="S776" s="40">
        <f t="shared" si="311"/>
        <v>0</v>
      </c>
      <c r="T776" s="40">
        <f t="shared" si="312"/>
        <v>0</v>
      </c>
      <c r="U776" s="40">
        <f t="shared" si="313"/>
        <v>0</v>
      </c>
      <c r="V776" s="40">
        <f t="shared" si="314"/>
        <v>1</v>
      </c>
      <c r="W776" s="40">
        <f t="shared" si="315"/>
        <v>0</v>
      </c>
      <c r="X776" s="40">
        <f t="shared" si="316"/>
        <v>0</v>
      </c>
      <c r="Y776" s="40">
        <f t="shared" si="317"/>
        <v>0</v>
      </c>
      <c r="Z776" s="40">
        <f t="shared" si="318"/>
        <v>0</v>
      </c>
      <c r="AA776" s="40">
        <f t="shared" si="319"/>
        <v>0</v>
      </c>
      <c r="AB776" s="40">
        <f t="shared" si="320"/>
        <v>0</v>
      </c>
      <c r="AC776" s="40">
        <f t="shared" si="321"/>
        <v>0</v>
      </c>
      <c r="AD776" s="40">
        <f t="shared" si="322"/>
        <v>0</v>
      </c>
      <c r="AE776" s="40">
        <f t="shared" si="323"/>
        <v>0</v>
      </c>
      <c r="AF776" s="40">
        <f t="shared" si="324"/>
        <v>1</v>
      </c>
      <c r="AG776" s="40">
        <f t="shared" si="325"/>
        <v>0</v>
      </c>
      <c r="AH776" s="40">
        <f t="shared" si="326"/>
        <v>1</v>
      </c>
      <c r="AI776" s="40">
        <f t="shared" si="327"/>
        <v>0</v>
      </c>
      <c r="AJ776" s="40">
        <f t="shared" si="328"/>
        <v>0</v>
      </c>
      <c r="AK776" s="40">
        <f t="shared" si="329"/>
        <v>0</v>
      </c>
      <c r="AL776" s="40">
        <f t="shared" si="330"/>
        <v>0</v>
      </c>
      <c r="AM776" s="40">
        <f t="shared" si="331"/>
        <v>0</v>
      </c>
      <c r="AN776" s="40">
        <f t="shared" si="332"/>
        <v>0</v>
      </c>
      <c r="AO776" s="40">
        <f t="shared" si="333"/>
        <v>0</v>
      </c>
      <c r="AP776" s="40">
        <f t="shared" si="334"/>
        <v>0</v>
      </c>
      <c r="AQ776" s="40">
        <f t="shared" si="335"/>
        <v>0</v>
      </c>
      <c r="AR776" s="40">
        <f t="shared" si="336"/>
        <v>0</v>
      </c>
      <c r="AS776" s="40">
        <f t="shared" si="337"/>
        <v>0</v>
      </c>
    </row>
    <row r="777" spans="2:45" ht="14.4" customHeight="1" x14ac:dyDescent="0.25">
      <c r="B777" s="56" t="s">
        <v>45</v>
      </c>
      <c r="C777" s="57" t="s">
        <v>26</v>
      </c>
      <c r="D777" s="58" t="s">
        <v>27</v>
      </c>
      <c r="E777" s="62">
        <v>6.2099999999999994E-3</v>
      </c>
      <c r="F777" s="65">
        <f t="shared" si="338"/>
        <v>-5.0815943830367498</v>
      </c>
      <c r="S777" s="40">
        <f t="shared" si="311"/>
        <v>0</v>
      </c>
      <c r="T777" s="40">
        <f t="shared" si="312"/>
        <v>0</v>
      </c>
      <c r="U777" s="40">
        <f t="shared" si="313"/>
        <v>0</v>
      </c>
      <c r="V777" s="40">
        <f t="shared" si="314"/>
        <v>1</v>
      </c>
      <c r="W777" s="40">
        <f t="shared" si="315"/>
        <v>0</v>
      </c>
      <c r="X777" s="40">
        <f t="shared" si="316"/>
        <v>0</v>
      </c>
      <c r="Y777" s="40">
        <f t="shared" si="317"/>
        <v>0</v>
      </c>
      <c r="Z777" s="40">
        <f t="shared" si="318"/>
        <v>0</v>
      </c>
      <c r="AA777" s="40">
        <f t="shared" si="319"/>
        <v>0</v>
      </c>
      <c r="AB777" s="40">
        <f t="shared" si="320"/>
        <v>0</v>
      </c>
      <c r="AC777" s="40">
        <f t="shared" si="321"/>
        <v>0</v>
      </c>
      <c r="AD777" s="40">
        <f t="shared" si="322"/>
        <v>0</v>
      </c>
      <c r="AE777" s="40">
        <f t="shared" si="323"/>
        <v>0</v>
      </c>
      <c r="AF777" s="40">
        <f t="shared" si="324"/>
        <v>1</v>
      </c>
      <c r="AG777" s="40">
        <f t="shared" si="325"/>
        <v>0</v>
      </c>
      <c r="AH777" s="40">
        <f t="shared" si="326"/>
        <v>0</v>
      </c>
      <c r="AI777" s="40">
        <f t="shared" si="327"/>
        <v>0</v>
      </c>
      <c r="AJ777" s="40">
        <f t="shared" si="328"/>
        <v>1</v>
      </c>
      <c r="AK777" s="40">
        <f t="shared" si="329"/>
        <v>0</v>
      </c>
      <c r="AL777" s="40">
        <f t="shared" si="330"/>
        <v>0</v>
      </c>
      <c r="AM777" s="40">
        <f t="shared" si="331"/>
        <v>0</v>
      </c>
      <c r="AN777" s="40">
        <f t="shared" si="332"/>
        <v>0</v>
      </c>
      <c r="AO777" s="40">
        <f t="shared" si="333"/>
        <v>0</v>
      </c>
      <c r="AP777" s="40">
        <f t="shared" si="334"/>
        <v>0</v>
      </c>
      <c r="AQ777" s="40">
        <f t="shared" si="335"/>
        <v>0</v>
      </c>
      <c r="AR777" s="40">
        <f t="shared" si="336"/>
        <v>0</v>
      </c>
      <c r="AS777" s="40">
        <f t="shared" si="337"/>
        <v>0</v>
      </c>
    </row>
    <row r="778" spans="2:45" ht="14.4" customHeight="1" x14ac:dyDescent="0.25">
      <c r="B778" s="56" t="s">
        <v>45</v>
      </c>
      <c r="C778" s="57" t="s">
        <v>26</v>
      </c>
      <c r="D778" s="58" t="s">
        <v>37</v>
      </c>
      <c r="E778" s="62">
        <v>6.7599999999999995E-3</v>
      </c>
      <c r="F778" s="65">
        <f t="shared" si="338"/>
        <v>-4.9967323889272643</v>
      </c>
      <c r="S778" s="40">
        <f t="shared" ref="S778:S841" si="339">IF($B779=S$9,1,0)</f>
        <v>0</v>
      </c>
      <c r="T778" s="40">
        <f t="shared" ref="T778:T841" si="340">IF($B779=T$9,1,0)</f>
        <v>0</v>
      </c>
      <c r="U778" s="40">
        <f t="shared" ref="U778:U841" si="341">IF($B779=U$9,1,0)</f>
        <v>0</v>
      </c>
      <c r="V778" s="40">
        <f t="shared" ref="V778:V841" si="342">IF($B779=V$9,1,0)</f>
        <v>1</v>
      </c>
      <c r="W778" s="40">
        <f t="shared" ref="W778:W841" si="343">IF($B779=W$9,1,0)</f>
        <v>0</v>
      </c>
      <c r="X778" s="40">
        <f t="shared" ref="X778:X841" si="344">IF($B779=X$9,1,0)</f>
        <v>0</v>
      </c>
      <c r="Y778" s="40">
        <f t="shared" ref="Y778:Y841" si="345">IF($B779=Y$9,1,0)</f>
        <v>0</v>
      </c>
      <c r="Z778" s="40">
        <f t="shared" ref="Z778:Z841" si="346">IF($C779=Z$9,1,0)</f>
        <v>0</v>
      </c>
      <c r="AA778" s="40">
        <f t="shared" ref="AA778:AA841" si="347">IF($C779=AA$9,1,0)</f>
        <v>0</v>
      </c>
      <c r="AB778" s="40">
        <f t="shared" ref="AB778:AB841" si="348">IF($C779=AB$9,1,0)</f>
        <v>0</v>
      </c>
      <c r="AC778" s="40">
        <f t="shared" ref="AC778:AC841" si="349">IF($C779=AC$9,1,0)</f>
        <v>0</v>
      </c>
      <c r="AD778" s="40">
        <f t="shared" ref="AD778:AD841" si="350">IF($C779=AD$9,1,0)</f>
        <v>1</v>
      </c>
      <c r="AE778" s="40">
        <f t="shared" ref="AE778:AE841" si="351">IF($C779=AE$9,1,0)</f>
        <v>0</v>
      </c>
      <c r="AF778" s="40">
        <f t="shared" ref="AF778:AF841" si="352">IF($C779=AF$9,1,0)</f>
        <v>0</v>
      </c>
      <c r="AG778" s="40">
        <f t="shared" ref="AG778:AG841" si="353">IF($C779=AG$9,1,0)</f>
        <v>0</v>
      </c>
      <c r="AH778" s="40">
        <f t="shared" ref="AH778:AH841" si="354">IF($D779=AH$9,1,0)</f>
        <v>0</v>
      </c>
      <c r="AI778" s="40">
        <f t="shared" ref="AI778:AI841" si="355">IF($D779=AI$9,1,0)</f>
        <v>0</v>
      </c>
      <c r="AJ778" s="40">
        <f t="shared" ref="AJ778:AJ841" si="356">IF($D779=AJ$9,1,0)</f>
        <v>0</v>
      </c>
      <c r="AK778" s="40">
        <f t="shared" ref="AK778:AK841" si="357">IF($D779=AK$9,1,0)</f>
        <v>0</v>
      </c>
      <c r="AL778" s="40">
        <f t="shared" ref="AL778:AL841" si="358">IF($D779=AL$9,1,0)</f>
        <v>0</v>
      </c>
      <c r="AM778" s="40">
        <f t="shared" ref="AM778:AM841" si="359">IF($D779=AM$9,1,0)</f>
        <v>0</v>
      </c>
      <c r="AN778" s="40">
        <f t="shared" ref="AN778:AN841" si="360">IF($D779=AN$9,1,0)</f>
        <v>0</v>
      </c>
      <c r="AO778" s="40">
        <f t="shared" ref="AO778:AO841" si="361">IF($D779=AO$9,1,0)</f>
        <v>0</v>
      </c>
      <c r="AP778" s="40">
        <f t="shared" ref="AP778:AP841" si="362">IF($D779=AP$9,1,0)</f>
        <v>0</v>
      </c>
      <c r="AQ778" s="40">
        <f t="shared" ref="AQ778:AQ841" si="363">IF($D779=AQ$9,1,0)</f>
        <v>0</v>
      </c>
      <c r="AR778" s="40">
        <f t="shared" ref="AR778:AR841" si="364">IF($D779=AR$9,1,0)</f>
        <v>0</v>
      </c>
      <c r="AS778" s="40">
        <f t="shared" ref="AS778:AS841" si="365">IF($D779=AS$9,1,0)</f>
        <v>1</v>
      </c>
    </row>
    <row r="779" spans="2:45" ht="14.4" customHeight="1" x14ac:dyDescent="0.25">
      <c r="B779" s="56" t="s">
        <v>45</v>
      </c>
      <c r="C779" s="57" t="s">
        <v>21</v>
      </c>
      <c r="D779" s="58" t="s">
        <v>22</v>
      </c>
      <c r="E779" s="62">
        <v>8.0100000000000015E-3</v>
      </c>
      <c r="F779" s="65">
        <f t="shared" si="338"/>
        <v>-4.827064517901869</v>
      </c>
      <c r="S779" s="40">
        <f t="shared" si="339"/>
        <v>0</v>
      </c>
      <c r="T779" s="40">
        <f t="shared" si="340"/>
        <v>0</v>
      </c>
      <c r="U779" s="40">
        <f t="shared" si="341"/>
        <v>0</v>
      </c>
      <c r="V779" s="40">
        <f t="shared" si="342"/>
        <v>1</v>
      </c>
      <c r="W779" s="40">
        <f t="shared" si="343"/>
        <v>0</v>
      </c>
      <c r="X779" s="40">
        <f t="shared" si="344"/>
        <v>0</v>
      </c>
      <c r="Y779" s="40">
        <f t="shared" si="345"/>
        <v>0</v>
      </c>
      <c r="Z779" s="40">
        <f t="shared" si="346"/>
        <v>0</v>
      </c>
      <c r="AA779" s="40">
        <f t="shared" si="347"/>
        <v>0</v>
      </c>
      <c r="AB779" s="40">
        <f t="shared" si="348"/>
        <v>0</v>
      </c>
      <c r="AC779" s="40">
        <f t="shared" si="349"/>
        <v>0</v>
      </c>
      <c r="AD779" s="40">
        <f t="shared" si="350"/>
        <v>0</v>
      </c>
      <c r="AE779" s="40">
        <f t="shared" si="351"/>
        <v>0</v>
      </c>
      <c r="AF779" s="40">
        <f t="shared" si="352"/>
        <v>1</v>
      </c>
      <c r="AG779" s="40">
        <f t="shared" si="353"/>
        <v>0</v>
      </c>
      <c r="AH779" s="40">
        <f t="shared" si="354"/>
        <v>0</v>
      </c>
      <c r="AI779" s="40">
        <f t="shared" si="355"/>
        <v>0</v>
      </c>
      <c r="AJ779" s="40">
        <f t="shared" si="356"/>
        <v>0</v>
      </c>
      <c r="AK779" s="40">
        <f t="shared" si="357"/>
        <v>0</v>
      </c>
      <c r="AL779" s="40">
        <f t="shared" si="358"/>
        <v>0</v>
      </c>
      <c r="AM779" s="40">
        <f t="shared" si="359"/>
        <v>0</v>
      </c>
      <c r="AN779" s="40">
        <f t="shared" si="360"/>
        <v>0</v>
      </c>
      <c r="AO779" s="40">
        <f t="shared" si="361"/>
        <v>1</v>
      </c>
      <c r="AP779" s="40">
        <f t="shared" si="362"/>
        <v>0</v>
      </c>
      <c r="AQ779" s="40">
        <f t="shared" si="363"/>
        <v>0</v>
      </c>
      <c r="AR779" s="40">
        <f t="shared" si="364"/>
        <v>0</v>
      </c>
      <c r="AS779" s="40">
        <f t="shared" si="365"/>
        <v>0</v>
      </c>
    </row>
    <row r="780" spans="2:45" ht="14.4" customHeight="1" x14ac:dyDescent="0.25">
      <c r="B780" s="56" t="s">
        <v>45</v>
      </c>
      <c r="C780" s="57" t="s">
        <v>26</v>
      </c>
      <c r="D780" s="58" t="s">
        <v>31</v>
      </c>
      <c r="E780" s="62">
        <v>5.0500000000000007E-3</v>
      </c>
      <c r="F780" s="65">
        <f t="shared" ref="F780:F843" si="366">LN(E780)</f>
        <v>-5.2883670356948684</v>
      </c>
      <c r="S780" s="40">
        <f t="shared" si="339"/>
        <v>0</v>
      </c>
      <c r="T780" s="40">
        <f t="shared" si="340"/>
        <v>0</v>
      </c>
      <c r="U780" s="40">
        <f t="shared" si="341"/>
        <v>0</v>
      </c>
      <c r="V780" s="40">
        <f t="shared" si="342"/>
        <v>1</v>
      </c>
      <c r="W780" s="40">
        <f t="shared" si="343"/>
        <v>0</v>
      </c>
      <c r="X780" s="40">
        <f t="shared" si="344"/>
        <v>0</v>
      </c>
      <c r="Y780" s="40">
        <f t="shared" si="345"/>
        <v>0</v>
      </c>
      <c r="Z780" s="40">
        <f t="shared" si="346"/>
        <v>0</v>
      </c>
      <c r="AA780" s="40">
        <f t="shared" si="347"/>
        <v>0</v>
      </c>
      <c r="AB780" s="40">
        <f t="shared" si="348"/>
        <v>1</v>
      </c>
      <c r="AC780" s="40">
        <f t="shared" si="349"/>
        <v>0</v>
      </c>
      <c r="AD780" s="40">
        <f t="shared" si="350"/>
        <v>0</v>
      </c>
      <c r="AE780" s="40">
        <f t="shared" si="351"/>
        <v>0</v>
      </c>
      <c r="AF780" s="40">
        <f t="shared" si="352"/>
        <v>0</v>
      </c>
      <c r="AG780" s="40">
        <f t="shared" si="353"/>
        <v>0</v>
      </c>
      <c r="AH780" s="40">
        <f t="shared" si="354"/>
        <v>0</v>
      </c>
      <c r="AI780" s="40">
        <f t="shared" si="355"/>
        <v>0</v>
      </c>
      <c r="AJ780" s="40">
        <f t="shared" si="356"/>
        <v>1</v>
      </c>
      <c r="AK780" s="40">
        <f t="shared" si="357"/>
        <v>0</v>
      </c>
      <c r="AL780" s="40">
        <f t="shared" si="358"/>
        <v>0</v>
      </c>
      <c r="AM780" s="40">
        <f t="shared" si="359"/>
        <v>0</v>
      </c>
      <c r="AN780" s="40">
        <f t="shared" si="360"/>
        <v>0</v>
      </c>
      <c r="AO780" s="40">
        <f t="shared" si="361"/>
        <v>0</v>
      </c>
      <c r="AP780" s="40">
        <f t="shared" si="362"/>
        <v>0</v>
      </c>
      <c r="AQ780" s="40">
        <f t="shared" si="363"/>
        <v>0</v>
      </c>
      <c r="AR780" s="40">
        <f t="shared" si="364"/>
        <v>0</v>
      </c>
      <c r="AS780" s="40">
        <f t="shared" si="365"/>
        <v>0</v>
      </c>
    </row>
    <row r="781" spans="2:45" ht="14.4" customHeight="1" x14ac:dyDescent="0.25">
      <c r="B781" s="56" t="s">
        <v>45</v>
      </c>
      <c r="C781" s="57" t="s">
        <v>25</v>
      </c>
      <c r="D781" s="58" t="s">
        <v>37</v>
      </c>
      <c r="E781" s="62">
        <v>1.2310000000000001E-2</v>
      </c>
      <c r="F781" s="65">
        <f t="shared" si="366"/>
        <v>-4.3973433387857748</v>
      </c>
      <c r="S781" s="40">
        <f t="shared" si="339"/>
        <v>0</v>
      </c>
      <c r="T781" s="40">
        <f t="shared" si="340"/>
        <v>0</v>
      </c>
      <c r="U781" s="40">
        <f t="shared" si="341"/>
        <v>0</v>
      </c>
      <c r="V781" s="40">
        <f t="shared" si="342"/>
        <v>1</v>
      </c>
      <c r="W781" s="40">
        <f t="shared" si="343"/>
        <v>0</v>
      </c>
      <c r="X781" s="40">
        <f t="shared" si="344"/>
        <v>0</v>
      </c>
      <c r="Y781" s="40">
        <f t="shared" si="345"/>
        <v>0</v>
      </c>
      <c r="Z781" s="40">
        <f t="shared" si="346"/>
        <v>0</v>
      </c>
      <c r="AA781" s="40">
        <f t="shared" si="347"/>
        <v>1</v>
      </c>
      <c r="AB781" s="40">
        <f t="shared" si="348"/>
        <v>0</v>
      </c>
      <c r="AC781" s="40">
        <f t="shared" si="349"/>
        <v>0</v>
      </c>
      <c r="AD781" s="40">
        <f t="shared" si="350"/>
        <v>0</v>
      </c>
      <c r="AE781" s="40">
        <f t="shared" si="351"/>
        <v>0</v>
      </c>
      <c r="AF781" s="40">
        <f t="shared" si="352"/>
        <v>0</v>
      </c>
      <c r="AG781" s="40">
        <f t="shared" si="353"/>
        <v>0</v>
      </c>
      <c r="AH781" s="40">
        <f t="shared" si="354"/>
        <v>0</v>
      </c>
      <c r="AI781" s="40">
        <f t="shared" si="355"/>
        <v>0</v>
      </c>
      <c r="AJ781" s="40">
        <f t="shared" si="356"/>
        <v>0</v>
      </c>
      <c r="AK781" s="40">
        <f t="shared" si="357"/>
        <v>0</v>
      </c>
      <c r="AL781" s="40">
        <f t="shared" si="358"/>
        <v>0</v>
      </c>
      <c r="AM781" s="40">
        <f t="shared" si="359"/>
        <v>1</v>
      </c>
      <c r="AN781" s="40">
        <f t="shared" si="360"/>
        <v>0</v>
      </c>
      <c r="AO781" s="40">
        <f t="shared" si="361"/>
        <v>0</v>
      </c>
      <c r="AP781" s="40">
        <f t="shared" si="362"/>
        <v>0</v>
      </c>
      <c r="AQ781" s="40">
        <f t="shared" si="363"/>
        <v>0</v>
      </c>
      <c r="AR781" s="40">
        <f t="shared" si="364"/>
        <v>0</v>
      </c>
      <c r="AS781" s="40">
        <f t="shared" si="365"/>
        <v>0</v>
      </c>
    </row>
    <row r="782" spans="2:45" ht="14.4" customHeight="1" x14ac:dyDescent="0.25">
      <c r="B782" s="56" t="s">
        <v>45</v>
      </c>
      <c r="C782" s="57" t="s">
        <v>39</v>
      </c>
      <c r="D782" s="58" t="s">
        <v>35</v>
      </c>
      <c r="E782" s="62">
        <v>5.7000000000000011E-3</v>
      </c>
      <c r="F782" s="65">
        <f t="shared" si="366"/>
        <v>-5.1672891041416324</v>
      </c>
      <c r="S782" s="40">
        <f t="shared" si="339"/>
        <v>0</v>
      </c>
      <c r="T782" s="40">
        <f t="shared" si="340"/>
        <v>0</v>
      </c>
      <c r="U782" s="40">
        <f t="shared" si="341"/>
        <v>0</v>
      </c>
      <c r="V782" s="40">
        <f t="shared" si="342"/>
        <v>1</v>
      </c>
      <c r="W782" s="40">
        <f t="shared" si="343"/>
        <v>0</v>
      </c>
      <c r="X782" s="40">
        <f t="shared" si="344"/>
        <v>0</v>
      </c>
      <c r="Y782" s="40">
        <f t="shared" si="345"/>
        <v>0</v>
      </c>
      <c r="Z782" s="40">
        <f t="shared" si="346"/>
        <v>0</v>
      </c>
      <c r="AA782" s="40">
        <f t="shared" si="347"/>
        <v>0</v>
      </c>
      <c r="AB782" s="40">
        <f t="shared" si="348"/>
        <v>0</v>
      </c>
      <c r="AC782" s="40">
        <f t="shared" si="349"/>
        <v>0</v>
      </c>
      <c r="AD782" s="40">
        <f t="shared" si="350"/>
        <v>0</v>
      </c>
      <c r="AE782" s="40">
        <f t="shared" si="351"/>
        <v>0</v>
      </c>
      <c r="AF782" s="40">
        <f t="shared" si="352"/>
        <v>1</v>
      </c>
      <c r="AG782" s="40">
        <f t="shared" si="353"/>
        <v>0</v>
      </c>
      <c r="AH782" s="40">
        <f t="shared" si="354"/>
        <v>0</v>
      </c>
      <c r="AI782" s="40">
        <f t="shared" si="355"/>
        <v>0</v>
      </c>
      <c r="AJ782" s="40">
        <f t="shared" si="356"/>
        <v>0</v>
      </c>
      <c r="AK782" s="40">
        <f t="shared" si="357"/>
        <v>0</v>
      </c>
      <c r="AL782" s="40">
        <f t="shared" si="358"/>
        <v>0</v>
      </c>
      <c r="AM782" s="40">
        <f t="shared" si="359"/>
        <v>0</v>
      </c>
      <c r="AN782" s="40">
        <f t="shared" si="360"/>
        <v>0</v>
      </c>
      <c r="AO782" s="40">
        <f t="shared" si="361"/>
        <v>0</v>
      </c>
      <c r="AP782" s="40">
        <f t="shared" si="362"/>
        <v>0</v>
      </c>
      <c r="AQ782" s="40">
        <f t="shared" si="363"/>
        <v>0</v>
      </c>
      <c r="AR782" s="40">
        <f t="shared" si="364"/>
        <v>0</v>
      </c>
      <c r="AS782" s="40">
        <f t="shared" si="365"/>
        <v>1</v>
      </c>
    </row>
    <row r="783" spans="2:45" ht="14.4" customHeight="1" x14ac:dyDescent="0.25">
      <c r="B783" s="56" t="s">
        <v>45</v>
      </c>
      <c r="C783" s="57" t="s">
        <v>26</v>
      </c>
      <c r="D783" s="58" t="s">
        <v>22</v>
      </c>
      <c r="E783" s="62">
        <v>8.8999999999999982E-3</v>
      </c>
      <c r="F783" s="65">
        <f t="shared" si="366"/>
        <v>-4.7217040022440431</v>
      </c>
      <c r="S783" s="40">
        <f t="shared" si="339"/>
        <v>0</v>
      </c>
      <c r="T783" s="40">
        <f t="shared" si="340"/>
        <v>0</v>
      </c>
      <c r="U783" s="40">
        <f t="shared" si="341"/>
        <v>0</v>
      </c>
      <c r="V783" s="40">
        <f t="shared" si="342"/>
        <v>1</v>
      </c>
      <c r="W783" s="40">
        <f t="shared" si="343"/>
        <v>0</v>
      </c>
      <c r="X783" s="40">
        <f t="shared" si="344"/>
        <v>0</v>
      </c>
      <c r="Y783" s="40">
        <f t="shared" si="345"/>
        <v>0</v>
      </c>
      <c r="Z783" s="40">
        <f t="shared" si="346"/>
        <v>0</v>
      </c>
      <c r="AA783" s="40">
        <f t="shared" si="347"/>
        <v>0</v>
      </c>
      <c r="AB783" s="40">
        <f t="shared" si="348"/>
        <v>0</v>
      </c>
      <c r="AC783" s="40">
        <f t="shared" si="349"/>
        <v>0</v>
      </c>
      <c r="AD783" s="40">
        <f t="shared" si="350"/>
        <v>0</v>
      </c>
      <c r="AE783" s="40">
        <f t="shared" si="351"/>
        <v>0</v>
      </c>
      <c r="AF783" s="40">
        <f t="shared" si="352"/>
        <v>1</v>
      </c>
      <c r="AG783" s="40">
        <f t="shared" si="353"/>
        <v>0</v>
      </c>
      <c r="AH783" s="40">
        <f t="shared" si="354"/>
        <v>0</v>
      </c>
      <c r="AI783" s="40">
        <f t="shared" si="355"/>
        <v>1</v>
      </c>
      <c r="AJ783" s="40">
        <f t="shared" si="356"/>
        <v>0</v>
      </c>
      <c r="AK783" s="40">
        <f t="shared" si="357"/>
        <v>0</v>
      </c>
      <c r="AL783" s="40">
        <f t="shared" si="358"/>
        <v>0</v>
      </c>
      <c r="AM783" s="40">
        <f t="shared" si="359"/>
        <v>0</v>
      </c>
      <c r="AN783" s="40">
        <f t="shared" si="360"/>
        <v>0</v>
      </c>
      <c r="AO783" s="40">
        <f t="shared" si="361"/>
        <v>0</v>
      </c>
      <c r="AP783" s="40">
        <f t="shared" si="362"/>
        <v>0</v>
      </c>
      <c r="AQ783" s="40">
        <f t="shared" si="363"/>
        <v>0</v>
      </c>
      <c r="AR783" s="40">
        <f t="shared" si="364"/>
        <v>0</v>
      </c>
      <c r="AS783" s="40">
        <f t="shared" si="365"/>
        <v>0</v>
      </c>
    </row>
    <row r="784" spans="2:45" ht="14.4" customHeight="1" x14ac:dyDescent="0.25">
      <c r="B784" s="56" t="s">
        <v>45</v>
      </c>
      <c r="C784" s="57" t="s">
        <v>26</v>
      </c>
      <c r="D784" s="58" t="s">
        <v>28</v>
      </c>
      <c r="E784" s="62">
        <v>9.4000000000000004E-3</v>
      </c>
      <c r="F784" s="65">
        <f t="shared" si="366"/>
        <v>-4.6670455897061789</v>
      </c>
      <c r="S784" s="40">
        <f t="shared" si="339"/>
        <v>0</v>
      </c>
      <c r="T784" s="40">
        <f t="shared" si="340"/>
        <v>0</v>
      </c>
      <c r="U784" s="40">
        <f t="shared" si="341"/>
        <v>0</v>
      </c>
      <c r="V784" s="40">
        <f t="shared" si="342"/>
        <v>1</v>
      </c>
      <c r="W784" s="40">
        <f t="shared" si="343"/>
        <v>0</v>
      </c>
      <c r="X784" s="40">
        <f t="shared" si="344"/>
        <v>0</v>
      </c>
      <c r="Y784" s="40">
        <f t="shared" si="345"/>
        <v>0</v>
      </c>
      <c r="Z784" s="40">
        <f t="shared" si="346"/>
        <v>0</v>
      </c>
      <c r="AA784" s="40">
        <f t="shared" si="347"/>
        <v>0</v>
      </c>
      <c r="AB784" s="40">
        <f t="shared" si="348"/>
        <v>0</v>
      </c>
      <c r="AC784" s="40">
        <f t="shared" si="349"/>
        <v>0</v>
      </c>
      <c r="AD784" s="40">
        <f t="shared" si="350"/>
        <v>0</v>
      </c>
      <c r="AE784" s="40">
        <f t="shared" si="351"/>
        <v>0</v>
      </c>
      <c r="AF784" s="40">
        <f t="shared" si="352"/>
        <v>1</v>
      </c>
      <c r="AG784" s="40">
        <f t="shared" si="353"/>
        <v>0</v>
      </c>
      <c r="AH784" s="40">
        <f t="shared" si="354"/>
        <v>0</v>
      </c>
      <c r="AI784" s="40">
        <f t="shared" si="355"/>
        <v>0</v>
      </c>
      <c r="AJ784" s="40">
        <f t="shared" si="356"/>
        <v>0</v>
      </c>
      <c r="AK784" s="40">
        <f t="shared" si="357"/>
        <v>1</v>
      </c>
      <c r="AL784" s="40">
        <f t="shared" si="358"/>
        <v>0</v>
      </c>
      <c r="AM784" s="40">
        <f t="shared" si="359"/>
        <v>0</v>
      </c>
      <c r="AN784" s="40">
        <f t="shared" si="360"/>
        <v>0</v>
      </c>
      <c r="AO784" s="40">
        <f t="shared" si="361"/>
        <v>0</v>
      </c>
      <c r="AP784" s="40">
        <f t="shared" si="362"/>
        <v>0</v>
      </c>
      <c r="AQ784" s="40">
        <f t="shared" si="363"/>
        <v>0</v>
      </c>
      <c r="AR784" s="40">
        <f t="shared" si="364"/>
        <v>0</v>
      </c>
      <c r="AS784" s="40">
        <f t="shared" si="365"/>
        <v>0</v>
      </c>
    </row>
    <row r="785" spans="2:45" ht="14.4" customHeight="1" x14ac:dyDescent="0.25">
      <c r="B785" s="56" t="s">
        <v>45</v>
      </c>
      <c r="C785" s="57" t="s">
        <v>26</v>
      </c>
      <c r="D785" s="58" t="s">
        <v>32</v>
      </c>
      <c r="E785" s="62">
        <v>7.980000000000001E-3</v>
      </c>
      <c r="F785" s="65">
        <f t="shared" si="366"/>
        <v>-4.8308168675204195</v>
      </c>
      <c r="S785" s="40">
        <f t="shared" si="339"/>
        <v>0</v>
      </c>
      <c r="T785" s="40">
        <f t="shared" si="340"/>
        <v>0</v>
      </c>
      <c r="U785" s="40">
        <f t="shared" si="341"/>
        <v>0</v>
      </c>
      <c r="V785" s="40">
        <f t="shared" si="342"/>
        <v>1</v>
      </c>
      <c r="W785" s="40">
        <f t="shared" si="343"/>
        <v>0</v>
      </c>
      <c r="X785" s="40">
        <f t="shared" si="344"/>
        <v>0</v>
      </c>
      <c r="Y785" s="40">
        <f t="shared" si="345"/>
        <v>0</v>
      </c>
      <c r="Z785" s="40">
        <f t="shared" si="346"/>
        <v>0</v>
      </c>
      <c r="AA785" s="40">
        <f t="shared" si="347"/>
        <v>0</v>
      </c>
      <c r="AB785" s="40">
        <f t="shared" si="348"/>
        <v>0</v>
      </c>
      <c r="AC785" s="40">
        <f t="shared" si="349"/>
        <v>0</v>
      </c>
      <c r="AD785" s="40">
        <f t="shared" si="350"/>
        <v>0</v>
      </c>
      <c r="AE785" s="40">
        <f t="shared" si="351"/>
        <v>0</v>
      </c>
      <c r="AF785" s="40">
        <f t="shared" si="352"/>
        <v>1</v>
      </c>
      <c r="AG785" s="40">
        <f t="shared" si="353"/>
        <v>0</v>
      </c>
      <c r="AH785" s="40">
        <f t="shared" si="354"/>
        <v>0</v>
      </c>
      <c r="AI785" s="40">
        <f t="shared" si="355"/>
        <v>0</v>
      </c>
      <c r="AJ785" s="40">
        <f t="shared" si="356"/>
        <v>0</v>
      </c>
      <c r="AK785" s="40">
        <f t="shared" si="357"/>
        <v>0</v>
      </c>
      <c r="AL785" s="40">
        <f t="shared" si="358"/>
        <v>1</v>
      </c>
      <c r="AM785" s="40">
        <f t="shared" si="359"/>
        <v>0</v>
      </c>
      <c r="AN785" s="40">
        <f t="shared" si="360"/>
        <v>0</v>
      </c>
      <c r="AO785" s="40">
        <f t="shared" si="361"/>
        <v>0</v>
      </c>
      <c r="AP785" s="40">
        <f t="shared" si="362"/>
        <v>0</v>
      </c>
      <c r="AQ785" s="40">
        <f t="shared" si="363"/>
        <v>0</v>
      </c>
      <c r="AR785" s="40">
        <f t="shared" si="364"/>
        <v>0</v>
      </c>
      <c r="AS785" s="40">
        <f t="shared" si="365"/>
        <v>0</v>
      </c>
    </row>
    <row r="786" spans="2:45" ht="14.4" customHeight="1" x14ac:dyDescent="0.25">
      <c r="B786" s="56" t="s">
        <v>45</v>
      </c>
      <c r="C786" s="57" t="s">
        <v>26</v>
      </c>
      <c r="D786" s="58" t="s">
        <v>24</v>
      </c>
      <c r="E786" s="62">
        <v>5.9800000000000018E-3</v>
      </c>
      <c r="F786" s="65">
        <f t="shared" si="366"/>
        <v>-5.1193347110195964</v>
      </c>
      <c r="S786" s="40">
        <f t="shared" si="339"/>
        <v>0</v>
      </c>
      <c r="T786" s="40">
        <f t="shared" si="340"/>
        <v>0</v>
      </c>
      <c r="U786" s="40">
        <f t="shared" si="341"/>
        <v>0</v>
      </c>
      <c r="V786" s="40">
        <f t="shared" si="342"/>
        <v>1</v>
      </c>
      <c r="W786" s="40">
        <f t="shared" si="343"/>
        <v>0</v>
      </c>
      <c r="X786" s="40">
        <f t="shared" si="344"/>
        <v>0</v>
      </c>
      <c r="Y786" s="40">
        <f t="shared" si="345"/>
        <v>0</v>
      </c>
      <c r="Z786" s="40">
        <f t="shared" si="346"/>
        <v>0</v>
      </c>
      <c r="AA786" s="40">
        <f t="shared" si="347"/>
        <v>0</v>
      </c>
      <c r="AB786" s="40">
        <f t="shared" si="348"/>
        <v>0</v>
      </c>
      <c r="AC786" s="40">
        <f t="shared" si="349"/>
        <v>0</v>
      </c>
      <c r="AD786" s="40">
        <f t="shared" si="350"/>
        <v>0</v>
      </c>
      <c r="AE786" s="40">
        <f t="shared" si="351"/>
        <v>0</v>
      </c>
      <c r="AF786" s="40">
        <f t="shared" si="352"/>
        <v>1</v>
      </c>
      <c r="AG786" s="40">
        <f t="shared" si="353"/>
        <v>0</v>
      </c>
      <c r="AH786" s="40">
        <f t="shared" si="354"/>
        <v>0</v>
      </c>
      <c r="AI786" s="40">
        <f t="shared" si="355"/>
        <v>0</v>
      </c>
      <c r="AJ786" s="40">
        <f t="shared" si="356"/>
        <v>0</v>
      </c>
      <c r="AK786" s="40">
        <f t="shared" si="357"/>
        <v>0</v>
      </c>
      <c r="AL786" s="40">
        <f t="shared" si="358"/>
        <v>0</v>
      </c>
      <c r="AM786" s="40">
        <f t="shared" si="359"/>
        <v>0</v>
      </c>
      <c r="AN786" s="40">
        <f t="shared" si="360"/>
        <v>0</v>
      </c>
      <c r="AO786" s="40">
        <f t="shared" si="361"/>
        <v>0</v>
      </c>
      <c r="AP786" s="40">
        <f t="shared" si="362"/>
        <v>0</v>
      </c>
      <c r="AQ786" s="40">
        <f t="shared" si="363"/>
        <v>0</v>
      </c>
      <c r="AR786" s="40">
        <f t="shared" si="364"/>
        <v>0</v>
      </c>
      <c r="AS786" s="40">
        <f t="shared" si="365"/>
        <v>1</v>
      </c>
    </row>
    <row r="787" spans="2:45" ht="14.4" customHeight="1" x14ac:dyDescent="0.25">
      <c r="B787" s="56" t="s">
        <v>45</v>
      </c>
      <c r="C787" s="57" t="s">
        <v>26</v>
      </c>
      <c r="D787" s="58" t="s">
        <v>22</v>
      </c>
      <c r="E787" s="62">
        <v>8.8100000000000019E-3</v>
      </c>
      <c r="F787" s="65">
        <f t="shared" si="366"/>
        <v>-4.7318678390340487</v>
      </c>
      <c r="S787" s="40">
        <f t="shared" si="339"/>
        <v>0</v>
      </c>
      <c r="T787" s="40">
        <f t="shared" si="340"/>
        <v>0</v>
      </c>
      <c r="U787" s="40">
        <f t="shared" si="341"/>
        <v>0</v>
      </c>
      <c r="V787" s="40">
        <f t="shared" si="342"/>
        <v>1</v>
      </c>
      <c r="W787" s="40">
        <f t="shared" si="343"/>
        <v>0</v>
      </c>
      <c r="X787" s="40">
        <f t="shared" si="344"/>
        <v>0</v>
      </c>
      <c r="Y787" s="40">
        <f t="shared" si="345"/>
        <v>0</v>
      </c>
      <c r="Z787" s="40">
        <f t="shared" si="346"/>
        <v>0</v>
      </c>
      <c r="AA787" s="40">
        <f t="shared" si="347"/>
        <v>0</v>
      </c>
      <c r="AB787" s="40">
        <f t="shared" si="348"/>
        <v>0</v>
      </c>
      <c r="AC787" s="40">
        <f t="shared" si="349"/>
        <v>0</v>
      </c>
      <c r="AD787" s="40">
        <f t="shared" si="350"/>
        <v>0</v>
      </c>
      <c r="AE787" s="40">
        <f t="shared" si="351"/>
        <v>0</v>
      </c>
      <c r="AF787" s="40">
        <f t="shared" si="352"/>
        <v>1</v>
      </c>
      <c r="AG787" s="40">
        <f t="shared" si="353"/>
        <v>0</v>
      </c>
      <c r="AH787" s="40">
        <f t="shared" si="354"/>
        <v>0</v>
      </c>
      <c r="AI787" s="40">
        <f t="shared" si="355"/>
        <v>0</v>
      </c>
      <c r="AJ787" s="40">
        <f t="shared" si="356"/>
        <v>0</v>
      </c>
      <c r="AK787" s="40">
        <f t="shared" si="357"/>
        <v>0</v>
      </c>
      <c r="AL787" s="40">
        <f t="shared" si="358"/>
        <v>1</v>
      </c>
      <c r="AM787" s="40">
        <f t="shared" si="359"/>
        <v>0</v>
      </c>
      <c r="AN787" s="40">
        <f t="shared" si="360"/>
        <v>0</v>
      </c>
      <c r="AO787" s="40">
        <f t="shared" si="361"/>
        <v>0</v>
      </c>
      <c r="AP787" s="40">
        <f t="shared" si="362"/>
        <v>0</v>
      </c>
      <c r="AQ787" s="40">
        <f t="shared" si="363"/>
        <v>0</v>
      </c>
      <c r="AR787" s="40">
        <f t="shared" si="364"/>
        <v>0</v>
      </c>
      <c r="AS787" s="40">
        <f t="shared" si="365"/>
        <v>0</v>
      </c>
    </row>
    <row r="788" spans="2:45" ht="14.4" customHeight="1" x14ac:dyDescent="0.25">
      <c r="B788" s="56" t="s">
        <v>45</v>
      </c>
      <c r="C788" s="57" t="s">
        <v>26</v>
      </c>
      <c r="D788" s="58" t="s">
        <v>24</v>
      </c>
      <c r="E788" s="62">
        <v>1.047E-2</v>
      </c>
      <c r="F788" s="65">
        <f t="shared" si="366"/>
        <v>-4.5592412540996916</v>
      </c>
      <c r="S788" s="40">
        <f t="shared" si="339"/>
        <v>0</v>
      </c>
      <c r="T788" s="40">
        <f t="shared" si="340"/>
        <v>0</v>
      </c>
      <c r="U788" s="40">
        <f t="shared" si="341"/>
        <v>0</v>
      </c>
      <c r="V788" s="40">
        <f t="shared" si="342"/>
        <v>1</v>
      </c>
      <c r="W788" s="40">
        <f t="shared" si="343"/>
        <v>0</v>
      </c>
      <c r="X788" s="40">
        <f t="shared" si="344"/>
        <v>0</v>
      </c>
      <c r="Y788" s="40">
        <f t="shared" si="345"/>
        <v>0</v>
      </c>
      <c r="Z788" s="40">
        <f t="shared" si="346"/>
        <v>0</v>
      </c>
      <c r="AA788" s="40">
        <f t="shared" si="347"/>
        <v>0</v>
      </c>
      <c r="AB788" s="40">
        <f t="shared" si="348"/>
        <v>0</v>
      </c>
      <c r="AC788" s="40">
        <f t="shared" si="349"/>
        <v>0</v>
      </c>
      <c r="AD788" s="40">
        <f t="shared" si="350"/>
        <v>0</v>
      </c>
      <c r="AE788" s="40">
        <f t="shared" si="351"/>
        <v>0</v>
      </c>
      <c r="AF788" s="40">
        <f t="shared" si="352"/>
        <v>1</v>
      </c>
      <c r="AG788" s="40">
        <f t="shared" si="353"/>
        <v>0</v>
      </c>
      <c r="AH788" s="40">
        <f t="shared" si="354"/>
        <v>0</v>
      </c>
      <c r="AI788" s="40">
        <f t="shared" si="355"/>
        <v>0</v>
      </c>
      <c r="AJ788" s="40">
        <f t="shared" si="356"/>
        <v>0</v>
      </c>
      <c r="AK788" s="40">
        <f t="shared" si="357"/>
        <v>1</v>
      </c>
      <c r="AL788" s="40">
        <f t="shared" si="358"/>
        <v>0</v>
      </c>
      <c r="AM788" s="40">
        <f t="shared" si="359"/>
        <v>0</v>
      </c>
      <c r="AN788" s="40">
        <f t="shared" si="360"/>
        <v>0</v>
      </c>
      <c r="AO788" s="40">
        <f t="shared" si="361"/>
        <v>0</v>
      </c>
      <c r="AP788" s="40">
        <f t="shared" si="362"/>
        <v>0</v>
      </c>
      <c r="AQ788" s="40">
        <f t="shared" si="363"/>
        <v>0</v>
      </c>
      <c r="AR788" s="40">
        <f t="shared" si="364"/>
        <v>0</v>
      </c>
      <c r="AS788" s="40">
        <f t="shared" si="365"/>
        <v>0</v>
      </c>
    </row>
    <row r="789" spans="2:45" ht="14.4" customHeight="1" x14ac:dyDescent="0.25">
      <c r="B789" s="56" t="s">
        <v>45</v>
      </c>
      <c r="C789" s="57" t="s">
        <v>26</v>
      </c>
      <c r="D789" s="58" t="s">
        <v>32</v>
      </c>
      <c r="E789" s="62">
        <v>4.7400000000000012E-3</v>
      </c>
      <c r="F789" s="65">
        <f t="shared" si="366"/>
        <v>-5.3517181432751517</v>
      </c>
      <c r="S789" s="40">
        <f t="shared" si="339"/>
        <v>0</v>
      </c>
      <c r="T789" s="40">
        <f t="shared" si="340"/>
        <v>0</v>
      </c>
      <c r="U789" s="40">
        <f t="shared" si="341"/>
        <v>0</v>
      </c>
      <c r="V789" s="40">
        <f t="shared" si="342"/>
        <v>1</v>
      </c>
      <c r="W789" s="40">
        <f t="shared" si="343"/>
        <v>0</v>
      </c>
      <c r="X789" s="40">
        <f t="shared" si="344"/>
        <v>0</v>
      </c>
      <c r="Y789" s="40">
        <f t="shared" si="345"/>
        <v>0</v>
      </c>
      <c r="Z789" s="40">
        <f t="shared" si="346"/>
        <v>0</v>
      </c>
      <c r="AA789" s="40">
        <f t="shared" si="347"/>
        <v>0</v>
      </c>
      <c r="AB789" s="40">
        <f t="shared" si="348"/>
        <v>0</v>
      </c>
      <c r="AC789" s="40">
        <f t="shared" si="349"/>
        <v>0</v>
      </c>
      <c r="AD789" s="40">
        <f t="shared" si="350"/>
        <v>0</v>
      </c>
      <c r="AE789" s="40">
        <f t="shared" si="351"/>
        <v>0</v>
      </c>
      <c r="AF789" s="40">
        <f t="shared" si="352"/>
        <v>1</v>
      </c>
      <c r="AG789" s="40">
        <f t="shared" si="353"/>
        <v>0</v>
      </c>
      <c r="AH789" s="40">
        <f t="shared" si="354"/>
        <v>0</v>
      </c>
      <c r="AI789" s="40">
        <f t="shared" si="355"/>
        <v>0</v>
      </c>
      <c r="AJ789" s="40">
        <f t="shared" si="356"/>
        <v>0</v>
      </c>
      <c r="AK789" s="40">
        <f t="shared" si="357"/>
        <v>1</v>
      </c>
      <c r="AL789" s="40">
        <f t="shared" si="358"/>
        <v>0</v>
      </c>
      <c r="AM789" s="40">
        <f t="shared" si="359"/>
        <v>0</v>
      </c>
      <c r="AN789" s="40">
        <f t="shared" si="360"/>
        <v>0</v>
      </c>
      <c r="AO789" s="40">
        <f t="shared" si="361"/>
        <v>0</v>
      </c>
      <c r="AP789" s="40">
        <f t="shared" si="362"/>
        <v>0</v>
      </c>
      <c r="AQ789" s="40">
        <f t="shared" si="363"/>
        <v>0</v>
      </c>
      <c r="AR789" s="40">
        <f t="shared" si="364"/>
        <v>0</v>
      </c>
      <c r="AS789" s="40">
        <f t="shared" si="365"/>
        <v>0</v>
      </c>
    </row>
    <row r="790" spans="2:45" ht="14.4" customHeight="1" x14ac:dyDescent="0.25">
      <c r="B790" s="56" t="s">
        <v>45</v>
      </c>
      <c r="C790" s="57" t="s">
        <v>26</v>
      </c>
      <c r="D790" s="58" t="s">
        <v>32</v>
      </c>
      <c r="E790" s="62">
        <v>8.0800000000000021E-3</v>
      </c>
      <c r="F790" s="65">
        <f t="shared" si="366"/>
        <v>-4.8183634064491327</v>
      </c>
      <c r="S790" s="40">
        <f t="shared" si="339"/>
        <v>0</v>
      </c>
      <c r="T790" s="40">
        <f t="shared" si="340"/>
        <v>0</v>
      </c>
      <c r="U790" s="40">
        <f t="shared" si="341"/>
        <v>0</v>
      </c>
      <c r="V790" s="40">
        <f t="shared" si="342"/>
        <v>1</v>
      </c>
      <c r="W790" s="40">
        <f t="shared" si="343"/>
        <v>0</v>
      </c>
      <c r="X790" s="40">
        <f t="shared" si="344"/>
        <v>0</v>
      </c>
      <c r="Y790" s="40">
        <f t="shared" si="345"/>
        <v>0</v>
      </c>
      <c r="Z790" s="40">
        <f t="shared" si="346"/>
        <v>0</v>
      </c>
      <c r="AA790" s="40">
        <f t="shared" si="347"/>
        <v>0</v>
      </c>
      <c r="AB790" s="40">
        <f t="shared" si="348"/>
        <v>0</v>
      </c>
      <c r="AC790" s="40">
        <f t="shared" si="349"/>
        <v>0</v>
      </c>
      <c r="AD790" s="40">
        <f t="shared" si="350"/>
        <v>0</v>
      </c>
      <c r="AE790" s="40">
        <f t="shared" si="351"/>
        <v>0</v>
      </c>
      <c r="AF790" s="40">
        <f t="shared" si="352"/>
        <v>1</v>
      </c>
      <c r="AG790" s="40">
        <f t="shared" si="353"/>
        <v>0</v>
      </c>
      <c r="AH790" s="40">
        <f t="shared" si="354"/>
        <v>0</v>
      </c>
      <c r="AI790" s="40">
        <f t="shared" si="355"/>
        <v>0</v>
      </c>
      <c r="AJ790" s="40">
        <f t="shared" si="356"/>
        <v>0</v>
      </c>
      <c r="AK790" s="40">
        <f t="shared" si="357"/>
        <v>0</v>
      </c>
      <c r="AL790" s="40">
        <f t="shared" si="358"/>
        <v>1</v>
      </c>
      <c r="AM790" s="40">
        <f t="shared" si="359"/>
        <v>0</v>
      </c>
      <c r="AN790" s="40">
        <f t="shared" si="360"/>
        <v>0</v>
      </c>
      <c r="AO790" s="40">
        <f t="shared" si="361"/>
        <v>0</v>
      </c>
      <c r="AP790" s="40">
        <f t="shared" si="362"/>
        <v>0</v>
      </c>
      <c r="AQ790" s="40">
        <f t="shared" si="363"/>
        <v>0</v>
      </c>
      <c r="AR790" s="40">
        <f t="shared" si="364"/>
        <v>0</v>
      </c>
      <c r="AS790" s="40">
        <f t="shared" si="365"/>
        <v>0</v>
      </c>
    </row>
    <row r="791" spans="2:45" ht="14.4" customHeight="1" x14ac:dyDescent="0.25">
      <c r="B791" s="56" t="s">
        <v>45</v>
      </c>
      <c r="C791" s="57" t="s">
        <v>26</v>
      </c>
      <c r="D791" s="58" t="s">
        <v>24</v>
      </c>
      <c r="E791" s="62">
        <v>1.0460000000000002E-2</v>
      </c>
      <c r="F791" s="65">
        <f t="shared" si="366"/>
        <v>-4.56019682034536</v>
      </c>
      <c r="S791" s="40">
        <f t="shared" si="339"/>
        <v>0</v>
      </c>
      <c r="T791" s="40">
        <f t="shared" si="340"/>
        <v>0</v>
      </c>
      <c r="U791" s="40">
        <f t="shared" si="341"/>
        <v>0</v>
      </c>
      <c r="V791" s="40">
        <f t="shared" si="342"/>
        <v>1</v>
      </c>
      <c r="W791" s="40">
        <f t="shared" si="343"/>
        <v>0</v>
      </c>
      <c r="X791" s="40">
        <f t="shared" si="344"/>
        <v>0</v>
      </c>
      <c r="Y791" s="40">
        <f t="shared" si="345"/>
        <v>0</v>
      </c>
      <c r="Z791" s="40">
        <f t="shared" si="346"/>
        <v>0</v>
      </c>
      <c r="AA791" s="40">
        <f t="shared" si="347"/>
        <v>0</v>
      </c>
      <c r="AB791" s="40">
        <f t="shared" si="348"/>
        <v>0</v>
      </c>
      <c r="AC791" s="40">
        <f t="shared" si="349"/>
        <v>0</v>
      </c>
      <c r="AD791" s="40">
        <f t="shared" si="350"/>
        <v>0</v>
      </c>
      <c r="AE791" s="40">
        <f t="shared" si="351"/>
        <v>0</v>
      </c>
      <c r="AF791" s="40">
        <f t="shared" si="352"/>
        <v>1</v>
      </c>
      <c r="AG791" s="40">
        <f t="shared" si="353"/>
        <v>0</v>
      </c>
      <c r="AH791" s="40">
        <f t="shared" si="354"/>
        <v>0</v>
      </c>
      <c r="AI791" s="40">
        <f t="shared" si="355"/>
        <v>0</v>
      </c>
      <c r="AJ791" s="40">
        <f t="shared" si="356"/>
        <v>0</v>
      </c>
      <c r="AK791" s="40">
        <f t="shared" si="357"/>
        <v>0</v>
      </c>
      <c r="AL791" s="40">
        <f t="shared" si="358"/>
        <v>0</v>
      </c>
      <c r="AM791" s="40">
        <f t="shared" si="359"/>
        <v>0</v>
      </c>
      <c r="AN791" s="40">
        <f t="shared" si="360"/>
        <v>0</v>
      </c>
      <c r="AO791" s="40">
        <f t="shared" si="361"/>
        <v>0</v>
      </c>
      <c r="AP791" s="40">
        <f t="shared" si="362"/>
        <v>0</v>
      </c>
      <c r="AQ791" s="40">
        <f t="shared" si="363"/>
        <v>1</v>
      </c>
      <c r="AR791" s="40">
        <f t="shared" si="364"/>
        <v>0</v>
      </c>
      <c r="AS791" s="40">
        <f t="shared" si="365"/>
        <v>0</v>
      </c>
    </row>
    <row r="792" spans="2:45" ht="14.4" customHeight="1" x14ac:dyDescent="0.25">
      <c r="B792" s="56" t="s">
        <v>45</v>
      </c>
      <c r="C792" s="57" t="s">
        <v>26</v>
      </c>
      <c r="D792" s="58" t="s">
        <v>30</v>
      </c>
      <c r="E792" s="62">
        <v>6.5999999999999974E-3</v>
      </c>
      <c r="F792" s="65">
        <f t="shared" si="366"/>
        <v>-5.0206856299497575</v>
      </c>
      <c r="S792" s="40">
        <f t="shared" si="339"/>
        <v>0</v>
      </c>
      <c r="T792" s="40">
        <f t="shared" si="340"/>
        <v>0</v>
      </c>
      <c r="U792" s="40">
        <f t="shared" si="341"/>
        <v>0</v>
      </c>
      <c r="V792" s="40">
        <f t="shared" si="342"/>
        <v>1</v>
      </c>
      <c r="W792" s="40">
        <f t="shared" si="343"/>
        <v>0</v>
      </c>
      <c r="X792" s="40">
        <f t="shared" si="344"/>
        <v>0</v>
      </c>
      <c r="Y792" s="40">
        <f t="shared" si="345"/>
        <v>0</v>
      </c>
      <c r="Z792" s="40">
        <f t="shared" si="346"/>
        <v>0</v>
      </c>
      <c r="AA792" s="40">
        <f t="shared" si="347"/>
        <v>0</v>
      </c>
      <c r="AB792" s="40">
        <f t="shared" si="348"/>
        <v>0</v>
      </c>
      <c r="AC792" s="40">
        <f t="shared" si="349"/>
        <v>0</v>
      </c>
      <c r="AD792" s="40">
        <f t="shared" si="350"/>
        <v>0</v>
      </c>
      <c r="AE792" s="40">
        <f t="shared" si="351"/>
        <v>0</v>
      </c>
      <c r="AF792" s="40">
        <f t="shared" si="352"/>
        <v>1</v>
      </c>
      <c r="AG792" s="40">
        <f t="shared" si="353"/>
        <v>0</v>
      </c>
      <c r="AH792" s="40">
        <f t="shared" si="354"/>
        <v>0</v>
      </c>
      <c r="AI792" s="40">
        <f t="shared" si="355"/>
        <v>0</v>
      </c>
      <c r="AJ792" s="40">
        <f t="shared" si="356"/>
        <v>0</v>
      </c>
      <c r="AK792" s="40">
        <f t="shared" si="357"/>
        <v>1</v>
      </c>
      <c r="AL792" s="40">
        <f t="shared" si="358"/>
        <v>0</v>
      </c>
      <c r="AM792" s="40">
        <f t="shared" si="359"/>
        <v>0</v>
      </c>
      <c r="AN792" s="40">
        <f t="shared" si="360"/>
        <v>0</v>
      </c>
      <c r="AO792" s="40">
        <f t="shared" si="361"/>
        <v>0</v>
      </c>
      <c r="AP792" s="40">
        <f t="shared" si="362"/>
        <v>0</v>
      </c>
      <c r="AQ792" s="40">
        <f t="shared" si="363"/>
        <v>0</v>
      </c>
      <c r="AR792" s="40">
        <f t="shared" si="364"/>
        <v>0</v>
      </c>
      <c r="AS792" s="40">
        <f t="shared" si="365"/>
        <v>0</v>
      </c>
    </row>
    <row r="793" spans="2:45" ht="14.4" customHeight="1" x14ac:dyDescent="0.25">
      <c r="B793" s="56" t="s">
        <v>45</v>
      </c>
      <c r="C793" s="57" t="s">
        <v>26</v>
      </c>
      <c r="D793" s="58" t="s">
        <v>32</v>
      </c>
      <c r="E793" s="62">
        <v>8.709999999999999E-3</v>
      </c>
      <c r="F793" s="65">
        <f t="shared" si="366"/>
        <v>-4.7432834881177257</v>
      </c>
      <c r="S793" s="40">
        <f t="shared" si="339"/>
        <v>0</v>
      </c>
      <c r="T793" s="40">
        <f t="shared" si="340"/>
        <v>0</v>
      </c>
      <c r="U793" s="40">
        <f t="shared" si="341"/>
        <v>0</v>
      </c>
      <c r="V793" s="40">
        <f t="shared" si="342"/>
        <v>1</v>
      </c>
      <c r="W793" s="40">
        <f t="shared" si="343"/>
        <v>0</v>
      </c>
      <c r="X793" s="40">
        <f t="shared" si="344"/>
        <v>0</v>
      </c>
      <c r="Y793" s="40">
        <f t="shared" si="345"/>
        <v>0</v>
      </c>
      <c r="Z793" s="40">
        <f t="shared" si="346"/>
        <v>0</v>
      </c>
      <c r="AA793" s="40">
        <f t="shared" si="347"/>
        <v>0</v>
      </c>
      <c r="AB793" s="40">
        <f t="shared" si="348"/>
        <v>0</v>
      </c>
      <c r="AC793" s="40">
        <f t="shared" si="349"/>
        <v>0</v>
      </c>
      <c r="AD793" s="40">
        <f t="shared" si="350"/>
        <v>0</v>
      </c>
      <c r="AE793" s="40">
        <f t="shared" si="351"/>
        <v>0</v>
      </c>
      <c r="AF793" s="40">
        <f t="shared" si="352"/>
        <v>1</v>
      </c>
      <c r="AG793" s="40">
        <f t="shared" si="353"/>
        <v>0</v>
      </c>
      <c r="AH793" s="40">
        <f t="shared" si="354"/>
        <v>0</v>
      </c>
      <c r="AI793" s="40">
        <f t="shared" si="355"/>
        <v>1</v>
      </c>
      <c r="AJ793" s="40">
        <f t="shared" si="356"/>
        <v>0</v>
      </c>
      <c r="AK793" s="40">
        <f t="shared" si="357"/>
        <v>0</v>
      </c>
      <c r="AL793" s="40">
        <f t="shared" si="358"/>
        <v>0</v>
      </c>
      <c r="AM793" s="40">
        <f t="shared" si="359"/>
        <v>0</v>
      </c>
      <c r="AN793" s="40">
        <f t="shared" si="360"/>
        <v>0</v>
      </c>
      <c r="AO793" s="40">
        <f t="shared" si="361"/>
        <v>0</v>
      </c>
      <c r="AP793" s="40">
        <f t="shared" si="362"/>
        <v>0</v>
      </c>
      <c r="AQ793" s="40">
        <f t="shared" si="363"/>
        <v>0</v>
      </c>
      <c r="AR793" s="40">
        <f t="shared" si="364"/>
        <v>0</v>
      </c>
      <c r="AS793" s="40">
        <f t="shared" si="365"/>
        <v>0</v>
      </c>
    </row>
    <row r="794" spans="2:45" ht="14.4" customHeight="1" x14ac:dyDescent="0.25">
      <c r="B794" s="56" t="s">
        <v>45</v>
      </c>
      <c r="C794" s="57" t="s">
        <v>26</v>
      </c>
      <c r="D794" s="58" t="s">
        <v>28</v>
      </c>
      <c r="E794" s="62">
        <v>1.4960000000000005E-2</v>
      </c>
      <c r="F794" s="65">
        <f t="shared" si="366"/>
        <v>-4.2023753064358056</v>
      </c>
      <c r="S794" s="40">
        <f t="shared" si="339"/>
        <v>0</v>
      </c>
      <c r="T794" s="40">
        <f t="shared" si="340"/>
        <v>0</v>
      </c>
      <c r="U794" s="40">
        <f t="shared" si="341"/>
        <v>0</v>
      </c>
      <c r="V794" s="40">
        <f t="shared" si="342"/>
        <v>1</v>
      </c>
      <c r="W794" s="40">
        <f t="shared" si="343"/>
        <v>0</v>
      </c>
      <c r="X794" s="40">
        <f t="shared" si="344"/>
        <v>0</v>
      </c>
      <c r="Y794" s="40">
        <f t="shared" si="345"/>
        <v>0</v>
      </c>
      <c r="Z794" s="40">
        <f t="shared" si="346"/>
        <v>0</v>
      </c>
      <c r="AA794" s="40">
        <f t="shared" si="347"/>
        <v>0</v>
      </c>
      <c r="AB794" s="40">
        <f t="shared" si="348"/>
        <v>0</v>
      </c>
      <c r="AC794" s="40">
        <f t="shared" si="349"/>
        <v>0</v>
      </c>
      <c r="AD794" s="40">
        <f t="shared" si="350"/>
        <v>0</v>
      </c>
      <c r="AE794" s="40">
        <f t="shared" si="351"/>
        <v>0</v>
      </c>
      <c r="AF794" s="40">
        <f t="shared" si="352"/>
        <v>1</v>
      </c>
      <c r="AG794" s="40">
        <f t="shared" si="353"/>
        <v>0</v>
      </c>
      <c r="AH794" s="40">
        <f t="shared" si="354"/>
        <v>0</v>
      </c>
      <c r="AI794" s="40">
        <f t="shared" si="355"/>
        <v>1</v>
      </c>
      <c r="AJ794" s="40">
        <f t="shared" si="356"/>
        <v>0</v>
      </c>
      <c r="AK794" s="40">
        <f t="shared" si="357"/>
        <v>0</v>
      </c>
      <c r="AL794" s="40">
        <f t="shared" si="358"/>
        <v>0</v>
      </c>
      <c r="AM794" s="40">
        <f t="shared" si="359"/>
        <v>0</v>
      </c>
      <c r="AN794" s="40">
        <f t="shared" si="360"/>
        <v>0</v>
      </c>
      <c r="AO794" s="40">
        <f t="shared" si="361"/>
        <v>0</v>
      </c>
      <c r="AP794" s="40">
        <f t="shared" si="362"/>
        <v>0</v>
      </c>
      <c r="AQ794" s="40">
        <f t="shared" si="363"/>
        <v>0</v>
      </c>
      <c r="AR794" s="40">
        <f t="shared" si="364"/>
        <v>0</v>
      </c>
      <c r="AS794" s="40">
        <f t="shared" si="365"/>
        <v>0</v>
      </c>
    </row>
    <row r="795" spans="2:45" ht="14.4" customHeight="1" x14ac:dyDescent="0.25">
      <c r="B795" s="56" t="s">
        <v>45</v>
      </c>
      <c r="C795" s="57" t="s">
        <v>26</v>
      </c>
      <c r="D795" s="58" t="s">
        <v>28</v>
      </c>
      <c r="E795" s="62">
        <v>2.63E-3</v>
      </c>
      <c r="F795" s="65">
        <f t="shared" si="366"/>
        <v>-5.9407714327924639</v>
      </c>
      <c r="S795" s="40">
        <f t="shared" si="339"/>
        <v>0</v>
      </c>
      <c r="T795" s="40">
        <f t="shared" si="340"/>
        <v>0</v>
      </c>
      <c r="U795" s="40">
        <f t="shared" si="341"/>
        <v>0</v>
      </c>
      <c r="V795" s="40">
        <f t="shared" si="342"/>
        <v>1</v>
      </c>
      <c r="W795" s="40">
        <f t="shared" si="343"/>
        <v>0</v>
      </c>
      <c r="X795" s="40">
        <f t="shared" si="344"/>
        <v>0</v>
      </c>
      <c r="Y795" s="40">
        <f t="shared" si="345"/>
        <v>0</v>
      </c>
      <c r="Z795" s="40">
        <f t="shared" si="346"/>
        <v>0</v>
      </c>
      <c r="AA795" s="40">
        <f t="shared" si="347"/>
        <v>0</v>
      </c>
      <c r="AB795" s="40">
        <f t="shared" si="348"/>
        <v>0</v>
      </c>
      <c r="AC795" s="40">
        <f t="shared" si="349"/>
        <v>0</v>
      </c>
      <c r="AD795" s="40">
        <f t="shared" si="350"/>
        <v>0</v>
      </c>
      <c r="AE795" s="40">
        <f t="shared" si="351"/>
        <v>0</v>
      </c>
      <c r="AF795" s="40">
        <f t="shared" si="352"/>
        <v>1</v>
      </c>
      <c r="AG795" s="40">
        <f t="shared" si="353"/>
        <v>0</v>
      </c>
      <c r="AH795" s="40">
        <f t="shared" si="354"/>
        <v>0</v>
      </c>
      <c r="AI795" s="40">
        <f t="shared" si="355"/>
        <v>0</v>
      </c>
      <c r="AJ795" s="40">
        <f t="shared" si="356"/>
        <v>0</v>
      </c>
      <c r="AK795" s="40">
        <f t="shared" si="357"/>
        <v>0</v>
      </c>
      <c r="AL795" s="40">
        <f t="shared" si="358"/>
        <v>1</v>
      </c>
      <c r="AM795" s="40">
        <f t="shared" si="359"/>
        <v>0</v>
      </c>
      <c r="AN795" s="40">
        <f t="shared" si="360"/>
        <v>0</v>
      </c>
      <c r="AO795" s="40">
        <f t="shared" si="361"/>
        <v>0</v>
      </c>
      <c r="AP795" s="40">
        <f t="shared" si="362"/>
        <v>0</v>
      </c>
      <c r="AQ795" s="40">
        <f t="shared" si="363"/>
        <v>0</v>
      </c>
      <c r="AR795" s="40">
        <f t="shared" si="364"/>
        <v>0</v>
      </c>
      <c r="AS795" s="40">
        <f t="shared" si="365"/>
        <v>0</v>
      </c>
    </row>
    <row r="796" spans="2:45" ht="14.4" customHeight="1" x14ac:dyDescent="0.25">
      <c r="B796" s="56" t="s">
        <v>45</v>
      </c>
      <c r="C796" s="57" t="s">
        <v>26</v>
      </c>
      <c r="D796" s="58" t="s">
        <v>24</v>
      </c>
      <c r="E796" s="62">
        <v>5.6500000000000014E-3</v>
      </c>
      <c r="F796" s="65">
        <f t="shared" si="366"/>
        <v>-5.1760997338237873</v>
      </c>
      <c r="S796" s="40">
        <f t="shared" si="339"/>
        <v>0</v>
      </c>
      <c r="T796" s="40">
        <f t="shared" si="340"/>
        <v>0</v>
      </c>
      <c r="U796" s="40">
        <f t="shared" si="341"/>
        <v>0</v>
      </c>
      <c r="V796" s="40">
        <f t="shared" si="342"/>
        <v>1</v>
      </c>
      <c r="W796" s="40">
        <f t="shared" si="343"/>
        <v>0</v>
      </c>
      <c r="X796" s="40">
        <f t="shared" si="344"/>
        <v>0</v>
      </c>
      <c r="Y796" s="40">
        <f t="shared" si="345"/>
        <v>0</v>
      </c>
      <c r="Z796" s="40">
        <f t="shared" si="346"/>
        <v>0</v>
      </c>
      <c r="AA796" s="40">
        <f t="shared" si="347"/>
        <v>0</v>
      </c>
      <c r="AB796" s="40">
        <f t="shared" si="348"/>
        <v>1</v>
      </c>
      <c r="AC796" s="40">
        <f t="shared" si="349"/>
        <v>0</v>
      </c>
      <c r="AD796" s="40">
        <f t="shared" si="350"/>
        <v>0</v>
      </c>
      <c r="AE796" s="40">
        <f t="shared" si="351"/>
        <v>0</v>
      </c>
      <c r="AF796" s="40">
        <f t="shared" si="352"/>
        <v>0</v>
      </c>
      <c r="AG796" s="40">
        <f t="shared" si="353"/>
        <v>0</v>
      </c>
      <c r="AH796" s="40">
        <f t="shared" si="354"/>
        <v>0</v>
      </c>
      <c r="AI796" s="40">
        <f t="shared" si="355"/>
        <v>0</v>
      </c>
      <c r="AJ796" s="40">
        <f t="shared" si="356"/>
        <v>0</v>
      </c>
      <c r="AK796" s="40">
        <f t="shared" si="357"/>
        <v>0</v>
      </c>
      <c r="AL796" s="40">
        <f t="shared" si="358"/>
        <v>0</v>
      </c>
      <c r="AM796" s="40">
        <f t="shared" si="359"/>
        <v>0</v>
      </c>
      <c r="AN796" s="40">
        <f t="shared" si="360"/>
        <v>0</v>
      </c>
      <c r="AO796" s="40">
        <f t="shared" si="361"/>
        <v>0</v>
      </c>
      <c r="AP796" s="40">
        <f t="shared" si="362"/>
        <v>0</v>
      </c>
      <c r="AQ796" s="40">
        <f t="shared" si="363"/>
        <v>0</v>
      </c>
      <c r="AR796" s="40">
        <f t="shared" si="364"/>
        <v>0</v>
      </c>
      <c r="AS796" s="40">
        <f t="shared" si="365"/>
        <v>1</v>
      </c>
    </row>
    <row r="797" spans="2:45" ht="14.4" customHeight="1" x14ac:dyDescent="0.25">
      <c r="B797" s="56" t="s">
        <v>45</v>
      </c>
      <c r="C797" s="57" t="s">
        <v>25</v>
      </c>
      <c r="D797" s="58" t="s">
        <v>22</v>
      </c>
      <c r="E797" s="62">
        <v>3.7300000000000007E-3</v>
      </c>
      <c r="F797" s="65">
        <f t="shared" si="366"/>
        <v>-5.5913470453264127</v>
      </c>
      <c r="S797" s="40">
        <f t="shared" si="339"/>
        <v>0</v>
      </c>
      <c r="T797" s="40">
        <f t="shared" si="340"/>
        <v>0</v>
      </c>
      <c r="U797" s="40">
        <f t="shared" si="341"/>
        <v>0</v>
      </c>
      <c r="V797" s="40">
        <f t="shared" si="342"/>
        <v>1</v>
      </c>
      <c r="W797" s="40">
        <f t="shared" si="343"/>
        <v>0</v>
      </c>
      <c r="X797" s="40">
        <f t="shared" si="344"/>
        <v>0</v>
      </c>
      <c r="Y797" s="40">
        <f t="shared" si="345"/>
        <v>0</v>
      </c>
      <c r="Z797" s="40">
        <f t="shared" si="346"/>
        <v>0</v>
      </c>
      <c r="AA797" s="40">
        <f t="shared" si="347"/>
        <v>0</v>
      </c>
      <c r="AB797" s="40">
        <f t="shared" si="348"/>
        <v>1</v>
      </c>
      <c r="AC797" s="40">
        <f t="shared" si="349"/>
        <v>0</v>
      </c>
      <c r="AD797" s="40">
        <f t="shared" si="350"/>
        <v>0</v>
      </c>
      <c r="AE797" s="40">
        <f t="shared" si="351"/>
        <v>0</v>
      </c>
      <c r="AF797" s="40">
        <f t="shared" si="352"/>
        <v>0</v>
      </c>
      <c r="AG797" s="40">
        <f t="shared" si="353"/>
        <v>0</v>
      </c>
      <c r="AH797" s="40">
        <f t="shared" si="354"/>
        <v>0</v>
      </c>
      <c r="AI797" s="40">
        <f t="shared" si="355"/>
        <v>0</v>
      </c>
      <c r="AJ797" s="40">
        <f t="shared" si="356"/>
        <v>0</v>
      </c>
      <c r="AK797" s="40">
        <f t="shared" si="357"/>
        <v>0</v>
      </c>
      <c r="AL797" s="40">
        <f t="shared" si="358"/>
        <v>0</v>
      </c>
      <c r="AM797" s="40">
        <f t="shared" si="359"/>
        <v>0</v>
      </c>
      <c r="AN797" s="40">
        <f t="shared" si="360"/>
        <v>0</v>
      </c>
      <c r="AO797" s="40">
        <f t="shared" si="361"/>
        <v>1</v>
      </c>
      <c r="AP797" s="40">
        <f t="shared" si="362"/>
        <v>0</v>
      </c>
      <c r="AQ797" s="40">
        <f t="shared" si="363"/>
        <v>0</v>
      </c>
      <c r="AR797" s="40">
        <f t="shared" si="364"/>
        <v>0</v>
      </c>
      <c r="AS797" s="40">
        <f t="shared" si="365"/>
        <v>0</v>
      </c>
    </row>
    <row r="798" spans="2:45" ht="14.4" customHeight="1" x14ac:dyDescent="0.25">
      <c r="B798" s="56" t="s">
        <v>45</v>
      </c>
      <c r="C798" s="57" t="s">
        <v>25</v>
      </c>
      <c r="D798" s="58" t="s">
        <v>31</v>
      </c>
      <c r="E798" s="62">
        <v>3.1000000000000003E-3</v>
      </c>
      <c r="F798" s="65">
        <f t="shared" si="366"/>
        <v>-5.7763531674910364</v>
      </c>
      <c r="S798" s="40">
        <f t="shared" si="339"/>
        <v>0</v>
      </c>
      <c r="T798" s="40">
        <f t="shared" si="340"/>
        <v>0</v>
      </c>
      <c r="U798" s="40">
        <f t="shared" si="341"/>
        <v>0</v>
      </c>
      <c r="V798" s="40">
        <f t="shared" si="342"/>
        <v>1</v>
      </c>
      <c r="W798" s="40">
        <f t="shared" si="343"/>
        <v>0</v>
      </c>
      <c r="X798" s="40">
        <f t="shared" si="344"/>
        <v>0</v>
      </c>
      <c r="Y798" s="40">
        <f t="shared" si="345"/>
        <v>0</v>
      </c>
      <c r="Z798" s="40">
        <f t="shared" si="346"/>
        <v>0</v>
      </c>
      <c r="AA798" s="40">
        <f t="shared" si="347"/>
        <v>0</v>
      </c>
      <c r="AB798" s="40">
        <f t="shared" si="348"/>
        <v>0</v>
      </c>
      <c r="AC798" s="40">
        <f t="shared" si="349"/>
        <v>0</v>
      </c>
      <c r="AD798" s="40">
        <f t="shared" si="350"/>
        <v>0</v>
      </c>
      <c r="AE798" s="40">
        <f t="shared" si="351"/>
        <v>0</v>
      </c>
      <c r="AF798" s="40">
        <f t="shared" si="352"/>
        <v>1</v>
      </c>
      <c r="AG798" s="40">
        <f t="shared" si="353"/>
        <v>0</v>
      </c>
      <c r="AH798" s="40">
        <f t="shared" si="354"/>
        <v>0</v>
      </c>
      <c r="AI798" s="40">
        <f t="shared" si="355"/>
        <v>0</v>
      </c>
      <c r="AJ798" s="40">
        <f t="shared" si="356"/>
        <v>1</v>
      </c>
      <c r="AK798" s="40">
        <f t="shared" si="357"/>
        <v>0</v>
      </c>
      <c r="AL798" s="40">
        <f t="shared" si="358"/>
        <v>0</v>
      </c>
      <c r="AM798" s="40">
        <f t="shared" si="359"/>
        <v>0</v>
      </c>
      <c r="AN798" s="40">
        <f t="shared" si="360"/>
        <v>0</v>
      </c>
      <c r="AO798" s="40">
        <f t="shared" si="361"/>
        <v>0</v>
      </c>
      <c r="AP798" s="40">
        <f t="shared" si="362"/>
        <v>0</v>
      </c>
      <c r="AQ798" s="40">
        <f t="shared" si="363"/>
        <v>0</v>
      </c>
      <c r="AR798" s="40">
        <f t="shared" si="364"/>
        <v>0</v>
      </c>
      <c r="AS798" s="40">
        <f t="shared" si="365"/>
        <v>0</v>
      </c>
    </row>
    <row r="799" spans="2:45" ht="14.4" customHeight="1" x14ac:dyDescent="0.25">
      <c r="B799" s="56" t="s">
        <v>45</v>
      </c>
      <c r="C799" s="57" t="s">
        <v>26</v>
      </c>
      <c r="D799" s="58" t="s">
        <v>37</v>
      </c>
      <c r="E799" s="62">
        <v>4.3599999999999984E-3</v>
      </c>
      <c r="F799" s="65">
        <f t="shared" si="366"/>
        <v>-5.4352832216211944</v>
      </c>
      <c r="S799" s="40">
        <f t="shared" si="339"/>
        <v>0</v>
      </c>
      <c r="T799" s="40">
        <f t="shared" si="340"/>
        <v>0</v>
      </c>
      <c r="U799" s="40">
        <f t="shared" si="341"/>
        <v>0</v>
      </c>
      <c r="V799" s="40">
        <f t="shared" si="342"/>
        <v>1</v>
      </c>
      <c r="W799" s="40">
        <f t="shared" si="343"/>
        <v>0</v>
      </c>
      <c r="X799" s="40">
        <f t="shared" si="344"/>
        <v>0</v>
      </c>
      <c r="Y799" s="40">
        <f t="shared" si="345"/>
        <v>0</v>
      </c>
      <c r="Z799" s="40">
        <f t="shared" si="346"/>
        <v>0</v>
      </c>
      <c r="AA799" s="40">
        <f t="shared" si="347"/>
        <v>0</v>
      </c>
      <c r="AB799" s="40">
        <f t="shared" si="348"/>
        <v>0</v>
      </c>
      <c r="AC799" s="40">
        <f t="shared" si="349"/>
        <v>0</v>
      </c>
      <c r="AD799" s="40">
        <f t="shared" si="350"/>
        <v>0</v>
      </c>
      <c r="AE799" s="40">
        <f t="shared" si="351"/>
        <v>0</v>
      </c>
      <c r="AF799" s="40">
        <f t="shared" si="352"/>
        <v>1</v>
      </c>
      <c r="AG799" s="40">
        <f t="shared" si="353"/>
        <v>0</v>
      </c>
      <c r="AH799" s="40">
        <f t="shared" si="354"/>
        <v>0</v>
      </c>
      <c r="AI799" s="40">
        <f t="shared" si="355"/>
        <v>0</v>
      </c>
      <c r="AJ799" s="40">
        <f t="shared" si="356"/>
        <v>0</v>
      </c>
      <c r="AK799" s="40">
        <f t="shared" si="357"/>
        <v>1</v>
      </c>
      <c r="AL799" s="40">
        <f t="shared" si="358"/>
        <v>0</v>
      </c>
      <c r="AM799" s="40">
        <f t="shared" si="359"/>
        <v>0</v>
      </c>
      <c r="AN799" s="40">
        <f t="shared" si="360"/>
        <v>0</v>
      </c>
      <c r="AO799" s="40">
        <f t="shared" si="361"/>
        <v>0</v>
      </c>
      <c r="AP799" s="40">
        <f t="shared" si="362"/>
        <v>0</v>
      </c>
      <c r="AQ799" s="40">
        <f t="shared" si="363"/>
        <v>0</v>
      </c>
      <c r="AR799" s="40">
        <f t="shared" si="364"/>
        <v>0</v>
      </c>
      <c r="AS799" s="40">
        <f t="shared" si="365"/>
        <v>0</v>
      </c>
    </row>
    <row r="800" spans="2:45" ht="14.4" customHeight="1" x14ac:dyDescent="0.25">
      <c r="B800" s="56" t="s">
        <v>45</v>
      </c>
      <c r="C800" s="57" t="s">
        <v>26</v>
      </c>
      <c r="D800" s="58" t="s">
        <v>32</v>
      </c>
      <c r="E800" s="62">
        <v>9.020000000000002E-3</v>
      </c>
      <c r="F800" s="65">
        <f t="shared" si="366"/>
        <v>-4.7083109449076046</v>
      </c>
      <c r="S800" s="40">
        <f t="shared" si="339"/>
        <v>0</v>
      </c>
      <c r="T800" s="40">
        <f t="shared" si="340"/>
        <v>0</v>
      </c>
      <c r="U800" s="40">
        <f t="shared" si="341"/>
        <v>0</v>
      </c>
      <c r="V800" s="40">
        <f t="shared" si="342"/>
        <v>1</v>
      </c>
      <c r="W800" s="40">
        <f t="shared" si="343"/>
        <v>0</v>
      </c>
      <c r="X800" s="40">
        <f t="shared" si="344"/>
        <v>0</v>
      </c>
      <c r="Y800" s="40">
        <f t="shared" si="345"/>
        <v>0</v>
      </c>
      <c r="Z800" s="40">
        <f t="shared" si="346"/>
        <v>0</v>
      </c>
      <c r="AA800" s="40">
        <f t="shared" si="347"/>
        <v>0</v>
      </c>
      <c r="AB800" s="40">
        <f t="shared" si="348"/>
        <v>0</v>
      </c>
      <c r="AC800" s="40">
        <f t="shared" si="349"/>
        <v>0</v>
      </c>
      <c r="AD800" s="40">
        <f t="shared" si="350"/>
        <v>0</v>
      </c>
      <c r="AE800" s="40">
        <f t="shared" si="351"/>
        <v>0</v>
      </c>
      <c r="AF800" s="40">
        <f t="shared" si="352"/>
        <v>1</v>
      </c>
      <c r="AG800" s="40">
        <f t="shared" si="353"/>
        <v>0</v>
      </c>
      <c r="AH800" s="40">
        <f t="shared" si="354"/>
        <v>0</v>
      </c>
      <c r="AI800" s="40">
        <f t="shared" si="355"/>
        <v>0</v>
      </c>
      <c r="AJ800" s="40">
        <f t="shared" si="356"/>
        <v>0</v>
      </c>
      <c r="AK800" s="40">
        <f t="shared" si="357"/>
        <v>0</v>
      </c>
      <c r="AL800" s="40">
        <f t="shared" si="358"/>
        <v>0</v>
      </c>
      <c r="AM800" s="40">
        <f t="shared" si="359"/>
        <v>0</v>
      </c>
      <c r="AN800" s="40">
        <f t="shared" si="360"/>
        <v>0</v>
      </c>
      <c r="AO800" s="40">
        <f t="shared" si="361"/>
        <v>1</v>
      </c>
      <c r="AP800" s="40">
        <f t="shared" si="362"/>
        <v>0</v>
      </c>
      <c r="AQ800" s="40">
        <f t="shared" si="363"/>
        <v>0</v>
      </c>
      <c r="AR800" s="40">
        <f t="shared" si="364"/>
        <v>0</v>
      </c>
      <c r="AS800" s="40">
        <f t="shared" si="365"/>
        <v>0</v>
      </c>
    </row>
    <row r="801" spans="2:45" ht="14.4" customHeight="1" x14ac:dyDescent="0.25">
      <c r="B801" s="56" t="s">
        <v>45</v>
      </c>
      <c r="C801" s="57" t="s">
        <v>26</v>
      </c>
      <c r="D801" s="58" t="s">
        <v>31</v>
      </c>
      <c r="E801" s="62">
        <v>1.218E-2</v>
      </c>
      <c r="F801" s="65">
        <f t="shared" si="366"/>
        <v>-4.4079600167003861</v>
      </c>
      <c r="S801" s="40">
        <f t="shared" si="339"/>
        <v>0</v>
      </c>
      <c r="T801" s="40">
        <f t="shared" si="340"/>
        <v>0</v>
      </c>
      <c r="U801" s="40">
        <f t="shared" si="341"/>
        <v>0</v>
      </c>
      <c r="V801" s="40">
        <f t="shared" si="342"/>
        <v>1</v>
      </c>
      <c r="W801" s="40">
        <f t="shared" si="343"/>
        <v>0</v>
      </c>
      <c r="X801" s="40">
        <f t="shared" si="344"/>
        <v>0</v>
      </c>
      <c r="Y801" s="40">
        <f t="shared" si="345"/>
        <v>0</v>
      </c>
      <c r="Z801" s="40">
        <f t="shared" si="346"/>
        <v>0</v>
      </c>
      <c r="AA801" s="40">
        <f t="shared" si="347"/>
        <v>0</v>
      </c>
      <c r="AB801" s="40">
        <f t="shared" si="348"/>
        <v>0</v>
      </c>
      <c r="AC801" s="40">
        <f t="shared" si="349"/>
        <v>0</v>
      </c>
      <c r="AD801" s="40">
        <f t="shared" si="350"/>
        <v>0</v>
      </c>
      <c r="AE801" s="40">
        <f t="shared" si="351"/>
        <v>0</v>
      </c>
      <c r="AF801" s="40">
        <f t="shared" si="352"/>
        <v>1</v>
      </c>
      <c r="AG801" s="40">
        <f t="shared" si="353"/>
        <v>0</v>
      </c>
      <c r="AH801" s="40">
        <f t="shared" si="354"/>
        <v>0</v>
      </c>
      <c r="AI801" s="40">
        <f t="shared" si="355"/>
        <v>0</v>
      </c>
      <c r="AJ801" s="40">
        <f t="shared" si="356"/>
        <v>0</v>
      </c>
      <c r="AK801" s="40">
        <f t="shared" si="357"/>
        <v>1</v>
      </c>
      <c r="AL801" s="40">
        <f t="shared" si="358"/>
        <v>0</v>
      </c>
      <c r="AM801" s="40">
        <f t="shared" si="359"/>
        <v>0</v>
      </c>
      <c r="AN801" s="40">
        <f t="shared" si="360"/>
        <v>0</v>
      </c>
      <c r="AO801" s="40">
        <f t="shared" si="361"/>
        <v>0</v>
      </c>
      <c r="AP801" s="40">
        <f t="shared" si="362"/>
        <v>0</v>
      </c>
      <c r="AQ801" s="40">
        <f t="shared" si="363"/>
        <v>0</v>
      </c>
      <c r="AR801" s="40">
        <f t="shared" si="364"/>
        <v>0</v>
      </c>
      <c r="AS801" s="40">
        <f t="shared" si="365"/>
        <v>0</v>
      </c>
    </row>
    <row r="802" spans="2:45" ht="14.4" customHeight="1" x14ac:dyDescent="0.25">
      <c r="B802" s="56" t="s">
        <v>45</v>
      </c>
      <c r="C802" s="57" t="s">
        <v>26</v>
      </c>
      <c r="D802" s="58" t="s">
        <v>32</v>
      </c>
      <c r="E802" s="62">
        <v>1.0780000000000003E-2</v>
      </c>
      <c r="F802" s="65">
        <f t="shared" si="366"/>
        <v>-4.5300627135012856</v>
      </c>
      <c r="S802" s="40">
        <f t="shared" si="339"/>
        <v>0</v>
      </c>
      <c r="T802" s="40">
        <f t="shared" si="340"/>
        <v>0</v>
      </c>
      <c r="U802" s="40">
        <f t="shared" si="341"/>
        <v>0</v>
      </c>
      <c r="V802" s="40">
        <f t="shared" si="342"/>
        <v>1</v>
      </c>
      <c r="W802" s="40">
        <f t="shared" si="343"/>
        <v>0</v>
      </c>
      <c r="X802" s="40">
        <f t="shared" si="344"/>
        <v>0</v>
      </c>
      <c r="Y802" s="40">
        <f t="shared" si="345"/>
        <v>0</v>
      </c>
      <c r="Z802" s="40">
        <f t="shared" si="346"/>
        <v>0</v>
      </c>
      <c r="AA802" s="40">
        <f t="shared" si="347"/>
        <v>0</v>
      </c>
      <c r="AB802" s="40">
        <f t="shared" si="348"/>
        <v>0</v>
      </c>
      <c r="AC802" s="40">
        <f t="shared" si="349"/>
        <v>0</v>
      </c>
      <c r="AD802" s="40">
        <f t="shared" si="350"/>
        <v>0</v>
      </c>
      <c r="AE802" s="40">
        <f t="shared" si="351"/>
        <v>0</v>
      </c>
      <c r="AF802" s="40">
        <f t="shared" si="352"/>
        <v>1</v>
      </c>
      <c r="AG802" s="40">
        <f t="shared" si="353"/>
        <v>0</v>
      </c>
      <c r="AH802" s="40">
        <f t="shared" si="354"/>
        <v>0</v>
      </c>
      <c r="AI802" s="40">
        <f t="shared" si="355"/>
        <v>0</v>
      </c>
      <c r="AJ802" s="40">
        <f t="shared" si="356"/>
        <v>0</v>
      </c>
      <c r="AK802" s="40">
        <f t="shared" si="357"/>
        <v>1</v>
      </c>
      <c r="AL802" s="40">
        <f t="shared" si="358"/>
        <v>0</v>
      </c>
      <c r="AM802" s="40">
        <f t="shared" si="359"/>
        <v>0</v>
      </c>
      <c r="AN802" s="40">
        <f t="shared" si="360"/>
        <v>0</v>
      </c>
      <c r="AO802" s="40">
        <f t="shared" si="361"/>
        <v>0</v>
      </c>
      <c r="AP802" s="40">
        <f t="shared" si="362"/>
        <v>0</v>
      </c>
      <c r="AQ802" s="40">
        <f t="shared" si="363"/>
        <v>0</v>
      </c>
      <c r="AR802" s="40">
        <f t="shared" si="364"/>
        <v>0</v>
      </c>
      <c r="AS802" s="40">
        <f t="shared" si="365"/>
        <v>0</v>
      </c>
    </row>
    <row r="803" spans="2:45" ht="14.4" customHeight="1" x14ac:dyDescent="0.25">
      <c r="B803" s="56" t="s">
        <v>45</v>
      </c>
      <c r="C803" s="57" t="s">
        <v>26</v>
      </c>
      <c r="D803" s="58" t="s">
        <v>32</v>
      </c>
      <c r="E803" s="62">
        <v>6.069999999999999E-3</v>
      </c>
      <c r="F803" s="65">
        <f t="shared" si="366"/>
        <v>-5.1043966739107303</v>
      </c>
      <c r="S803" s="40">
        <f t="shared" si="339"/>
        <v>0</v>
      </c>
      <c r="T803" s="40">
        <f t="shared" si="340"/>
        <v>0</v>
      </c>
      <c r="U803" s="40">
        <f t="shared" si="341"/>
        <v>0</v>
      </c>
      <c r="V803" s="40">
        <f t="shared" si="342"/>
        <v>1</v>
      </c>
      <c r="W803" s="40">
        <f t="shared" si="343"/>
        <v>0</v>
      </c>
      <c r="X803" s="40">
        <f t="shared" si="344"/>
        <v>0</v>
      </c>
      <c r="Y803" s="40">
        <f t="shared" si="345"/>
        <v>0</v>
      </c>
      <c r="Z803" s="40">
        <f t="shared" si="346"/>
        <v>0</v>
      </c>
      <c r="AA803" s="40">
        <f t="shared" si="347"/>
        <v>0</v>
      </c>
      <c r="AB803" s="40">
        <f t="shared" si="348"/>
        <v>0</v>
      </c>
      <c r="AC803" s="40">
        <f t="shared" si="349"/>
        <v>0</v>
      </c>
      <c r="AD803" s="40">
        <f t="shared" si="350"/>
        <v>0</v>
      </c>
      <c r="AE803" s="40">
        <f t="shared" si="351"/>
        <v>0</v>
      </c>
      <c r="AF803" s="40">
        <f t="shared" si="352"/>
        <v>1</v>
      </c>
      <c r="AG803" s="40">
        <f t="shared" si="353"/>
        <v>0</v>
      </c>
      <c r="AH803" s="40">
        <f t="shared" si="354"/>
        <v>0</v>
      </c>
      <c r="AI803" s="40">
        <f t="shared" si="355"/>
        <v>0</v>
      </c>
      <c r="AJ803" s="40">
        <f t="shared" si="356"/>
        <v>1</v>
      </c>
      <c r="AK803" s="40">
        <f t="shared" si="357"/>
        <v>0</v>
      </c>
      <c r="AL803" s="40">
        <f t="shared" si="358"/>
        <v>0</v>
      </c>
      <c r="AM803" s="40">
        <f t="shared" si="359"/>
        <v>0</v>
      </c>
      <c r="AN803" s="40">
        <f t="shared" si="360"/>
        <v>0</v>
      </c>
      <c r="AO803" s="40">
        <f t="shared" si="361"/>
        <v>0</v>
      </c>
      <c r="AP803" s="40">
        <f t="shared" si="362"/>
        <v>0</v>
      </c>
      <c r="AQ803" s="40">
        <f t="shared" si="363"/>
        <v>0</v>
      </c>
      <c r="AR803" s="40">
        <f t="shared" si="364"/>
        <v>0</v>
      </c>
      <c r="AS803" s="40">
        <f t="shared" si="365"/>
        <v>0</v>
      </c>
    </row>
    <row r="804" spans="2:45" ht="14.4" customHeight="1" x14ac:dyDescent="0.25">
      <c r="B804" s="56" t="s">
        <v>45</v>
      </c>
      <c r="C804" s="57" t="s">
        <v>26</v>
      </c>
      <c r="D804" s="58" t="s">
        <v>37</v>
      </c>
      <c r="E804" s="62">
        <v>4.2300000000000011E-3</v>
      </c>
      <c r="F804" s="65">
        <f t="shared" si="366"/>
        <v>-5.4655532859239502</v>
      </c>
      <c r="S804" s="40">
        <f t="shared" si="339"/>
        <v>0</v>
      </c>
      <c r="T804" s="40">
        <f t="shared" si="340"/>
        <v>0</v>
      </c>
      <c r="U804" s="40">
        <f t="shared" si="341"/>
        <v>0</v>
      </c>
      <c r="V804" s="40">
        <f t="shared" si="342"/>
        <v>1</v>
      </c>
      <c r="W804" s="40">
        <f t="shared" si="343"/>
        <v>0</v>
      </c>
      <c r="X804" s="40">
        <f t="shared" si="344"/>
        <v>0</v>
      </c>
      <c r="Y804" s="40">
        <f t="shared" si="345"/>
        <v>0</v>
      </c>
      <c r="Z804" s="40">
        <f t="shared" si="346"/>
        <v>0</v>
      </c>
      <c r="AA804" s="40">
        <f t="shared" si="347"/>
        <v>0</v>
      </c>
      <c r="AB804" s="40">
        <f t="shared" si="348"/>
        <v>0</v>
      </c>
      <c r="AC804" s="40">
        <f t="shared" si="349"/>
        <v>0</v>
      </c>
      <c r="AD804" s="40">
        <f t="shared" si="350"/>
        <v>0</v>
      </c>
      <c r="AE804" s="40">
        <f t="shared" si="351"/>
        <v>0</v>
      </c>
      <c r="AF804" s="40">
        <f t="shared" si="352"/>
        <v>1</v>
      </c>
      <c r="AG804" s="40">
        <f t="shared" si="353"/>
        <v>0</v>
      </c>
      <c r="AH804" s="40">
        <f t="shared" si="354"/>
        <v>0</v>
      </c>
      <c r="AI804" s="40">
        <f t="shared" si="355"/>
        <v>0</v>
      </c>
      <c r="AJ804" s="40">
        <f t="shared" si="356"/>
        <v>0</v>
      </c>
      <c r="AK804" s="40">
        <f t="shared" si="357"/>
        <v>0</v>
      </c>
      <c r="AL804" s="40">
        <f t="shared" si="358"/>
        <v>0</v>
      </c>
      <c r="AM804" s="40">
        <f t="shared" si="359"/>
        <v>0</v>
      </c>
      <c r="AN804" s="40">
        <f t="shared" si="360"/>
        <v>0</v>
      </c>
      <c r="AO804" s="40">
        <f t="shared" si="361"/>
        <v>1</v>
      </c>
      <c r="AP804" s="40">
        <f t="shared" si="362"/>
        <v>0</v>
      </c>
      <c r="AQ804" s="40">
        <f t="shared" si="363"/>
        <v>0</v>
      </c>
      <c r="AR804" s="40">
        <f t="shared" si="364"/>
        <v>0</v>
      </c>
      <c r="AS804" s="40">
        <f t="shared" si="365"/>
        <v>0</v>
      </c>
    </row>
    <row r="805" spans="2:45" ht="14.4" customHeight="1" x14ac:dyDescent="0.25">
      <c r="B805" s="56" t="s">
        <v>45</v>
      </c>
      <c r="C805" s="57" t="s">
        <v>26</v>
      </c>
      <c r="D805" s="58" t="s">
        <v>31</v>
      </c>
      <c r="E805" s="62">
        <v>8.9900000000000032E-3</v>
      </c>
      <c r="F805" s="65">
        <f t="shared" si="366"/>
        <v>-4.7116424304986078</v>
      </c>
      <c r="S805" s="40">
        <f t="shared" si="339"/>
        <v>0</v>
      </c>
      <c r="T805" s="40">
        <f t="shared" si="340"/>
        <v>0</v>
      </c>
      <c r="U805" s="40">
        <f t="shared" si="341"/>
        <v>0</v>
      </c>
      <c r="V805" s="40">
        <f t="shared" si="342"/>
        <v>1</v>
      </c>
      <c r="W805" s="40">
        <f t="shared" si="343"/>
        <v>0</v>
      </c>
      <c r="X805" s="40">
        <f t="shared" si="344"/>
        <v>0</v>
      </c>
      <c r="Y805" s="40">
        <f t="shared" si="345"/>
        <v>0</v>
      </c>
      <c r="Z805" s="40">
        <f t="shared" si="346"/>
        <v>0</v>
      </c>
      <c r="AA805" s="40">
        <f t="shared" si="347"/>
        <v>0</v>
      </c>
      <c r="AB805" s="40">
        <f t="shared" si="348"/>
        <v>0</v>
      </c>
      <c r="AC805" s="40">
        <f t="shared" si="349"/>
        <v>1</v>
      </c>
      <c r="AD805" s="40">
        <f t="shared" si="350"/>
        <v>0</v>
      </c>
      <c r="AE805" s="40">
        <f t="shared" si="351"/>
        <v>0</v>
      </c>
      <c r="AF805" s="40">
        <f t="shared" si="352"/>
        <v>0</v>
      </c>
      <c r="AG805" s="40">
        <f t="shared" si="353"/>
        <v>0</v>
      </c>
      <c r="AH805" s="40">
        <f t="shared" si="354"/>
        <v>0</v>
      </c>
      <c r="AI805" s="40">
        <f t="shared" si="355"/>
        <v>0</v>
      </c>
      <c r="AJ805" s="40">
        <f t="shared" si="356"/>
        <v>0</v>
      </c>
      <c r="AK805" s="40">
        <f t="shared" si="357"/>
        <v>1</v>
      </c>
      <c r="AL805" s="40">
        <f t="shared" si="358"/>
        <v>0</v>
      </c>
      <c r="AM805" s="40">
        <f t="shared" si="359"/>
        <v>0</v>
      </c>
      <c r="AN805" s="40">
        <f t="shared" si="360"/>
        <v>0</v>
      </c>
      <c r="AO805" s="40">
        <f t="shared" si="361"/>
        <v>0</v>
      </c>
      <c r="AP805" s="40">
        <f t="shared" si="362"/>
        <v>0</v>
      </c>
      <c r="AQ805" s="40">
        <f t="shared" si="363"/>
        <v>0</v>
      </c>
      <c r="AR805" s="40">
        <f t="shared" si="364"/>
        <v>0</v>
      </c>
      <c r="AS805" s="40">
        <f t="shared" si="365"/>
        <v>0</v>
      </c>
    </row>
    <row r="806" spans="2:45" ht="14.4" customHeight="1" x14ac:dyDescent="0.25">
      <c r="B806" s="56" t="s">
        <v>45</v>
      </c>
      <c r="C806" s="57" t="s">
        <v>23</v>
      </c>
      <c r="D806" s="58" t="s">
        <v>32</v>
      </c>
      <c r="E806" s="62">
        <v>4.429999999999999E-3</v>
      </c>
      <c r="F806" s="65">
        <f t="shared" si="366"/>
        <v>-5.4193556949250929</v>
      </c>
      <c r="S806" s="40">
        <f t="shared" si="339"/>
        <v>0</v>
      </c>
      <c r="T806" s="40">
        <f t="shared" si="340"/>
        <v>0</v>
      </c>
      <c r="U806" s="40">
        <f t="shared" si="341"/>
        <v>0</v>
      </c>
      <c r="V806" s="40">
        <f t="shared" si="342"/>
        <v>1</v>
      </c>
      <c r="W806" s="40">
        <f t="shared" si="343"/>
        <v>0</v>
      </c>
      <c r="X806" s="40">
        <f t="shared" si="344"/>
        <v>0</v>
      </c>
      <c r="Y806" s="40">
        <f t="shared" si="345"/>
        <v>0</v>
      </c>
      <c r="Z806" s="40">
        <f t="shared" si="346"/>
        <v>0</v>
      </c>
      <c r="AA806" s="40">
        <f t="shared" si="347"/>
        <v>0</v>
      </c>
      <c r="AB806" s="40">
        <f t="shared" si="348"/>
        <v>0</v>
      </c>
      <c r="AC806" s="40">
        <f t="shared" si="349"/>
        <v>0</v>
      </c>
      <c r="AD806" s="40">
        <f t="shared" si="350"/>
        <v>0</v>
      </c>
      <c r="AE806" s="40">
        <f t="shared" si="351"/>
        <v>0</v>
      </c>
      <c r="AF806" s="40">
        <f t="shared" si="352"/>
        <v>1</v>
      </c>
      <c r="AG806" s="40">
        <f t="shared" si="353"/>
        <v>0</v>
      </c>
      <c r="AH806" s="40">
        <f t="shared" si="354"/>
        <v>0</v>
      </c>
      <c r="AI806" s="40">
        <f t="shared" si="355"/>
        <v>1</v>
      </c>
      <c r="AJ806" s="40">
        <f t="shared" si="356"/>
        <v>0</v>
      </c>
      <c r="AK806" s="40">
        <f t="shared" si="357"/>
        <v>0</v>
      </c>
      <c r="AL806" s="40">
        <f t="shared" si="358"/>
        <v>0</v>
      </c>
      <c r="AM806" s="40">
        <f t="shared" si="359"/>
        <v>0</v>
      </c>
      <c r="AN806" s="40">
        <f t="shared" si="360"/>
        <v>0</v>
      </c>
      <c r="AO806" s="40">
        <f t="shared" si="361"/>
        <v>0</v>
      </c>
      <c r="AP806" s="40">
        <f t="shared" si="362"/>
        <v>0</v>
      </c>
      <c r="AQ806" s="40">
        <f t="shared" si="363"/>
        <v>0</v>
      </c>
      <c r="AR806" s="40">
        <f t="shared" si="364"/>
        <v>0</v>
      </c>
      <c r="AS806" s="40">
        <f t="shared" si="365"/>
        <v>0</v>
      </c>
    </row>
    <row r="807" spans="2:45" ht="14.4" customHeight="1" x14ac:dyDescent="0.25">
      <c r="B807" s="56" t="s">
        <v>45</v>
      </c>
      <c r="C807" s="57" t="s">
        <v>26</v>
      </c>
      <c r="D807" s="58" t="s">
        <v>28</v>
      </c>
      <c r="E807" s="62">
        <v>8.9999999999999993E-3</v>
      </c>
      <c r="F807" s="65">
        <f t="shared" si="366"/>
        <v>-4.7105307016459177</v>
      </c>
      <c r="S807" s="40">
        <f t="shared" si="339"/>
        <v>0</v>
      </c>
      <c r="T807" s="40">
        <f t="shared" si="340"/>
        <v>0</v>
      </c>
      <c r="U807" s="40">
        <f t="shared" si="341"/>
        <v>0</v>
      </c>
      <c r="V807" s="40">
        <f t="shared" si="342"/>
        <v>1</v>
      </c>
      <c r="W807" s="40">
        <f t="shared" si="343"/>
        <v>0</v>
      </c>
      <c r="X807" s="40">
        <f t="shared" si="344"/>
        <v>0</v>
      </c>
      <c r="Y807" s="40">
        <f t="shared" si="345"/>
        <v>0</v>
      </c>
      <c r="Z807" s="40">
        <f t="shared" si="346"/>
        <v>0</v>
      </c>
      <c r="AA807" s="40">
        <f t="shared" si="347"/>
        <v>0</v>
      </c>
      <c r="AB807" s="40">
        <f t="shared" si="348"/>
        <v>0</v>
      </c>
      <c r="AC807" s="40">
        <f t="shared" si="349"/>
        <v>0</v>
      </c>
      <c r="AD807" s="40">
        <f t="shared" si="350"/>
        <v>0</v>
      </c>
      <c r="AE807" s="40">
        <f t="shared" si="351"/>
        <v>0</v>
      </c>
      <c r="AF807" s="40">
        <f t="shared" si="352"/>
        <v>1</v>
      </c>
      <c r="AG807" s="40">
        <f t="shared" si="353"/>
        <v>0</v>
      </c>
      <c r="AH807" s="40">
        <f t="shared" si="354"/>
        <v>0</v>
      </c>
      <c r="AI807" s="40">
        <f t="shared" si="355"/>
        <v>0</v>
      </c>
      <c r="AJ807" s="40">
        <f t="shared" si="356"/>
        <v>1</v>
      </c>
      <c r="AK807" s="40">
        <f t="shared" si="357"/>
        <v>0</v>
      </c>
      <c r="AL807" s="40">
        <f t="shared" si="358"/>
        <v>0</v>
      </c>
      <c r="AM807" s="40">
        <f t="shared" si="359"/>
        <v>0</v>
      </c>
      <c r="AN807" s="40">
        <f t="shared" si="360"/>
        <v>0</v>
      </c>
      <c r="AO807" s="40">
        <f t="shared" si="361"/>
        <v>0</v>
      </c>
      <c r="AP807" s="40">
        <f t="shared" si="362"/>
        <v>0</v>
      </c>
      <c r="AQ807" s="40">
        <f t="shared" si="363"/>
        <v>0</v>
      </c>
      <c r="AR807" s="40">
        <f t="shared" si="364"/>
        <v>0</v>
      </c>
      <c r="AS807" s="40">
        <f t="shared" si="365"/>
        <v>0</v>
      </c>
    </row>
    <row r="808" spans="2:45" ht="14.4" customHeight="1" x14ac:dyDescent="0.25">
      <c r="B808" s="56" t="s">
        <v>45</v>
      </c>
      <c r="C808" s="57" t="s">
        <v>26</v>
      </c>
      <c r="D808" s="58" t="s">
        <v>37</v>
      </c>
      <c r="E808" s="62">
        <v>2.5199999999999997E-3</v>
      </c>
      <c r="F808" s="65">
        <f t="shared" si="366"/>
        <v>-5.9834963774588052</v>
      </c>
      <c r="S808" s="40">
        <f t="shared" si="339"/>
        <v>0</v>
      </c>
      <c r="T808" s="40">
        <f t="shared" si="340"/>
        <v>0</v>
      </c>
      <c r="U808" s="40">
        <f t="shared" si="341"/>
        <v>0</v>
      </c>
      <c r="V808" s="40">
        <f t="shared" si="342"/>
        <v>1</v>
      </c>
      <c r="W808" s="40">
        <f t="shared" si="343"/>
        <v>0</v>
      </c>
      <c r="X808" s="40">
        <f t="shared" si="344"/>
        <v>0</v>
      </c>
      <c r="Y808" s="40">
        <f t="shared" si="345"/>
        <v>0</v>
      </c>
      <c r="Z808" s="40">
        <f t="shared" si="346"/>
        <v>0</v>
      </c>
      <c r="AA808" s="40">
        <f t="shared" si="347"/>
        <v>0</v>
      </c>
      <c r="AB808" s="40">
        <f t="shared" si="348"/>
        <v>0</v>
      </c>
      <c r="AC808" s="40">
        <f t="shared" si="349"/>
        <v>0</v>
      </c>
      <c r="AD808" s="40">
        <f t="shared" si="350"/>
        <v>0</v>
      </c>
      <c r="AE808" s="40">
        <f t="shared" si="351"/>
        <v>0</v>
      </c>
      <c r="AF808" s="40">
        <f t="shared" si="352"/>
        <v>1</v>
      </c>
      <c r="AG808" s="40">
        <f t="shared" si="353"/>
        <v>0</v>
      </c>
      <c r="AH808" s="40">
        <f t="shared" si="354"/>
        <v>0</v>
      </c>
      <c r="AI808" s="40">
        <f t="shared" si="355"/>
        <v>0</v>
      </c>
      <c r="AJ808" s="40">
        <f t="shared" si="356"/>
        <v>0</v>
      </c>
      <c r="AK808" s="40">
        <f t="shared" si="357"/>
        <v>0</v>
      </c>
      <c r="AL808" s="40">
        <f t="shared" si="358"/>
        <v>0</v>
      </c>
      <c r="AM808" s="40">
        <f t="shared" si="359"/>
        <v>0</v>
      </c>
      <c r="AN808" s="40">
        <f t="shared" si="360"/>
        <v>1</v>
      </c>
      <c r="AO808" s="40">
        <f t="shared" si="361"/>
        <v>0</v>
      </c>
      <c r="AP808" s="40">
        <f t="shared" si="362"/>
        <v>0</v>
      </c>
      <c r="AQ808" s="40">
        <f t="shared" si="363"/>
        <v>0</v>
      </c>
      <c r="AR808" s="40">
        <f t="shared" si="364"/>
        <v>0</v>
      </c>
      <c r="AS808" s="40">
        <f t="shared" si="365"/>
        <v>0</v>
      </c>
    </row>
    <row r="809" spans="2:45" ht="14.4" customHeight="1" x14ac:dyDescent="0.25">
      <c r="B809" s="56" t="s">
        <v>45</v>
      </c>
      <c r="C809" s="57" t="s">
        <v>26</v>
      </c>
      <c r="D809" s="58" t="s">
        <v>29</v>
      </c>
      <c r="E809" s="62">
        <v>2.2199999999999993E-3</v>
      </c>
      <c r="F809" s="65">
        <f t="shared" si="366"/>
        <v>-6.1102480830979493</v>
      </c>
      <c r="S809" s="40">
        <f t="shared" si="339"/>
        <v>0</v>
      </c>
      <c r="T809" s="40">
        <f t="shared" si="340"/>
        <v>0</v>
      </c>
      <c r="U809" s="40">
        <f t="shared" si="341"/>
        <v>0</v>
      </c>
      <c r="V809" s="40">
        <f t="shared" si="342"/>
        <v>1</v>
      </c>
      <c r="W809" s="40">
        <f t="shared" si="343"/>
        <v>0</v>
      </c>
      <c r="X809" s="40">
        <f t="shared" si="344"/>
        <v>0</v>
      </c>
      <c r="Y809" s="40">
        <f t="shared" si="345"/>
        <v>0</v>
      </c>
      <c r="Z809" s="40">
        <f t="shared" si="346"/>
        <v>0</v>
      </c>
      <c r="AA809" s="40">
        <f t="shared" si="347"/>
        <v>0</v>
      </c>
      <c r="AB809" s="40">
        <f t="shared" si="348"/>
        <v>1</v>
      </c>
      <c r="AC809" s="40">
        <f t="shared" si="349"/>
        <v>0</v>
      </c>
      <c r="AD809" s="40">
        <f t="shared" si="350"/>
        <v>0</v>
      </c>
      <c r="AE809" s="40">
        <f t="shared" si="351"/>
        <v>0</v>
      </c>
      <c r="AF809" s="40">
        <f t="shared" si="352"/>
        <v>0</v>
      </c>
      <c r="AG809" s="40">
        <f t="shared" si="353"/>
        <v>0</v>
      </c>
      <c r="AH809" s="40">
        <f t="shared" si="354"/>
        <v>0</v>
      </c>
      <c r="AI809" s="40">
        <f t="shared" si="355"/>
        <v>0</v>
      </c>
      <c r="AJ809" s="40">
        <f t="shared" si="356"/>
        <v>0</v>
      </c>
      <c r="AK809" s="40">
        <f t="shared" si="357"/>
        <v>0</v>
      </c>
      <c r="AL809" s="40">
        <f t="shared" si="358"/>
        <v>0</v>
      </c>
      <c r="AM809" s="40">
        <f t="shared" si="359"/>
        <v>0</v>
      </c>
      <c r="AN809" s="40">
        <f t="shared" si="360"/>
        <v>0</v>
      </c>
      <c r="AO809" s="40">
        <f t="shared" si="361"/>
        <v>1</v>
      </c>
      <c r="AP809" s="40">
        <f t="shared" si="362"/>
        <v>0</v>
      </c>
      <c r="AQ809" s="40">
        <f t="shared" si="363"/>
        <v>0</v>
      </c>
      <c r="AR809" s="40">
        <f t="shared" si="364"/>
        <v>0</v>
      </c>
      <c r="AS809" s="40">
        <f t="shared" si="365"/>
        <v>0</v>
      </c>
    </row>
    <row r="810" spans="2:45" ht="14.4" customHeight="1" x14ac:dyDescent="0.25">
      <c r="B810" s="56" t="s">
        <v>45</v>
      </c>
      <c r="C810" s="57" t="s">
        <v>25</v>
      </c>
      <c r="D810" s="58" t="s">
        <v>31</v>
      </c>
      <c r="E810" s="62">
        <v>8.5100000000000019E-3</v>
      </c>
      <c r="F810" s="65">
        <f t="shared" si="366"/>
        <v>-4.7665133363968542</v>
      </c>
      <c r="S810" s="40">
        <f t="shared" si="339"/>
        <v>0</v>
      </c>
      <c r="T810" s="40">
        <f t="shared" si="340"/>
        <v>0</v>
      </c>
      <c r="U810" s="40">
        <f t="shared" si="341"/>
        <v>0</v>
      </c>
      <c r="V810" s="40">
        <f t="shared" si="342"/>
        <v>1</v>
      </c>
      <c r="W810" s="40">
        <f t="shared" si="343"/>
        <v>0</v>
      </c>
      <c r="X810" s="40">
        <f t="shared" si="344"/>
        <v>0</v>
      </c>
      <c r="Y810" s="40">
        <f t="shared" si="345"/>
        <v>0</v>
      </c>
      <c r="Z810" s="40">
        <f t="shared" si="346"/>
        <v>0</v>
      </c>
      <c r="AA810" s="40">
        <f t="shared" si="347"/>
        <v>0</v>
      </c>
      <c r="AB810" s="40">
        <f t="shared" si="348"/>
        <v>0</v>
      </c>
      <c r="AC810" s="40">
        <f t="shared" si="349"/>
        <v>0</v>
      </c>
      <c r="AD810" s="40">
        <f t="shared" si="350"/>
        <v>0</v>
      </c>
      <c r="AE810" s="40">
        <f t="shared" si="351"/>
        <v>0</v>
      </c>
      <c r="AF810" s="40">
        <f t="shared" si="352"/>
        <v>1</v>
      </c>
      <c r="AG810" s="40">
        <f t="shared" si="353"/>
        <v>0</v>
      </c>
      <c r="AH810" s="40">
        <f t="shared" si="354"/>
        <v>0</v>
      </c>
      <c r="AI810" s="40">
        <f t="shared" si="355"/>
        <v>1</v>
      </c>
      <c r="AJ810" s="40">
        <f t="shared" si="356"/>
        <v>0</v>
      </c>
      <c r="AK810" s="40">
        <f t="shared" si="357"/>
        <v>0</v>
      </c>
      <c r="AL810" s="40">
        <f t="shared" si="358"/>
        <v>0</v>
      </c>
      <c r="AM810" s="40">
        <f t="shared" si="359"/>
        <v>0</v>
      </c>
      <c r="AN810" s="40">
        <f t="shared" si="360"/>
        <v>0</v>
      </c>
      <c r="AO810" s="40">
        <f t="shared" si="361"/>
        <v>0</v>
      </c>
      <c r="AP810" s="40">
        <f t="shared" si="362"/>
        <v>0</v>
      </c>
      <c r="AQ810" s="40">
        <f t="shared" si="363"/>
        <v>0</v>
      </c>
      <c r="AR810" s="40">
        <f t="shared" si="364"/>
        <v>0</v>
      </c>
      <c r="AS810" s="40">
        <f t="shared" si="365"/>
        <v>0</v>
      </c>
    </row>
    <row r="811" spans="2:45" ht="14.4" customHeight="1" x14ac:dyDescent="0.25">
      <c r="B811" s="56" t="s">
        <v>45</v>
      </c>
      <c r="C811" s="57" t="s">
        <v>26</v>
      </c>
      <c r="D811" s="58" t="s">
        <v>28</v>
      </c>
      <c r="E811" s="62">
        <v>1.0000000000000004E-2</v>
      </c>
      <c r="F811" s="65">
        <f t="shared" si="366"/>
        <v>-4.6051701859880909</v>
      </c>
      <c r="S811" s="40">
        <f t="shared" si="339"/>
        <v>0</v>
      </c>
      <c r="T811" s="40">
        <f t="shared" si="340"/>
        <v>0</v>
      </c>
      <c r="U811" s="40">
        <f t="shared" si="341"/>
        <v>0</v>
      </c>
      <c r="V811" s="40">
        <f t="shared" si="342"/>
        <v>1</v>
      </c>
      <c r="W811" s="40">
        <f t="shared" si="343"/>
        <v>0</v>
      </c>
      <c r="X811" s="40">
        <f t="shared" si="344"/>
        <v>0</v>
      </c>
      <c r="Y811" s="40">
        <f t="shared" si="345"/>
        <v>0</v>
      </c>
      <c r="Z811" s="40">
        <f t="shared" si="346"/>
        <v>0</v>
      </c>
      <c r="AA811" s="40">
        <f t="shared" si="347"/>
        <v>0</v>
      </c>
      <c r="AB811" s="40">
        <f t="shared" si="348"/>
        <v>0</v>
      </c>
      <c r="AC811" s="40">
        <f t="shared" si="349"/>
        <v>0</v>
      </c>
      <c r="AD811" s="40">
        <f t="shared" si="350"/>
        <v>0</v>
      </c>
      <c r="AE811" s="40">
        <f t="shared" si="351"/>
        <v>0</v>
      </c>
      <c r="AF811" s="40">
        <f t="shared" si="352"/>
        <v>1</v>
      </c>
      <c r="AG811" s="40">
        <f t="shared" si="353"/>
        <v>0</v>
      </c>
      <c r="AH811" s="40">
        <f t="shared" si="354"/>
        <v>0</v>
      </c>
      <c r="AI811" s="40">
        <f t="shared" si="355"/>
        <v>0</v>
      </c>
      <c r="AJ811" s="40">
        <f t="shared" si="356"/>
        <v>1</v>
      </c>
      <c r="AK811" s="40">
        <f t="shared" si="357"/>
        <v>0</v>
      </c>
      <c r="AL811" s="40">
        <f t="shared" si="358"/>
        <v>0</v>
      </c>
      <c r="AM811" s="40">
        <f t="shared" si="359"/>
        <v>0</v>
      </c>
      <c r="AN811" s="40">
        <f t="shared" si="360"/>
        <v>0</v>
      </c>
      <c r="AO811" s="40">
        <f t="shared" si="361"/>
        <v>0</v>
      </c>
      <c r="AP811" s="40">
        <f t="shared" si="362"/>
        <v>0</v>
      </c>
      <c r="AQ811" s="40">
        <f t="shared" si="363"/>
        <v>0</v>
      </c>
      <c r="AR811" s="40">
        <f t="shared" si="364"/>
        <v>0</v>
      </c>
      <c r="AS811" s="40">
        <f t="shared" si="365"/>
        <v>0</v>
      </c>
    </row>
    <row r="812" spans="2:45" ht="14.4" customHeight="1" x14ac:dyDescent="0.25">
      <c r="B812" s="56" t="s">
        <v>45</v>
      </c>
      <c r="C812" s="57" t="s">
        <v>26</v>
      </c>
      <c r="D812" s="58" t="s">
        <v>37</v>
      </c>
      <c r="E812" s="62">
        <v>8.3900000000000034E-3</v>
      </c>
      <c r="F812" s="65">
        <f t="shared" si="366"/>
        <v>-4.7807147585030219</v>
      </c>
      <c r="S812" s="40">
        <f t="shared" si="339"/>
        <v>0</v>
      </c>
      <c r="T812" s="40">
        <f t="shared" si="340"/>
        <v>0</v>
      </c>
      <c r="U812" s="40">
        <f t="shared" si="341"/>
        <v>0</v>
      </c>
      <c r="V812" s="40">
        <f t="shared" si="342"/>
        <v>1</v>
      </c>
      <c r="W812" s="40">
        <f t="shared" si="343"/>
        <v>0</v>
      </c>
      <c r="X812" s="40">
        <f t="shared" si="344"/>
        <v>0</v>
      </c>
      <c r="Y812" s="40">
        <f t="shared" si="345"/>
        <v>0</v>
      </c>
      <c r="Z812" s="40">
        <f t="shared" si="346"/>
        <v>0</v>
      </c>
      <c r="AA812" s="40">
        <f t="shared" si="347"/>
        <v>0</v>
      </c>
      <c r="AB812" s="40">
        <f t="shared" si="348"/>
        <v>0</v>
      </c>
      <c r="AC812" s="40">
        <f t="shared" si="349"/>
        <v>0</v>
      </c>
      <c r="AD812" s="40">
        <f t="shared" si="350"/>
        <v>0</v>
      </c>
      <c r="AE812" s="40">
        <f t="shared" si="351"/>
        <v>0</v>
      </c>
      <c r="AF812" s="40">
        <f t="shared" si="352"/>
        <v>1</v>
      </c>
      <c r="AG812" s="40">
        <f t="shared" si="353"/>
        <v>0</v>
      </c>
      <c r="AH812" s="40">
        <f t="shared" si="354"/>
        <v>0</v>
      </c>
      <c r="AI812" s="40">
        <f t="shared" si="355"/>
        <v>0</v>
      </c>
      <c r="AJ812" s="40">
        <f t="shared" si="356"/>
        <v>0</v>
      </c>
      <c r="AK812" s="40">
        <f t="shared" si="357"/>
        <v>0</v>
      </c>
      <c r="AL812" s="40">
        <f t="shared" si="358"/>
        <v>0</v>
      </c>
      <c r="AM812" s="40">
        <f t="shared" si="359"/>
        <v>0</v>
      </c>
      <c r="AN812" s="40">
        <f t="shared" si="360"/>
        <v>1</v>
      </c>
      <c r="AO812" s="40">
        <f t="shared" si="361"/>
        <v>0</v>
      </c>
      <c r="AP812" s="40">
        <f t="shared" si="362"/>
        <v>0</v>
      </c>
      <c r="AQ812" s="40">
        <f t="shared" si="363"/>
        <v>0</v>
      </c>
      <c r="AR812" s="40">
        <f t="shared" si="364"/>
        <v>0</v>
      </c>
      <c r="AS812" s="40">
        <f t="shared" si="365"/>
        <v>0</v>
      </c>
    </row>
    <row r="813" spans="2:45" ht="14.4" customHeight="1" x14ac:dyDescent="0.25">
      <c r="B813" s="56" t="s">
        <v>45</v>
      </c>
      <c r="C813" s="57" t="s">
        <v>26</v>
      </c>
      <c r="D813" s="58" t="s">
        <v>29</v>
      </c>
      <c r="E813" s="62">
        <v>7.2400000000000025E-3</v>
      </c>
      <c r="F813" s="65">
        <f t="shared" si="366"/>
        <v>-4.9281340725845117</v>
      </c>
      <c r="S813" s="40">
        <f t="shared" si="339"/>
        <v>0</v>
      </c>
      <c r="T813" s="40">
        <f t="shared" si="340"/>
        <v>0</v>
      </c>
      <c r="U813" s="40">
        <f t="shared" si="341"/>
        <v>0</v>
      </c>
      <c r="V813" s="40">
        <f t="shared" si="342"/>
        <v>1</v>
      </c>
      <c r="W813" s="40">
        <f t="shared" si="343"/>
        <v>0</v>
      </c>
      <c r="X813" s="40">
        <f t="shared" si="344"/>
        <v>0</v>
      </c>
      <c r="Y813" s="40">
        <f t="shared" si="345"/>
        <v>0</v>
      </c>
      <c r="Z813" s="40">
        <f t="shared" si="346"/>
        <v>0</v>
      </c>
      <c r="AA813" s="40">
        <f t="shared" si="347"/>
        <v>0</v>
      </c>
      <c r="AB813" s="40">
        <f t="shared" si="348"/>
        <v>0</v>
      </c>
      <c r="AC813" s="40">
        <f t="shared" si="349"/>
        <v>0</v>
      </c>
      <c r="AD813" s="40">
        <f t="shared" si="350"/>
        <v>0</v>
      </c>
      <c r="AE813" s="40">
        <f t="shared" si="351"/>
        <v>0</v>
      </c>
      <c r="AF813" s="40">
        <f t="shared" si="352"/>
        <v>1</v>
      </c>
      <c r="AG813" s="40">
        <f t="shared" si="353"/>
        <v>0</v>
      </c>
      <c r="AH813" s="40">
        <f t="shared" si="354"/>
        <v>0</v>
      </c>
      <c r="AI813" s="40">
        <f t="shared" si="355"/>
        <v>0</v>
      </c>
      <c r="AJ813" s="40">
        <f t="shared" si="356"/>
        <v>0</v>
      </c>
      <c r="AK813" s="40">
        <f t="shared" si="357"/>
        <v>0</v>
      </c>
      <c r="AL813" s="40">
        <f t="shared" si="358"/>
        <v>1</v>
      </c>
      <c r="AM813" s="40">
        <f t="shared" si="359"/>
        <v>0</v>
      </c>
      <c r="AN813" s="40">
        <f t="shared" si="360"/>
        <v>0</v>
      </c>
      <c r="AO813" s="40">
        <f t="shared" si="361"/>
        <v>0</v>
      </c>
      <c r="AP813" s="40">
        <f t="shared" si="362"/>
        <v>0</v>
      </c>
      <c r="AQ813" s="40">
        <f t="shared" si="363"/>
        <v>0</v>
      </c>
      <c r="AR813" s="40">
        <f t="shared" si="364"/>
        <v>0</v>
      </c>
      <c r="AS813" s="40">
        <f t="shared" si="365"/>
        <v>0</v>
      </c>
    </row>
    <row r="814" spans="2:45" ht="14.4" customHeight="1" x14ac:dyDescent="0.25">
      <c r="B814" s="56" t="s">
        <v>45</v>
      </c>
      <c r="C814" s="57" t="s">
        <v>26</v>
      </c>
      <c r="D814" s="58" t="s">
        <v>24</v>
      </c>
      <c r="E814" s="62">
        <v>7.9400000000000026E-3</v>
      </c>
      <c r="F814" s="65">
        <f t="shared" si="366"/>
        <v>-4.8358420037230925</v>
      </c>
      <c r="S814" s="40">
        <f t="shared" si="339"/>
        <v>0</v>
      </c>
      <c r="T814" s="40">
        <f t="shared" si="340"/>
        <v>0</v>
      </c>
      <c r="U814" s="40">
        <f t="shared" si="341"/>
        <v>0</v>
      </c>
      <c r="V814" s="40">
        <f t="shared" si="342"/>
        <v>1</v>
      </c>
      <c r="W814" s="40">
        <f t="shared" si="343"/>
        <v>0</v>
      </c>
      <c r="X814" s="40">
        <f t="shared" si="344"/>
        <v>0</v>
      </c>
      <c r="Y814" s="40">
        <f t="shared" si="345"/>
        <v>0</v>
      </c>
      <c r="Z814" s="40">
        <f t="shared" si="346"/>
        <v>0</v>
      </c>
      <c r="AA814" s="40">
        <f t="shared" si="347"/>
        <v>0</v>
      </c>
      <c r="AB814" s="40">
        <f t="shared" si="348"/>
        <v>0</v>
      </c>
      <c r="AC814" s="40">
        <f t="shared" si="349"/>
        <v>0</v>
      </c>
      <c r="AD814" s="40">
        <f t="shared" si="350"/>
        <v>0</v>
      </c>
      <c r="AE814" s="40">
        <f t="shared" si="351"/>
        <v>0</v>
      </c>
      <c r="AF814" s="40">
        <f t="shared" si="352"/>
        <v>1</v>
      </c>
      <c r="AG814" s="40">
        <f t="shared" si="353"/>
        <v>0</v>
      </c>
      <c r="AH814" s="40">
        <f t="shared" si="354"/>
        <v>0</v>
      </c>
      <c r="AI814" s="40">
        <f t="shared" si="355"/>
        <v>0</v>
      </c>
      <c r="AJ814" s="40">
        <f t="shared" si="356"/>
        <v>0</v>
      </c>
      <c r="AK814" s="40">
        <f t="shared" si="357"/>
        <v>0</v>
      </c>
      <c r="AL814" s="40">
        <f t="shared" si="358"/>
        <v>1</v>
      </c>
      <c r="AM814" s="40">
        <f t="shared" si="359"/>
        <v>0</v>
      </c>
      <c r="AN814" s="40">
        <f t="shared" si="360"/>
        <v>0</v>
      </c>
      <c r="AO814" s="40">
        <f t="shared" si="361"/>
        <v>0</v>
      </c>
      <c r="AP814" s="40">
        <f t="shared" si="362"/>
        <v>0</v>
      </c>
      <c r="AQ814" s="40">
        <f t="shared" si="363"/>
        <v>0</v>
      </c>
      <c r="AR814" s="40">
        <f t="shared" si="364"/>
        <v>0</v>
      </c>
      <c r="AS814" s="40">
        <f t="shared" si="365"/>
        <v>0</v>
      </c>
    </row>
    <row r="815" spans="2:45" ht="14.4" customHeight="1" x14ac:dyDescent="0.25">
      <c r="B815" s="56" t="s">
        <v>45</v>
      </c>
      <c r="C815" s="57" t="s">
        <v>26</v>
      </c>
      <c r="D815" s="58" t="s">
        <v>24</v>
      </c>
      <c r="E815" s="62">
        <v>1.3150000000000002E-2</v>
      </c>
      <c r="F815" s="65">
        <f t="shared" si="366"/>
        <v>-4.3313335203583634</v>
      </c>
      <c r="S815" s="40">
        <f t="shared" si="339"/>
        <v>0</v>
      </c>
      <c r="T815" s="40">
        <f t="shared" si="340"/>
        <v>0</v>
      </c>
      <c r="U815" s="40">
        <f t="shared" si="341"/>
        <v>0</v>
      </c>
      <c r="V815" s="40">
        <f t="shared" si="342"/>
        <v>1</v>
      </c>
      <c r="W815" s="40">
        <f t="shared" si="343"/>
        <v>0</v>
      </c>
      <c r="X815" s="40">
        <f t="shared" si="344"/>
        <v>0</v>
      </c>
      <c r="Y815" s="40">
        <f t="shared" si="345"/>
        <v>0</v>
      </c>
      <c r="Z815" s="40">
        <f t="shared" si="346"/>
        <v>0</v>
      </c>
      <c r="AA815" s="40">
        <f t="shared" si="347"/>
        <v>0</v>
      </c>
      <c r="AB815" s="40">
        <f t="shared" si="348"/>
        <v>0</v>
      </c>
      <c r="AC815" s="40">
        <f t="shared" si="349"/>
        <v>0</v>
      </c>
      <c r="AD815" s="40">
        <f t="shared" si="350"/>
        <v>0</v>
      </c>
      <c r="AE815" s="40">
        <f t="shared" si="351"/>
        <v>0</v>
      </c>
      <c r="AF815" s="40">
        <f t="shared" si="352"/>
        <v>1</v>
      </c>
      <c r="AG815" s="40">
        <f t="shared" si="353"/>
        <v>0</v>
      </c>
      <c r="AH815" s="40">
        <f t="shared" si="354"/>
        <v>0</v>
      </c>
      <c r="AI815" s="40">
        <f t="shared" si="355"/>
        <v>1</v>
      </c>
      <c r="AJ815" s="40">
        <f t="shared" si="356"/>
        <v>0</v>
      </c>
      <c r="AK815" s="40">
        <f t="shared" si="357"/>
        <v>0</v>
      </c>
      <c r="AL815" s="40">
        <f t="shared" si="358"/>
        <v>0</v>
      </c>
      <c r="AM815" s="40">
        <f t="shared" si="359"/>
        <v>0</v>
      </c>
      <c r="AN815" s="40">
        <f t="shared" si="360"/>
        <v>0</v>
      </c>
      <c r="AO815" s="40">
        <f t="shared" si="361"/>
        <v>0</v>
      </c>
      <c r="AP815" s="40">
        <f t="shared" si="362"/>
        <v>0</v>
      </c>
      <c r="AQ815" s="40">
        <f t="shared" si="363"/>
        <v>0</v>
      </c>
      <c r="AR815" s="40">
        <f t="shared" si="364"/>
        <v>0</v>
      </c>
      <c r="AS815" s="40">
        <f t="shared" si="365"/>
        <v>0</v>
      </c>
    </row>
    <row r="816" spans="2:45" ht="14.4" customHeight="1" x14ac:dyDescent="0.25">
      <c r="B816" s="56" t="s">
        <v>45</v>
      </c>
      <c r="C816" s="57" t="s">
        <v>26</v>
      </c>
      <c r="D816" s="58" t="s">
        <v>28</v>
      </c>
      <c r="E816" s="62">
        <v>7.9000000000000008E-3</v>
      </c>
      <c r="F816" s="65">
        <f t="shared" si="366"/>
        <v>-4.8408925195091612</v>
      </c>
      <c r="S816" s="40">
        <f t="shared" si="339"/>
        <v>0</v>
      </c>
      <c r="T816" s="40">
        <f t="shared" si="340"/>
        <v>0</v>
      </c>
      <c r="U816" s="40">
        <f t="shared" si="341"/>
        <v>0</v>
      </c>
      <c r="V816" s="40">
        <f t="shared" si="342"/>
        <v>1</v>
      </c>
      <c r="W816" s="40">
        <f t="shared" si="343"/>
        <v>0</v>
      </c>
      <c r="X816" s="40">
        <f t="shared" si="344"/>
        <v>0</v>
      </c>
      <c r="Y816" s="40">
        <f t="shared" si="345"/>
        <v>0</v>
      </c>
      <c r="Z816" s="40">
        <f t="shared" si="346"/>
        <v>0</v>
      </c>
      <c r="AA816" s="40">
        <f t="shared" si="347"/>
        <v>0</v>
      </c>
      <c r="AB816" s="40">
        <f t="shared" si="348"/>
        <v>0</v>
      </c>
      <c r="AC816" s="40">
        <f t="shared" si="349"/>
        <v>0</v>
      </c>
      <c r="AD816" s="40">
        <f t="shared" si="350"/>
        <v>0</v>
      </c>
      <c r="AE816" s="40">
        <f t="shared" si="351"/>
        <v>0</v>
      </c>
      <c r="AF816" s="40">
        <f t="shared" si="352"/>
        <v>1</v>
      </c>
      <c r="AG816" s="40">
        <f t="shared" si="353"/>
        <v>0</v>
      </c>
      <c r="AH816" s="40">
        <f t="shared" si="354"/>
        <v>0</v>
      </c>
      <c r="AI816" s="40">
        <f t="shared" si="355"/>
        <v>1</v>
      </c>
      <c r="AJ816" s="40">
        <f t="shared" si="356"/>
        <v>0</v>
      </c>
      <c r="AK816" s="40">
        <f t="shared" si="357"/>
        <v>0</v>
      </c>
      <c r="AL816" s="40">
        <f t="shared" si="358"/>
        <v>0</v>
      </c>
      <c r="AM816" s="40">
        <f t="shared" si="359"/>
        <v>0</v>
      </c>
      <c r="AN816" s="40">
        <f t="shared" si="360"/>
        <v>0</v>
      </c>
      <c r="AO816" s="40">
        <f t="shared" si="361"/>
        <v>0</v>
      </c>
      <c r="AP816" s="40">
        <f t="shared" si="362"/>
        <v>0</v>
      </c>
      <c r="AQ816" s="40">
        <f t="shared" si="363"/>
        <v>0</v>
      </c>
      <c r="AR816" s="40">
        <f t="shared" si="364"/>
        <v>0</v>
      </c>
      <c r="AS816" s="40">
        <f t="shared" si="365"/>
        <v>0</v>
      </c>
    </row>
    <row r="817" spans="2:45" ht="14.4" customHeight="1" x14ac:dyDescent="0.25">
      <c r="B817" s="56" t="s">
        <v>45</v>
      </c>
      <c r="C817" s="57" t="s">
        <v>26</v>
      </c>
      <c r="D817" s="58" t="s">
        <v>28</v>
      </c>
      <c r="E817" s="62">
        <v>4.4900000000000001E-3</v>
      </c>
      <c r="F817" s="65">
        <f t="shared" si="366"/>
        <v>-5.4059025772279741</v>
      </c>
      <c r="S817" s="40">
        <f t="shared" si="339"/>
        <v>0</v>
      </c>
      <c r="T817" s="40">
        <f t="shared" si="340"/>
        <v>0</v>
      </c>
      <c r="U817" s="40">
        <f t="shared" si="341"/>
        <v>0</v>
      </c>
      <c r="V817" s="40">
        <f t="shared" si="342"/>
        <v>1</v>
      </c>
      <c r="W817" s="40">
        <f t="shared" si="343"/>
        <v>0</v>
      </c>
      <c r="X817" s="40">
        <f t="shared" si="344"/>
        <v>0</v>
      </c>
      <c r="Y817" s="40">
        <f t="shared" si="345"/>
        <v>0</v>
      </c>
      <c r="Z817" s="40">
        <f t="shared" si="346"/>
        <v>0</v>
      </c>
      <c r="AA817" s="40">
        <f t="shared" si="347"/>
        <v>0</v>
      </c>
      <c r="AB817" s="40">
        <f t="shared" si="348"/>
        <v>0</v>
      </c>
      <c r="AC817" s="40">
        <f t="shared" si="349"/>
        <v>0</v>
      </c>
      <c r="AD817" s="40">
        <f t="shared" si="350"/>
        <v>0</v>
      </c>
      <c r="AE817" s="40">
        <f t="shared" si="351"/>
        <v>0</v>
      </c>
      <c r="AF817" s="40">
        <f t="shared" si="352"/>
        <v>1</v>
      </c>
      <c r="AG817" s="40">
        <f t="shared" si="353"/>
        <v>0</v>
      </c>
      <c r="AH817" s="40">
        <f t="shared" si="354"/>
        <v>1</v>
      </c>
      <c r="AI817" s="40">
        <f t="shared" si="355"/>
        <v>0</v>
      </c>
      <c r="AJ817" s="40">
        <f t="shared" si="356"/>
        <v>0</v>
      </c>
      <c r="AK817" s="40">
        <f t="shared" si="357"/>
        <v>0</v>
      </c>
      <c r="AL817" s="40">
        <f t="shared" si="358"/>
        <v>0</v>
      </c>
      <c r="AM817" s="40">
        <f t="shared" si="359"/>
        <v>0</v>
      </c>
      <c r="AN817" s="40">
        <f t="shared" si="360"/>
        <v>0</v>
      </c>
      <c r="AO817" s="40">
        <f t="shared" si="361"/>
        <v>0</v>
      </c>
      <c r="AP817" s="40">
        <f t="shared" si="362"/>
        <v>0</v>
      </c>
      <c r="AQ817" s="40">
        <f t="shared" si="363"/>
        <v>0</v>
      </c>
      <c r="AR817" s="40">
        <f t="shared" si="364"/>
        <v>0</v>
      </c>
      <c r="AS817" s="40">
        <f t="shared" si="365"/>
        <v>0</v>
      </c>
    </row>
    <row r="818" spans="2:45" ht="14.4" customHeight="1" x14ac:dyDescent="0.25">
      <c r="B818" s="56" t="s">
        <v>45</v>
      </c>
      <c r="C818" s="57" t="s">
        <v>26</v>
      </c>
      <c r="D818" s="58" t="s">
        <v>27</v>
      </c>
      <c r="E818" s="62">
        <v>8.3800000000000038E-3</v>
      </c>
      <c r="F818" s="65">
        <f t="shared" si="366"/>
        <v>-4.7819073644881449</v>
      </c>
      <c r="S818" s="40">
        <f t="shared" si="339"/>
        <v>0</v>
      </c>
      <c r="T818" s="40">
        <f t="shared" si="340"/>
        <v>0</v>
      </c>
      <c r="U818" s="40">
        <f t="shared" si="341"/>
        <v>0</v>
      </c>
      <c r="V818" s="40">
        <f t="shared" si="342"/>
        <v>1</v>
      </c>
      <c r="W818" s="40">
        <f t="shared" si="343"/>
        <v>0</v>
      </c>
      <c r="X818" s="40">
        <f t="shared" si="344"/>
        <v>0</v>
      </c>
      <c r="Y818" s="40">
        <f t="shared" si="345"/>
        <v>0</v>
      </c>
      <c r="Z818" s="40">
        <f t="shared" si="346"/>
        <v>0</v>
      </c>
      <c r="AA818" s="40">
        <f t="shared" si="347"/>
        <v>0</v>
      </c>
      <c r="AB818" s="40">
        <f t="shared" si="348"/>
        <v>0</v>
      </c>
      <c r="AC818" s="40">
        <f t="shared" si="349"/>
        <v>1</v>
      </c>
      <c r="AD818" s="40">
        <f t="shared" si="350"/>
        <v>0</v>
      </c>
      <c r="AE818" s="40">
        <f t="shared" si="351"/>
        <v>0</v>
      </c>
      <c r="AF818" s="40">
        <f t="shared" si="352"/>
        <v>0</v>
      </c>
      <c r="AG818" s="40">
        <f t="shared" si="353"/>
        <v>0</v>
      </c>
      <c r="AH818" s="40">
        <f t="shared" si="354"/>
        <v>0</v>
      </c>
      <c r="AI818" s="40">
        <f t="shared" si="355"/>
        <v>0</v>
      </c>
      <c r="AJ818" s="40">
        <f t="shared" si="356"/>
        <v>0</v>
      </c>
      <c r="AK818" s="40">
        <f t="shared" si="357"/>
        <v>0</v>
      </c>
      <c r="AL818" s="40">
        <f t="shared" si="358"/>
        <v>0</v>
      </c>
      <c r="AM818" s="40">
        <f t="shared" si="359"/>
        <v>0</v>
      </c>
      <c r="AN818" s="40">
        <f t="shared" si="360"/>
        <v>0</v>
      </c>
      <c r="AO818" s="40">
        <f t="shared" si="361"/>
        <v>0</v>
      </c>
      <c r="AP818" s="40">
        <f t="shared" si="362"/>
        <v>0</v>
      </c>
      <c r="AQ818" s="40">
        <f t="shared" si="363"/>
        <v>1</v>
      </c>
      <c r="AR818" s="40">
        <f t="shared" si="364"/>
        <v>0</v>
      </c>
      <c r="AS818" s="40">
        <f t="shared" si="365"/>
        <v>0</v>
      </c>
    </row>
    <row r="819" spans="2:45" ht="14.4" customHeight="1" x14ac:dyDescent="0.25">
      <c r="B819" s="56" t="s">
        <v>45</v>
      </c>
      <c r="C819" s="57" t="s">
        <v>23</v>
      </c>
      <c r="D819" s="58" t="s">
        <v>30</v>
      </c>
      <c r="E819" s="62">
        <v>3.7400000000000003E-3</v>
      </c>
      <c r="F819" s="65">
        <f t="shared" si="366"/>
        <v>-5.5886696675556964</v>
      </c>
      <c r="S819" s="40">
        <f t="shared" si="339"/>
        <v>0</v>
      </c>
      <c r="T819" s="40">
        <f t="shared" si="340"/>
        <v>0</v>
      </c>
      <c r="U819" s="40">
        <f t="shared" si="341"/>
        <v>0</v>
      </c>
      <c r="V819" s="40">
        <f t="shared" si="342"/>
        <v>1</v>
      </c>
      <c r="W819" s="40">
        <f t="shared" si="343"/>
        <v>0</v>
      </c>
      <c r="X819" s="40">
        <f t="shared" si="344"/>
        <v>0</v>
      </c>
      <c r="Y819" s="40">
        <f t="shared" si="345"/>
        <v>0</v>
      </c>
      <c r="Z819" s="40">
        <f t="shared" si="346"/>
        <v>0</v>
      </c>
      <c r="AA819" s="40">
        <f t="shared" si="347"/>
        <v>0</v>
      </c>
      <c r="AB819" s="40">
        <f t="shared" si="348"/>
        <v>1</v>
      </c>
      <c r="AC819" s="40">
        <f t="shared" si="349"/>
        <v>0</v>
      </c>
      <c r="AD819" s="40">
        <f t="shared" si="350"/>
        <v>0</v>
      </c>
      <c r="AE819" s="40">
        <f t="shared" si="351"/>
        <v>0</v>
      </c>
      <c r="AF819" s="40">
        <f t="shared" si="352"/>
        <v>0</v>
      </c>
      <c r="AG819" s="40">
        <f t="shared" si="353"/>
        <v>0</v>
      </c>
      <c r="AH819" s="40">
        <f t="shared" si="354"/>
        <v>0</v>
      </c>
      <c r="AI819" s="40">
        <f t="shared" si="355"/>
        <v>0</v>
      </c>
      <c r="AJ819" s="40">
        <f t="shared" si="356"/>
        <v>0</v>
      </c>
      <c r="AK819" s="40">
        <f t="shared" si="357"/>
        <v>0</v>
      </c>
      <c r="AL819" s="40">
        <f t="shared" si="358"/>
        <v>0</v>
      </c>
      <c r="AM819" s="40">
        <f t="shared" si="359"/>
        <v>0</v>
      </c>
      <c r="AN819" s="40">
        <f t="shared" si="360"/>
        <v>0</v>
      </c>
      <c r="AO819" s="40">
        <f t="shared" si="361"/>
        <v>0</v>
      </c>
      <c r="AP819" s="40">
        <f t="shared" si="362"/>
        <v>0</v>
      </c>
      <c r="AQ819" s="40">
        <f t="shared" si="363"/>
        <v>0</v>
      </c>
      <c r="AR819" s="40">
        <f t="shared" si="364"/>
        <v>0</v>
      </c>
      <c r="AS819" s="40">
        <f t="shared" si="365"/>
        <v>1</v>
      </c>
    </row>
    <row r="820" spans="2:45" ht="14.4" customHeight="1" x14ac:dyDescent="0.25">
      <c r="B820" s="56" t="s">
        <v>45</v>
      </c>
      <c r="C820" s="57" t="s">
        <v>25</v>
      </c>
      <c r="D820" s="58" t="s">
        <v>22</v>
      </c>
      <c r="E820" s="62">
        <v>4.7099999999999989E-3</v>
      </c>
      <c r="F820" s="65">
        <f t="shared" si="366"/>
        <v>-5.3580673709538109</v>
      </c>
      <c r="S820" s="40">
        <f t="shared" si="339"/>
        <v>0</v>
      </c>
      <c r="T820" s="40">
        <f t="shared" si="340"/>
        <v>0</v>
      </c>
      <c r="U820" s="40">
        <f t="shared" si="341"/>
        <v>0</v>
      </c>
      <c r="V820" s="40">
        <f t="shared" si="342"/>
        <v>1</v>
      </c>
      <c r="W820" s="40">
        <f t="shared" si="343"/>
        <v>0</v>
      </c>
      <c r="X820" s="40">
        <f t="shared" si="344"/>
        <v>0</v>
      </c>
      <c r="Y820" s="40">
        <f t="shared" si="345"/>
        <v>0</v>
      </c>
      <c r="Z820" s="40">
        <f t="shared" si="346"/>
        <v>0</v>
      </c>
      <c r="AA820" s="40">
        <f t="shared" si="347"/>
        <v>0</v>
      </c>
      <c r="AB820" s="40">
        <f t="shared" si="348"/>
        <v>0</v>
      </c>
      <c r="AC820" s="40">
        <f t="shared" si="349"/>
        <v>0</v>
      </c>
      <c r="AD820" s="40">
        <f t="shared" si="350"/>
        <v>0</v>
      </c>
      <c r="AE820" s="40">
        <f t="shared" si="351"/>
        <v>0</v>
      </c>
      <c r="AF820" s="40">
        <f t="shared" si="352"/>
        <v>1</v>
      </c>
      <c r="AG820" s="40">
        <f t="shared" si="353"/>
        <v>0</v>
      </c>
      <c r="AH820" s="40">
        <f t="shared" si="354"/>
        <v>0</v>
      </c>
      <c r="AI820" s="40">
        <f t="shared" si="355"/>
        <v>1</v>
      </c>
      <c r="AJ820" s="40">
        <f t="shared" si="356"/>
        <v>0</v>
      </c>
      <c r="AK820" s="40">
        <f t="shared" si="357"/>
        <v>0</v>
      </c>
      <c r="AL820" s="40">
        <f t="shared" si="358"/>
        <v>0</v>
      </c>
      <c r="AM820" s="40">
        <f t="shared" si="359"/>
        <v>0</v>
      </c>
      <c r="AN820" s="40">
        <f t="shared" si="360"/>
        <v>0</v>
      </c>
      <c r="AO820" s="40">
        <f t="shared" si="361"/>
        <v>0</v>
      </c>
      <c r="AP820" s="40">
        <f t="shared" si="362"/>
        <v>0</v>
      </c>
      <c r="AQ820" s="40">
        <f t="shared" si="363"/>
        <v>0</v>
      </c>
      <c r="AR820" s="40">
        <f t="shared" si="364"/>
        <v>0</v>
      </c>
      <c r="AS820" s="40">
        <f t="shared" si="365"/>
        <v>0</v>
      </c>
    </row>
    <row r="821" spans="2:45" ht="14.4" customHeight="1" x14ac:dyDescent="0.25">
      <c r="B821" s="56" t="s">
        <v>45</v>
      </c>
      <c r="C821" s="57" t="s">
        <v>26</v>
      </c>
      <c r="D821" s="58" t="s">
        <v>28</v>
      </c>
      <c r="E821" s="62">
        <v>1.4590000000000004E-2</v>
      </c>
      <c r="F821" s="65">
        <f t="shared" si="366"/>
        <v>-4.2274189164474425</v>
      </c>
      <c r="S821" s="40">
        <f t="shared" si="339"/>
        <v>0</v>
      </c>
      <c r="T821" s="40">
        <f t="shared" si="340"/>
        <v>0</v>
      </c>
      <c r="U821" s="40">
        <f t="shared" si="341"/>
        <v>0</v>
      </c>
      <c r="V821" s="40">
        <f t="shared" si="342"/>
        <v>1</v>
      </c>
      <c r="W821" s="40">
        <f t="shared" si="343"/>
        <v>0</v>
      </c>
      <c r="X821" s="40">
        <f t="shared" si="344"/>
        <v>0</v>
      </c>
      <c r="Y821" s="40">
        <f t="shared" si="345"/>
        <v>0</v>
      </c>
      <c r="Z821" s="40">
        <f t="shared" si="346"/>
        <v>0</v>
      </c>
      <c r="AA821" s="40">
        <f t="shared" si="347"/>
        <v>0</v>
      </c>
      <c r="AB821" s="40">
        <f t="shared" si="348"/>
        <v>0</v>
      </c>
      <c r="AC821" s="40">
        <f t="shared" si="349"/>
        <v>0</v>
      </c>
      <c r="AD821" s="40">
        <f t="shared" si="350"/>
        <v>0</v>
      </c>
      <c r="AE821" s="40">
        <f t="shared" si="351"/>
        <v>0</v>
      </c>
      <c r="AF821" s="40">
        <f t="shared" si="352"/>
        <v>1</v>
      </c>
      <c r="AG821" s="40">
        <f t="shared" si="353"/>
        <v>0</v>
      </c>
      <c r="AH821" s="40">
        <f t="shared" si="354"/>
        <v>1</v>
      </c>
      <c r="AI821" s="40">
        <f t="shared" si="355"/>
        <v>0</v>
      </c>
      <c r="AJ821" s="40">
        <f t="shared" si="356"/>
        <v>0</v>
      </c>
      <c r="AK821" s="40">
        <f t="shared" si="357"/>
        <v>0</v>
      </c>
      <c r="AL821" s="40">
        <f t="shared" si="358"/>
        <v>0</v>
      </c>
      <c r="AM821" s="40">
        <f t="shared" si="359"/>
        <v>0</v>
      </c>
      <c r="AN821" s="40">
        <f t="shared" si="360"/>
        <v>0</v>
      </c>
      <c r="AO821" s="40">
        <f t="shared" si="361"/>
        <v>0</v>
      </c>
      <c r="AP821" s="40">
        <f t="shared" si="362"/>
        <v>0</v>
      </c>
      <c r="AQ821" s="40">
        <f t="shared" si="363"/>
        <v>0</v>
      </c>
      <c r="AR821" s="40">
        <f t="shared" si="364"/>
        <v>0</v>
      </c>
      <c r="AS821" s="40">
        <f t="shared" si="365"/>
        <v>0</v>
      </c>
    </row>
    <row r="822" spans="2:45" ht="14.4" customHeight="1" x14ac:dyDescent="0.25">
      <c r="B822" s="56" t="s">
        <v>45</v>
      </c>
      <c r="C822" s="57" t="s">
        <v>26</v>
      </c>
      <c r="D822" s="58" t="s">
        <v>27</v>
      </c>
      <c r="E822" s="62">
        <v>4.8499999999999993E-3</v>
      </c>
      <c r="F822" s="65">
        <f t="shared" si="366"/>
        <v>-5.3287765740327453</v>
      </c>
      <c r="S822" s="40">
        <f t="shared" si="339"/>
        <v>0</v>
      </c>
      <c r="T822" s="40">
        <f t="shared" si="340"/>
        <v>0</v>
      </c>
      <c r="U822" s="40">
        <f t="shared" si="341"/>
        <v>0</v>
      </c>
      <c r="V822" s="40">
        <f t="shared" si="342"/>
        <v>1</v>
      </c>
      <c r="W822" s="40">
        <f t="shared" si="343"/>
        <v>0</v>
      </c>
      <c r="X822" s="40">
        <f t="shared" si="344"/>
        <v>0</v>
      </c>
      <c r="Y822" s="40">
        <f t="shared" si="345"/>
        <v>0</v>
      </c>
      <c r="Z822" s="40">
        <f t="shared" si="346"/>
        <v>0</v>
      </c>
      <c r="AA822" s="40">
        <f t="shared" si="347"/>
        <v>0</v>
      </c>
      <c r="AB822" s="40">
        <f t="shared" si="348"/>
        <v>0</v>
      </c>
      <c r="AC822" s="40">
        <f t="shared" si="349"/>
        <v>0</v>
      </c>
      <c r="AD822" s="40">
        <f t="shared" si="350"/>
        <v>0</v>
      </c>
      <c r="AE822" s="40">
        <f t="shared" si="351"/>
        <v>0</v>
      </c>
      <c r="AF822" s="40">
        <f t="shared" si="352"/>
        <v>1</v>
      </c>
      <c r="AG822" s="40">
        <f t="shared" si="353"/>
        <v>0</v>
      </c>
      <c r="AH822" s="40">
        <f t="shared" si="354"/>
        <v>1</v>
      </c>
      <c r="AI822" s="40">
        <f t="shared" si="355"/>
        <v>0</v>
      </c>
      <c r="AJ822" s="40">
        <f t="shared" si="356"/>
        <v>0</v>
      </c>
      <c r="AK822" s="40">
        <f t="shared" si="357"/>
        <v>0</v>
      </c>
      <c r="AL822" s="40">
        <f t="shared" si="358"/>
        <v>0</v>
      </c>
      <c r="AM822" s="40">
        <f t="shared" si="359"/>
        <v>0</v>
      </c>
      <c r="AN822" s="40">
        <f t="shared" si="360"/>
        <v>0</v>
      </c>
      <c r="AO822" s="40">
        <f t="shared" si="361"/>
        <v>0</v>
      </c>
      <c r="AP822" s="40">
        <f t="shared" si="362"/>
        <v>0</v>
      </c>
      <c r="AQ822" s="40">
        <f t="shared" si="363"/>
        <v>0</v>
      </c>
      <c r="AR822" s="40">
        <f t="shared" si="364"/>
        <v>0</v>
      </c>
      <c r="AS822" s="40">
        <f t="shared" si="365"/>
        <v>0</v>
      </c>
    </row>
    <row r="823" spans="2:45" ht="14.4" customHeight="1" x14ac:dyDescent="0.25">
      <c r="B823" s="56" t="s">
        <v>45</v>
      </c>
      <c r="C823" s="57" t="s">
        <v>26</v>
      </c>
      <c r="D823" s="58" t="s">
        <v>27</v>
      </c>
      <c r="E823" s="62">
        <v>4.9600000000000009E-3</v>
      </c>
      <c r="F823" s="65">
        <f t="shared" si="366"/>
        <v>-5.3063495382453008</v>
      </c>
      <c r="S823" s="40">
        <f t="shared" si="339"/>
        <v>0</v>
      </c>
      <c r="T823" s="40">
        <f t="shared" si="340"/>
        <v>0</v>
      </c>
      <c r="U823" s="40">
        <f t="shared" si="341"/>
        <v>0</v>
      </c>
      <c r="V823" s="40">
        <f t="shared" si="342"/>
        <v>1</v>
      </c>
      <c r="W823" s="40">
        <f t="shared" si="343"/>
        <v>0</v>
      </c>
      <c r="X823" s="40">
        <f t="shared" si="344"/>
        <v>0</v>
      </c>
      <c r="Y823" s="40">
        <f t="shared" si="345"/>
        <v>0</v>
      </c>
      <c r="Z823" s="40">
        <f t="shared" si="346"/>
        <v>0</v>
      </c>
      <c r="AA823" s="40">
        <f t="shared" si="347"/>
        <v>0</v>
      </c>
      <c r="AB823" s="40">
        <f t="shared" si="348"/>
        <v>0</v>
      </c>
      <c r="AC823" s="40">
        <f t="shared" si="349"/>
        <v>0</v>
      </c>
      <c r="AD823" s="40">
        <f t="shared" si="350"/>
        <v>0</v>
      </c>
      <c r="AE823" s="40">
        <f t="shared" si="351"/>
        <v>0</v>
      </c>
      <c r="AF823" s="40">
        <f t="shared" si="352"/>
        <v>1</v>
      </c>
      <c r="AG823" s="40">
        <f t="shared" si="353"/>
        <v>0</v>
      </c>
      <c r="AH823" s="40">
        <f t="shared" si="354"/>
        <v>0</v>
      </c>
      <c r="AI823" s="40">
        <f t="shared" si="355"/>
        <v>0</v>
      </c>
      <c r="AJ823" s="40">
        <f t="shared" si="356"/>
        <v>0</v>
      </c>
      <c r="AK823" s="40">
        <f t="shared" si="357"/>
        <v>1</v>
      </c>
      <c r="AL823" s="40">
        <f t="shared" si="358"/>
        <v>0</v>
      </c>
      <c r="AM823" s="40">
        <f t="shared" si="359"/>
        <v>0</v>
      </c>
      <c r="AN823" s="40">
        <f t="shared" si="360"/>
        <v>0</v>
      </c>
      <c r="AO823" s="40">
        <f t="shared" si="361"/>
        <v>0</v>
      </c>
      <c r="AP823" s="40">
        <f t="shared" si="362"/>
        <v>0</v>
      </c>
      <c r="AQ823" s="40">
        <f t="shared" si="363"/>
        <v>0</v>
      </c>
      <c r="AR823" s="40">
        <f t="shared" si="364"/>
        <v>0</v>
      </c>
      <c r="AS823" s="40">
        <f t="shared" si="365"/>
        <v>0</v>
      </c>
    </row>
    <row r="824" spans="2:45" ht="14.4" customHeight="1" x14ac:dyDescent="0.25">
      <c r="B824" s="56" t="s">
        <v>45</v>
      </c>
      <c r="C824" s="57" t="s">
        <v>26</v>
      </c>
      <c r="D824" s="58" t="s">
        <v>32</v>
      </c>
      <c r="E824" s="62">
        <v>1.4400000000000001E-2</v>
      </c>
      <c r="F824" s="65">
        <f t="shared" si="366"/>
        <v>-4.240527072400182</v>
      </c>
      <c r="S824" s="40">
        <f t="shared" si="339"/>
        <v>0</v>
      </c>
      <c r="T824" s="40">
        <f t="shared" si="340"/>
        <v>0</v>
      </c>
      <c r="U824" s="40">
        <f t="shared" si="341"/>
        <v>0</v>
      </c>
      <c r="V824" s="40">
        <f t="shared" si="342"/>
        <v>1</v>
      </c>
      <c r="W824" s="40">
        <f t="shared" si="343"/>
        <v>0</v>
      </c>
      <c r="X824" s="40">
        <f t="shared" si="344"/>
        <v>0</v>
      </c>
      <c r="Y824" s="40">
        <f t="shared" si="345"/>
        <v>0</v>
      </c>
      <c r="Z824" s="40">
        <f t="shared" si="346"/>
        <v>0</v>
      </c>
      <c r="AA824" s="40">
        <f t="shared" si="347"/>
        <v>0</v>
      </c>
      <c r="AB824" s="40">
        <f t="shared" si="348"/>
        <v>0</v>
      </c>
      <c r="AC824" s="40">
        <f t="shared" si="349"/>
        <v>0</v>
      </c>
      <c r="AD824" s="40">
        <f t="shared" si="350"/>
        <v>0</v>
      </c>
      <c r="AE824" s="40">
        <f t="shared" si="351"/>
        <v>0</v>
      </c>
      <c r="AF824" s="40">
        <f t="shared" si="352"/>
        <v>1</v>
      </c>
      <c r="AG824" s="40">
        <f t="shared" si="353"/>
        <v>0</v>
      </c>
      <c r="AH824" s="40">
        <f t="shared" si="354"/>
        <v>0</v>
      </c>
      <c r="AI824" s="40">
        <f t="shared" si="355"/>
        <v>0</v>
      </c>
      <c r="AJ824" s="40">
        <f t="shared" si="356"/>
        <v>0</v>
      </c>
      <c r="AK824" s="40">
        <f t="shared" si="357"/>
        <v>0</v>
      </c>
      <c r="AL824" s="40">
        <f t="shared" si="358"/>
        <v>0</v>
      </c>
      <c r="AM824" s="40">
        <f t="shared" si="359"/>
        <v>0</v>
      </c>
      <c r="AN824" s="40">
        <f t="shared" si="360"/>
        <v>0</v>
      </c>
      <c r="AO824" s="40">
        <f t="shared" si="361"/>
        <v>1</v>
      </c>
      <c r="AP824" s="40">
        <f t="shared" si="362"/>
        <v>0</v>
      </c>
      <c r="AQ824" s="40">
        <f t="shared" si="363"/>
        <v>0</v>
      </c>
      <c r="AR824" s="40">
        <f t="shared" si="364"/>
        <v>0</v>
      </c>
      <c r="AS824" s="40">
        <f t="shared" si="365"/>
        <v>0</v>
      </c>
    </row>
    <row r="825" spans="2:45" ht="14.4" customHeight="1" x14ac:dyDescent="0.25">
      <c r="B825" s="56" t="s">
        <v>45</v>
      </c>
      <c r="C825" s="57" t="s">
        <v>26</v>
      </c>
      <c r="D825" s="58" t="s">
        <v>31</v>
      </c>
      <c r="E825" s="62">
        <v>2.5100000000000005E-3</v>
      </c>
      <c r="F825" s="65">
        <f t="shared" si="366"/>
        <v>-5.9874725258384442</v>
      </c>
      <c r="S825" s="40">
        <f t="shared" si="339"/>
        <v>0</v>
      </c>
      <c r="T825" s="40">
        <f t="shared" si="340"/>
        <v>0</v>
      </c>
      <c r="U825" s="40">
        <f t="shared" si="341"/>
        <v>0</v>
      </c>
      <c r="V825" s="40">
        <f t="shared" si="342"/>
        <v>1</v>
      </c>
      <c r="W825" s="40">
        <f t="shared" si="343"/>
        <v>0</v>
      </c>
      <c r="X825" s="40">
        <f t="shared" si="344"/>
        <v>0</v>
      </c>
      <c r="Y825" s="40">
        <f t="shared" si="345"/>
        <v>0</v>
      </c>
      <c r="Z825" s="40">
        <f t="shared" si="346"/>
        <v>0</v>
      </c>
      <c r="AA825" s="40">
        <f t="shared" si="347"/>
        <v>0</v>
      </c>
      <c r="AB825" s="40">
        <f t="shared" si="348"/>
        <v>0</v>
      </c>
      <c r="AC825" s="40">
        <f t="shared" si="349"/>
        <v>0</v>
      </c>
      <c r="AD825" s="40">
        <f t="shared" si="350"/>
        <v>0</v>
      </c>
      <c r="AE825" s="40">
        <f t="shared" si="351"/>
        <v>0</v>
      </c>
      <c r="AF825" s="40">
        <f t="shared" si="352"/>
        <v>1</v>
      </c>
      <c r="AG825" s="40">
        <f t="shared" si="353"/>
        <v>0</v>
      </c>
      <c r="AH825" s="40">
        <f t="shared" si="354"/>
        <v>0</v>
      </c>
      <c r="AI825" s="40">
        <f t="shared" si="355"/>
        <v>0</v>
      </c>
      <c r="AJ825" s="40">
        <f t="shared" si="356"/>
        <v>0</v>
      </c>
      <c r="AK825" s="40">
        <f t="shared" si="357"/>
        <v>0</v>
      </c>
      <c r="AL825" s="40">
        <f t="shared" si="358"/>
        <v>0</v>
      </c>
      <c r="AM825" s="40">
        <f t="shared" si="359"/>
        <v>0</v>
      </c>
      <c r="AN825" s="40">
        <f t="shared" si="360"/>
        <v>0</v>
      </c>
      <c r="AO825" s="40">
        <f t="shared" si="361"/>
        <v>1</v>
      </c>
      <c r="AP825" s="40">
        <f t="shared" si="362"/>
        <v>0</v>
      </c>
      <c r="AQ825" s="40">
        <f t="shared" si="363"/>
        <v>0</v>
      </c>
      <c r="AR825" s="40">
        <f t="shared" si="364"/>
        <v>0</v>
      </c>
      <c r="AS825" s="40">
        <f t="shared" si="365"/>
        <v>0</v>
      </c>
    </row>
    <row r="826" spans="2:45" ht="14.4" customHeight="1" x14ac:dyDescent="0.25">
      <c r="B826" s="56" t="s">
        <v>45</v>
      </c>
      <c r="C826" s="57" t="s">
        <v>26</v>
      </c>
      <c r="D826" s="58" t="s">
        <v>31</v>
      </c>
      <c r="E826" s="62">
        <v>2.4899999999999987E-3</v>
      </c>
      <c r="F826" s="65">
        <f t="shared" si="366"/>
        <v>-5.9954725685055212</v>
      </c>
      <c r="S826" s="40">
        <f t="shared" si="339"/>
        <v>0</v>
      </c>
      <c r="T826" s="40">
        <f t="shared" si="340"/>
        <v>0</v>
      </c>
      <c r="U826" s="40">
        <f t="shared" si="341"/>
        <v>0</v>
      </c>
      <c r="V826" s="40">
        <f t="shared" si="342"/>
        <v>1</v>
      </c>
      <c r="W826" s="40">
        <f t="shared" si="343"/>
        <v>0</v>
      </c>
      <c r="X826" s="40">
        <f t="shared" si="344"/>
        <v>0</v>
      </c>
      <c r="Y826" s="40">
        <f t="shared" si="345"/>
        <v>0</v>
      </c>
      <c r="Z826" s="40">
        <f t="shared" si="346"/>
        <v>0</v>
      </c>
      <c r="AA826" s="40">
        <f t="shared" si="347"/>
        <v>0</v>
      </c>
      <c r="AB826" s="40">
        <f t="shared" si="348"/>
        <v>0</v>
      </c>
      <c r="AC826" s="40">
        <f t="shared" si="349"/>
        <v>0</v>
      </c>
      <c r="AD826" s="40">
        <f t="shared" si="350"/>
        <v>0</v>
      </c>
      <c r="AE826" s="40">
        <f t="shared" si="351"/>
        <v>0</v>
      </c>
      <c r="AF826" s="40">
        <f t="shared" si="352"/>
        <v>1</v>
      </c>
      <c r="AG826" s="40">
        <f t="shared" si="353"/>
        <v>0</v>
      </c>
      <c r="AH826" s="40">
        <f t="shared" si="354"/>
        <v>1</v>
      </c>
      <c r="AI826" s="40">
        <f t="shared" si="355"/>
        <v>0</v>
      </c>
      <c r="AJ826" s="40">
        <f t="shared" si="356"/>
        <v>0</v>
      </c>
      <c r="AK826" s="40">
        <f t="shared" si="357"/>
        <v>0</v>
      </c>
      <c r="AL826" s="40">
        <f t="shared" si="358"/>
        <v>0</v>
      </c>
      <c r="AM826" s="40">
        <f t="shared" si="359"/>
        <v>0</v>
      </c>
      <c r="AN826" s="40">
        <f t="shared" si="360"/>
        <v>0</v>
      </c>
      <c r="AO826" s="40">
        <f t="shared" si="361"/>
        <v>0</v>
      </c>
      <c r="AP826" s="40">
        <f t="shared" si="362"/>
        <v>0</v>
      </c>
      <c r="AQ826" s="40">
        <f t="shared" si="363"/>
        <v>0</v>
      </c>
      <c r="AR826" s="40">
        <f t="shared" si="364"/>
        <v>0</v>
      </c>
      <c r="AS826" s="40">
        <f t="shared" si="365"/>
        <v>0</v>
      </c>
    </row>
    <row r="827" spans="2:45" ht="14.4" customHeight="1" x14ac:dyDescent="0.25">
      <c r="B827" s="56" t="s">
        <v>45</v>
      </c>
      <c r="C827" s="57" t="s">
        <v>26</v>
      </c>
      <c r="D827" s="58" t="s">
        <v>27</v>
      </c>
      <c r="E827" s="62">
        <v>8.0299999999999972E-3</v>
      </c>
      <c r="F827" s="65">
        <f t="shared" si="366"/>
        <v>-4.824570751023467</v>
      </c>
      <c r="S827" s="40">
        <f t="shared" si="339"/>
        <v>0</v>
      </c>
      <c r="T827" s="40">
        <f t="shared" si="340"/>
        <v>0</v>
      </c>
      <c r="U827" s="40">
        <f t="shared" si="341"/>
        <v>0</v>
      </c>
      <c r="V827" s="40">
        <f t="shared" si="342"/>
        <v>1</v>
      </c>
      <c r="W827" s="40">
        <f t="shared" si="343"/>
        <v>0</v>
      </c>
      <c r="X827" s="40">
        <f t="shared" si="344"/>
        <v>0</v>
      </c>
      <c r="Y827" s="40">
        <f t="shared" si="345"/>
        <v>0</v>
      </c>
      <c r="Z827" s="40">
        <f t="shared" si="346"/>
        <v>0</v>
      </c>
      <c r="AA827" s="40">
        <f t="shared" si="347"/>
        <v>0</v>
      </c>
      <c r="AB827" s="40">
        <f t="shared" si="348"/>
        <v>0</v>
      </c>
      <c r="AC827" s="40">
        <f t="shared" si="349"/>
        <v>0</v>
      </c>
      <c r="AD827" s="40">
        <f t="shared" si="350"/>
        <v>0</v>
      </c>
      <c r="AE827" s="40">
        <f t="shared" si="351"/>
        <v>0</v>
      </c>
      <c r="AF827" s="40">
        <f t="shared" si="352"/>
        <v>1</v>
      </c>
      <c r="AG827" s="40">
        <f t="shared" si="353"/>
        <v>0</v>
      </c>
      <c r="AH827" s="40">
        <f t="shared" si="354"/>
        <v>1</v>
      </c>
      <c r="AI827" s="40">
        <f t="shared" si="355"/>
        <v>0</v>
      </c>
      <c r="AJ827" s="40">
        <f t="shared" si="356"/>
        <v>0</v>
      </c>
      <c r="AK827" s="40">
        <f t="shared" si="357"/>
        <v>0</v>
      </c>
      <c r="AL827" s="40">
        <f t="shared" si="358"/>
        <v>0</v>
      </c>
      <c r="AM827" s="40">
        <f t="shared" si="359"/>
        <v>0</v>
      </c>
      <c r="AN827" s="40">
        <f t="shared" si="360"/>
        <v>0</v>
      </c>
      <c r="AO827" s="40">
        <f t="shared" si="361"/>
        <v>0</v>
      </c>
      <c r="AP827" s="40">
        <f t="shared" si="362"/>
        <v>0</v>
      </c>
      <c r="AQ827" s="40">
        <f t="shared" si="363"/>
        <v>0</v>
      </c>
      <c r="AR827" s="40">
        <f t="shared" si="364"/>
        <v>0</v>
      </c>
      <c r="AS827" s="40">
        <f t="shared" si="365"/>
        <v>0</v>
      </c>
    </row>
    <row r="828" spans="2:45" ht="14.4" customHeight="1" x14ac:dyDescent="0.25">
      <c r="B828" s="56" t="s">
        <v>45</v>
      </c>
      <c r="C828" s="57" t="s">
        <v>26</v>
      </c>
      <c r="D828" s="58" t="s">
        <v>27</v>
      </c>
      <c r="E828" s="62">
        <v>7.3499999999999972E-3</v>
      </c>
      <c r="F828" s="65">
        <f t="shared" si="366"/>
        <v>-4.9130549657573921</v>
      </c>
      <c r="S828" s="40">
        <f t="shared" si="339"/>
        <v>0</v>
      </c>
      <c r="T828" s="40">
        <f t="shared" si="340"/>
        <v>0</v>
      </c>
      <c r="U828" s="40">
        <f t="shared" si="341"/>
        <v>0</v>
      </c>
      <c r="V828" s="40">
        <f t="shared" si="342"/>
        <v>1</v>
      </c>
      <c r="W828" s="40">
        <f t="shared" si="343"/>
        <v>0</v>
      </c>
      <c r="X828" s="40">
        <f t="shared" si="344"/>
        <v>0</v>
      </c>
      <c r="Y828" s="40">
        <f t="shared" si="345"/>
        <v>0</v>
      </c>
      <c r="Z828" s="40">
        <f t="shared" si="346"/>
        <v>0</v>
      </c>
      <c r="AA828" s="40">
        <f t="shared" si="347"/>
        <v>0</v>
      </c>
      <c r="AB828" s="40">
        <f t="shared" si="348"/>
        <v>0</v>
      </c>
      <c r="AC828" s="40">
        <f t="shared" si="349"/>
        <v>0</v>
      </c>
      <c r="AD828" s="40">
        <f t="shared" si="350"/>
        <v>0</v>
      </c>
      <c r="AE828" s="40">
        <f t="shared" si="351"/>
        <v>0</v>
      </c>
      <c r="AF828" s="40">
        <f t="shared" si="352"/>
        <v>1</v>
      </c>
      <c r="AG828" s="40">
        <f t="shared" si="353"/>
        <v>0</v>
      </c>
      <c r="AH828" s="40">
        <f t="shared" si="354"/>
        <v>0</v>
      </c>
      <c r="AI828" s="40">
        <f t="shared" si="355"/>
        <v>0</v>
      </c>
      <c r="AJ828" s="40">
        <f t="shared" si="356"/>
        <v>0</v>
      </c>
      <c r="AK828" s="40">
        <f t="shared" si="357"/>
        <v>0</v>
      </c>
      <c r="AL828" s="40">
        <f t="shared" si="358"/>
        <v>1</v>
      </c>
      <c r="AM828" s="40">
        <f t="shared" si="359"/>
        <v>0</v>
      </c>
      <c r="AN828" s="40">
        <f t="shared" si="360"/>
        <v>0</v>
      </c>
      <c r="AO828" s="40">
        <f t="shared" si="361"/>
        <v>0</v>
      </c>
      <c r="AP828" s="40">
        <f t="shared" si="362"/>
        <v>0</v>
      </c>
      <c r="AQ828" s="40">
        <f t="shared" si="363"/>
        <v>0</v>
      </c>
      <c r="AR828" s="40">
        <f t="shared" si="364"/>
        <v>0</v>
      </c>
      <c r="AS828" s="40">
        <f t="shared" si="365"/>
        <v>0</v>
      </c>
    </row>
    <row r="829" spans="2:45" ht="14.4" customHeight="1" x14ac:dyDescent="0.25">
      <c r="B829" s="56" t="s">
        <v>45</v>
      </c>
      <c r="C829" s="57" t="s">
        <v>26</v>
      </c>
      <c r="D829" s="58" t="s">
        <v>24</v>
      </c>
      <c r="E829" s="62">
        <v>6.989999999999998E-3</v>
      </c>
      <c r="F829" s="65">
        <f t="shared" si="366"/>
        <v>-4.9632747227364185</v>
      </c>
      <c r="S829" s="40">
        <f t="shared" si="339"/>
        <v>0</v>
      </c>
      <c r="T829" s="40">
        <f t="shared" si="340"/>
        <v>0</v>
      </c>
      <c r="U829" s="40">
        <f t="shared" si="341"/>
        <v>0</v>
      </c>
      <c r="V829" s="40">
        <f t="shared" si="342"/>
        <v>1</v>
      </c>
      <c r="W829" s="40">
        <f t="shared" si="343"/>
        <v>0</v>
      </c>
      <c r="X829" s="40">
        <f t="shared" si="344"/>
        <v>0</v>
      </c>
      <c r="Y829" s="40">
        <f t="shared" si="345"/>
        <v>0</v>
      </c>
      <c r="Z829" s="40">
        <f t="shared" si="346"/>
        <v>0</v>
      </c>
      <c r="AA829" s="40">
        <f t="shared" si="347"/>
        <v>0</v>
      </c>
      <c r="AB829" s="40">
        <f t="shared" si="348"/>
        <v>0</v>
      </c>
      <c r="AC829" s="40">
        <f t="shared" si="349"/>
        <v>0</v>
      </c>
      <c r="AD829" s="40">
        <f t="shared" si="350"/>
        <v>0</v>
      </c>
      <c r="AE829" s="40">
        <f t="shared" si="351"/>
        <v>0</v>
      </c>
      <c r="AF829" s="40">
        <f t="shared" si="352"/>
        <v>1</v>
      </c>
      <c r="AG829" s="40">
        <f t="shared" si="353"/>
        <v>0</v>
      </c>
      <c r="AH829" s="40">
        <f t="shared" si="354"/>
        <v>0</v>
      </c>
      <c r="AI829" s="40">
        <f t="shared" si="355"/>
        <v>0</v>
      </c>
      <c r="AJ829" s="40">
        <f t="shared" si="356"/>
        <v>1</v>
      </c>
      <c r="AK829" s="40">
        <f t="shared" si="357"/>
        <v>0</v>
      </c>
      <c r="AL829" s="40">
        <f t="shared" si="358"/>
        <v>0</v>
      </c>
      <c r="AM829" s="40">
        <f t="shared" si="359"/>
        <v>0</v>
      </c>
      <c r="AN829" s="40">
        <f t="shared" si="360"/>
        <v>0</v>
      </c>
      <c r="AO829" s="40">
        <f t="shared" si="361"/>
        <v>0</v>
      </c>
      <c r="AP829" s="40">
        <f t="shared" si="362"/>
        <v>0</v>
      </c>
      <c r="AQ829" s="40">
        <f t="shared" si="363"/>
        <v>0</v>
      </c>
      <c r="AR829" s="40">
        <f t="shared" si="364"/>
        <v>0</v>
      </c>
      <c r="AS829" s="40">
        <f t="shared" si="365"/>
        <v>0</v>
      </c>
    </row>
    <row r="830" spans="2:45" ht="14.4" customHeight="1" x14ac:dyDescent="0.25">
      <c r="B830" s="56" t="s">
        <v>45</v>
      </c>
      <c r="C830" s="57" t="s">
        <v>26</v>
      </c>
      <c r="D830" s="58" t="s">
        <v>37</v>
      </c>
      <c r="E830" s="62">
        <v>4.4399999999999986E-3</v>
      </c>
      <c r="F830" s="65">
        <f t="shared" si="366"/>
        <v>-5.4171009025380039</v>
      </c>
      <c r="S830" s="40">
        <f t="shared" si="339"/>
        <v>0</v>
      </c>
      <c r="T830" s="40">
        <f t="shared" si="340"/>
        <v>0</v>
      </c>
      <c r="U830" s="40">
        <f t="shared" si="341"/>
        <v>0</v>
      </c>
      <c r="V830" s="40">
        <f t="shared" si="342"/>
        <v>1</v>
      </c>
      <c r="W830" s="40">
        <f t="shared" si="343"/>
        <v>0</v>
      </c>
      <c r="X830" s="40">
        <f t="shared" si="344"/>
        <v>0</v>
      </c>
      <c r="Y830" s="40">
        <f t="shared" si="345"/>
        <v>0</v>
      </c>
      <c r="Z830" s="40">
        <f t="shared" si="346"/>
        <v>0</v>
      </c>
      <c r="AA830" s="40">
        <f t="shared" si="347"/>
        <v>0</v>
      </c>
      <c r="AB830" s="40">
        <f t="shared" si="348"/>
        <v>0</v>
      </c>
      <c r="AC830" s="40">
        <f t="shared" si="349"/>
        <v>0</v>
      </c>
      <c r="AD830" s="40">
        <f t="shared" si="350"/>
        <v>0</v>
      </c>
      <c r="AE830" s="40">
        <f t="shared" si="351"/>
        <v>0</v>
      </c>
      <c r="AF830" s="40">
        <f t="shared" si="352"/>
        <v>1</v>
      </c>
      <c r="AG830" s="40">
        <f t="shared" si="353"/>
        <v>0</v>
      </c>
      <c r="AH830" s="40">
        <f t="shared" si="354"/>
        <v>0</v>
      </c>
      <c r="AI830" s="40">
        <f t="shared" si="355"/>
        <v>0</v>
      </c>
      <c r="AJ830" s="40">
        <f t="shared" si="356"/>
        <v>0</v>
      </c>
      <c r="AK830" s="40">
        <f t="shared" si="357"/>
        <v>1</v>
      </c>
      <c r="AL830" s="40">
        <f t="shared" si="358"/>
        <v>0</v>
      </c>
      <c r="AM830" s="40">
        <f t="shared" si="359"/>
        <v>0</v>
      </c>
      <c r="AN830" s="40">
        <f t="shared" si="360"/>
        <v>0</v>
      </c>
      <c r="AO830" s="40">
        <f t="shared" si="361"/>
        <v>0</v>
      </c>
      <c r="AP830" s="40">
        <f t="shared" si="362"/>
        <v>0</v>
      </c>
      <c r="AQ830" s="40">
        <f t="shared" si="363"/>
        <v>0</v>
      </c>
      <c r="AR830" s="40">
        <f t="shared" si="364"/>
        <v>0</v>
      </c>
      <c r="AS830" s="40">
        <f t="shared" si="365"/>
        <v>0</v>
      </c>
    </row>
    <row r="831" spans="2:45" ht="14.4" customHeight="1" x14ac:dyDescent="0.25">
      <c r="B831" s="56" t="s">
        <v>45</v>
      </c>
      <c r="C831" s="57" t="s">
        <v>26</v>
      </c>
      <c r="D831" s="58" t="s">
        <v>32</v>
      </c>
      <c r="E831" s="62">
        <v>8.680000000000002E-3</v>
      </c>
      <c r="F831" s="65">
        <f t="shared" si="366"/>
        <v>-4.7467337503098781</v>
      </c>
      <c r="S831" s="40">
        <f t="shared" si="339"/>
        <v>0</v>
      </c>
      <c r="T831" s="40">
        <f t="shared" si="340"/>
        <v>0</v>
      </c>
      <c r="U831" s="40">
        <f t="shared" si="341"/>
        <v>0</v>
      </c>
      <c r="V831" s="40">
        <f t="shared" si="342"/>
        <v>1</v>
      </c>
      <c r="W831" s="40">
        <f t="shared" si="343"/>
        <v>0</v>
      </c>
      <c r="X831" s="40">
        <f t="shared" si="344"/>
        <v>0</v>
      </c>
      <c r="Y831" s="40">
        <f t="shared" si="345"/>
        <v>0</v>
      </c>
      <c r="Z831" s="40">
        <f t="shared" si="346"/>
        <v>0</v>
      </c>
      <c r="AA831" s="40">
        <f t="shared" si="347"/>
        <v>0</v>
      </c>
      <c r="AB831" s="40">
        <f t="shared" si="348"/>
        <v>0</v>
      </c>
      <c r="AC831" s="40">
        <f t="shared" si="349"/>
        <v>0</v>
      </c>
      <c r="AD831" s="40">
        <f t="shared" si="350"/>
        <v>0</v>
      </c>
      <c r="AE831" s="40">
        <f t="shared" si="351"/>
        <v>0</v>
      </c>
      <c r="AF831" s="40">
        <f t="shared" si="352"/>
        <v>1</v>
      </c>
      <c r="AG831" s="40">
        <f t="shared" si="353"/>
        <v>0</v>
      </c>
      <c r="AH831" s="40">
        <f t="shared" si="354"/>
        <v>0</v>
      </c>
      <c r="AI831" s="40">
        <f t="shared" si="355"/>
        <v>0</v>
      </c>
      <c r="AJ831" s="40">
        <f t="shared" si="356"/>
        <v>0</v>
      </c>
      <c r="AK831" s="40">
        <f t="shared" si="357"/>
        <v>1</v>
      </c>
      <c r="AL831" s="40">
        <f t="shared" si="358"/>
        <v>0</v>
      </c>
      <c r="AM831" s="40">
        <f t="shared" si="359"/>
        <v>0</v>
      </c>
      <c r="AN831" s="40">
        <f t="shared" si="360"/>
        <v>0</v>
      </c>
      <c r="AO831" s="40">
        <f t="shared" si="361"/>
        <v>0</v>
      </c>
      <c r="AP831" s="40">
        <f t="shared" si="362"/>
        <v>0</v>
      </c>
      <c r="AQ831" s="40">
        <f t="shared" si="363"/>
        <v>0</v>
      </c>
      <c r="AR831" s="40">
        <f t="shared" si="364"/>
        <v>0</v>
      </c>
      <c r="AS831" s="40">
        <f t="shared" si="365"/>
        <v>0</v>
      </c>
    </row>
    <row r="832" spans="2:45" ht="14.4" customHeight="1" x14ac:dyDescent="0.25">
      <c r="B832" s="56" t="s">
        <v>45</v>
      </c>
      <c r="C832" s="57" t="s">
        <v>26</v>
      </c>
      <c r="D832" s="58" t="s">
        <v>32</v>
      </c>
      <c r="E832" s="62">
        <v>8.680000000000002E-3</v>
      </c>
      <c r="F832" s="65">
        <f t="shared" si="366"/>
        <v>-4.7467337503098781</v>
      </c>
      <c r="S832" s="40">
        <f t="shared" si="339"/>
        <v>0</v>
      </c>
      <c r="T832" s="40">
        <f t="shared" si="340"/>
        <v>0</v>
      </c>
      <c r="U832" s="40">
        <f t="shared" si="341"/>
        <v>0</v>
      </c>
      <c r="V832" s="40">
        <f t="shared" si="342"/>
        <v>1</v>
      </c>
      <c r="W832" s="40">
        <f t="shared" si="343"/>
        <v>0</v>
      </c>
      <c r="X832" s="40">
        <f t="shared" si="344"/>
        <v>0</v>
      </c>
      <c r="Y832" s="40">
        <f t="shared" si="345"/>
        <v>0</v>
      </c>
      <c r="Z832" s="40">
        <f t="shared" si="346"/>
        <v>1</v>
      </c>
      <c r="AA832" s="40">
        <f t="shared" si="347"/>
        <v>0</v>
      </c>
      <c r="AB832" s="40">
        <f t="shared" si="348"/>
        <v>0</v>
      </c>
      <c r="AC832" s="40">
        <f t="shared" si="349"/>
        <v>0</v>
      </c>
      <c r="AD832" s="40">
        <f t="shared" si="350"/>
        <v>0</v>
      </c>
      <c r="AE832" s="40">
        <f t="shared" si="351"/>
        <v>0</v>
      </c>
      <c r="AF832" s="40">
        <f t="shared" si="352"/>
        <v>0</v>
      </c>
      <c r="AG832" s="40">
        <f t="shared" si="353"/>
        <v>0</v>
      </c>
      <c r="AH832" s="40">
        <f t="shared" si="354"/>
        <v>1</v>
      </c>
      <c r="AI832" s="40">
        <f t="shared" si="355"/>
        <v>0</v>
      </c>
      <c r="AJ832" s="40">
        <f t="shared" si="356"/>
        <v>0</v>
      </c>
      <c r="AK832" s="40">
        <f t="shared" si="357"/>
        <v>0</v>
      </c>
      <c r="AL832" s="40">
        <f t="shared" si="358"/>
        <v>0</v>
      </c>
      <c r="AM832" s="40">
        <f t="shared" si="359"/>
        <v>0</v>
      </c>
      <c r="AN832" s="40">
        <f t="shared" si="360"/>
        <v>0</v>
      </c>
      <c r="AO832" s="40">
        <f t="shared" si="361"/>
        <v>0</v>
      </c>
      <c r="AP832" s="40">
        <f t="shared" si="362"/>
        <v>0</v>
      </c>
      <c r="AQ832" s="40">
        <f t="shared" si="363"/>
        <v>0</v>
      </c>
      <c r="AR832" s="40">
        <f t="shared" si="364"/>
        <v>0</v>
      </c>
      <c r="AS832" s="40">
        <f t="shared" si="365"/>
        <v>0</v>
      </c>
    </row>
    <row r="833" spans="2:45" ht="14.4" customHeight="1" x14ac:dyDescent="0.25">
      <c r="B833" s="56" t="s">
        <v>45</v>
      </c>
      <c r="C833" s="57" t="s">
        <v>36</v>
      </c>
      <c r="D833" s="58" t="s">
        <v>27</v>
      </c>
      <c r="E833" s="62">
        <v>4.2700000000000004E-3</v>
      </c>
      <c r="F833" s="65">
        <f t="shared" si="366"/>
        <v>-5.4561414517416038</v>
      </c>
      <c r="S833" s="40">
        <f t="shared" si="339"/>
        <v>0</v>
      </c>
      <c r="T833" s="40">
        <f t="shared" si="340"/>
        <v>0</v>
      </c>
      <c r="U833" s="40">
        <f t="shared" si="341"/>
        <v>0</v>
      </c>
      <c r="V833" s="40">
        <f t="shared" si="342"/>
        <v>1</v>
      </c>
      <c r="W833" s="40">
        <f t="shared" si="343"/>
        <v>0</v>
      </c>
      <c r="X833" s="40">
        <f t="shared" si="344"/>
        <v>0</v>
      </c>
      <c r="Y833" s="40">
        <f t="shared" si="345"/>
        <v>0</v>
      </c>
      <c r="Z833" s="40">
        <f t="shared" si="346"/>
        <v>0</v>
      </c>
      <c r="AA833" s="40">
        <f t="shared" si="347"/>
        <v>0</v>
      </c>
      <c r="AB833" s="40">
        <f t="shared" si="348"/>
        <v>0</v>
      </c>
      <c r="AC833" s="40">
        <f t="shared" si="349"/>
        <v>0</v>
      </c>
      <c r="AD833" s="40">
        <f t="shared" si="350"/>
        <v>0</v>
      </c>
      <c r="AE833" s="40">
        <f t="shared" si="351"/>
        <v>0</v>
      </c>
      <c r="AF833" s="40">
        <f t="shared" si="352"/>
        <v>1</v>
      </c>
      <c r="AG833" s="40">
        <f t="shared" si="353"/>
        <v>0</v>
      </c>
      <c r="AH833" s="40">
        <f t="shared" si="354"/>
        <v>0</v>
      </c>
      <c r="AI833" s="40">
        <f t="shared" si="355"/>
        <v>0</v>
      </c>
      <c r="AJ833" s="40">
        <f t="shared" si="356"/>
        <v>0</v>
      </c>
      <c r="AK833" s="40">
        <f t="shared" si="357"/>
        <v>0</v>
      </c>
      <c r="AL833" s="40">
        <f t="shared" si="358"/>
        <v>0</v>
      </c>
      <c r="AM833" s="40">
        <f t="shared" si="359"/>
        <v>0</v>
      </c>
      <c r="AN833" s="40">
        <f t="shared" si="360"/>
        <v>0</v>
      </c>
      <c r="AO833" s="40">
        <f t="shared" si="361"/>
        <v>0</v>
      </c>
      <c r="AP833" s="40">
        <f t="shared" si="362"/>
        <v>0</v>
      </c>
      <c r="AQ833" s="40">
        <f t="shared" si="363"/>
        <v>0</v>
      </c>
      <c r="AR833" s="40">
        <f t="shared" si="364"/>
        <v>0</v>
      </c>
      <c r="AS833" s="40">
        <f t="shared" si="365"/>
        <v>1</v>
      </c>
    </row>
    <row r="834" spans="2:45" ht="14.4" customHeight="1" x14ac:dyDescent="0.25">
      <c r="B834" s="56" t="s">
        <v>45</v>
      </c>
      <c r="C834" s="57" t="s">
        <v>26</v>
      </c>
      <c r="D834" s="58" t="s">
        <v>22</v>
      </c>
      <c r="E834" s="62">
        <v>8.4400000000000013E-3</v>
      </c>
      <c r="F834" s="65">
        <f t="shared" si="366"/>
        <v>-4.7747729703742712</v>
      </c>
      <c r="S834" s="40">
        <f t="shared" si="339"/>
        <v>0</v>
      </c>
      <c r="T834" s="40">
        <f t="shared" si="340"/>
        <v>0</v>
      </c>
      <c r="U834" s="40">
        <f t="shared" si="341"/>
        <v>0</v>
      </c>
      <c r="V834" s="40">
        <f t="shared" si="342"/>
        <v>1</v>
      </c>
      <c r="W834" s="40">
        <f t="shared" si="343"/>
        <v>0</v>
      </c>
      <c r="X834" s="40">
        <f t="shared" si="344"/>
        <v>0</v>
      </c>
      <c r="Y834" s="40">
        <f t="shared" si="345"/>
        <v>0</v>
      </c>
      <c r="Z834" s="40">
        <f t="shared" si="346"/>
        <v>0</v>
      </c>
      <c r="AA834" s="40">
        <f t="shared" si="347"/>
        <v>0</v>
      </c>
      <c r="AB834" s="40">
        <f t="shared" si="348"/>
        <v>1</v>
      </c>
      <c r="AC834" s="40">
        <f t="shared" si="349"/>
        <v>0</v>
      </c>
      <c r="AD834" s="40">
        <f t="shared" si="350"/>
        <v>0</v>
      </c>
      <c r="AE834" s="40">
        <f t="shared" si="351"/>
        <v>0</v>
      </c>
      <c r="AF834" s="40">
        <f t="shared" si="352"/>
        <v>0</v>
      </c>
      <c r="AG834" s="40">
        <f t="shared" si="353"/>
        <v>0</v>
      </c>
      <c r="AH834" s="40">
        <f t="shared" si="354"/>
        <v>0</v>
      </c>
      <c r="AI834" s="40">
        <f t="shared" si="355"/>
        <v>1</v>
      </c>
      <c r="AJ834" s="40">
        <f t="shared" si="356"/>
        <v>0</v>
      </c>
      <c r="AK834" s="40">
        <f t="shared" si="357"/>
        <v>0</v>
      </c>
      <c r="AL834" s="40">
        <f t="shared" si="358"/>
        <v>0</v>
      </c>
      <c r="AM834" s="40">
        <f t="shared" si="359"/>
        <v>0</v>
      </c>
      <c r="AN834" s="40">
        <f t="shared" si="360"/>
        <v>0</v>
      </c>
      <c r="AO834" s="40">
        <f t="shared" si="361"/>
        <v>0</v>
      </c>
      <c r="AP834" s="40">
        <f t="shared" si="362"/>
        <v>0</v>
      </c>
      <c r="AQ834" s="40">
        <f t="shared" si="363"/>
        <v>0</v>
      </c>
      <c r="AR834" s="40">
        <f t="shared" si="364"/>
        <v>0</v>
      </c>
      <c r="AS834" s="40">
        <f t="shared" si="365"/>
        <v>0</v>
      </c>
    </row>
    <row r="835" spans="2:45" ht="14.4" customHeight="1" x14ac:dyDescent="0.25">
      <c r="B835" s="56" t="s">
        <v>45</v>
      </c>
      <c r="C835" s="57" t="s">
        <v>25</v>
      </c>
      <c r="D835" s="58" t="s">
        <v>28</v>
      </c>
      <c r="E835" s="62">
        <v>1.2049999999999996E-2</v>
      </c>
      <c r="F835" s="65">
        <f t="shared" si="366"/>
        <v>-4.4186906190454733</v>
      </c>
      <c r="S835" s="40">
        <f t="shared" si="339"/>
        <v>0</v>
      </c>
      <c r="T835" s="40">
        <f t="shared" si="340"/>
        <v>0</v>
      </c>
      <c r="U835" s="40">
        <f t="shared" si="341"/>
        <v>0</v>
      </c>
      <c r="V835" s="40">
        <f t="shared" si="342"/>
        <v>1</v>
      </c>
      <c r="W835" s="40">
        <f t="shared" si="343"/>
        <v>0</v>
      </c>
      <c r="X835" s="40">
        <f t="shared" si="344"/>
        <v>0</v>
      </c>
      <c r="Y835" s="40">
        <f t="shared" si="345"/>
        <v>0</v>
      </c>
      <c r="Z835" s="40">
        <f t="shared" si="346"/>
        <v>0</v>
      </c>
      <c r="AA835" s="40">
        <f t="shared" si="347"/>
        <v>0</v>
      </c>
      <c r="AB835" s="40">
        <f t="shared" si="348"/>
        <v>0</v>
      </c>
      <c r="AC835" s="40">
        <f t="shared" si="349"/>
        <v>0</v>
      </c>
      <c r="AD835" s="40">
        <f t="shared" si="350"/>
        <v>0</v>
      </c>
      <c r="AE835" s="40">
        <f t="shared" si="351"/>
        <v>0</v>
      </c>
      <c r="AF835" s="40">
        <f t="shared" si="352"/>
        <v>1</v>
      </c>
      <c r="AG835" s="40">
        <f t="shared" si="353"/>
        <v>0</v>
      </c>
      <c r="AH835" s="40">
        <f t="shared" si="354"/>
        <v>0</v>
      </c>
      <c r="AI835" s="40">
        <f t="shared" si="355"/>
        <v>0</v>
      </c>
      <c r="AJ835" s="40">
        <f t="shared" si="356"/>
        <v>0</v>
      </c>
      <c r="AK835" s="40">
        <f t="shared" si="357"/>
        <v>0</v>
      </c>
      <c r="AL835" s="40">
        <f t="shared" si="358"/>
        <v>0</v>
      </c>
      <c r="AM835" s="40">
        <f t="shared" si="359"/>
        <v>0</v>
      </c>
      <c r="AN835" s="40">
        <f t="shared" si="360"/>
        <v>0</v>
      </c>
      <c r="AO835" s="40">
        <f t="shared" si="361"/>
        <v>1</v>
      </c>
      <c r="AP835" s="40">
        <f t="shared" si="362"/>
        <v>0</v>
      </c>
      <c r="AQ835" s="40">
        <f t="shared" si="363"/>
        <v>0</v>
      </c>
      <c r="AR835" s="40">
        <f t="shared" si="364"/>
        <v>0</v>
      </c>
      <c r="AS835" s="40">
        <f t="shared" si="365"/>
        <v>0</v>
      </c>
    </row>
    <row r="836" spans="2:45" ht="14.4" customHeight="1" x14ac:dyDescent="0.25">
      <c r="B836" s="56" t="s">
        <v>45</v>
      </c>
      <c r="C836" s="57" t="s">
        <v>26</v>
      </c>
      <c r="D836" s="58" t="s">
        <v>31</v>
      </c>
      <c r="E836" s="62">
        <v>4.7900000000000017E-3</v>
      </c>
      <c r="F836" s="65">
        <f t="shared" si="366"/>
        <v>-5.3412248675593128</v>
      </c>
      <c r="S836" s="40">
        <f t="shared" si="339"/>
        <v>0</v>
      </c>
      <c r="T836" s="40">
        <f t="shared" si="340"/>
        <v>0</v>
      </c>
      <c r="U836" s="40">
        <f t="shared" si="341"/>
        <v>0</v>
      </c>
      <c r="V836" s="40">
        <f t="shared" si="342"/>
        <v>1</v>
      </c>
      <c r="W836" s="40">
        <f t="shared" si="343"/>
        <v>0</v>
      </c>
      <c r="X836" s="40">
        <f t="shared" si="344"/>
        <v>0</v>
      </c>
      <c r="Y836" s="40">
        <f t="shared" si="345"/>
        <v>0</v>
      </c>
      <c r="Z836" s="40">
        <f t="shared" si="346"/>
        <v>0</v>
      </c>
      <c r="AA836" s="40">
        <f t="shared" si="347"/>
        <v>0</v>
      </c>
      <c r="AB836" s="40">
        <f t="shared" si="348"/>
        <v>0</v>
      </c>
      <c r="AC836" s="40">
        <f t="shared" si="349"/>
        <v>0</v>
      </c>
      <c r="AD836" s="40">
        <f t="shared" si="350"/>
        <v>0</v>
      </c>
      <c r="AE836" s="40">
        <f t="shared" si="351"/>
        <v>1</v>
      </c>
      <c r="AF836" s="40">
        <f t="shared" si="352"/>
        <v>0</v>
      </c>
      <c r="AG836" s="40">
        <f t="shared" si="353"/>
        <v>0</v>
      </c>
      <c r="AH836" s="40">
        <f t="shared" si="354"/>
        <v>0</v>
      </c>
      <c r="AI836" s="40">
        <f t="shared" si="355"/>
        <v>0</v>
      </c>
      <c r="AJ836" s="40">
        <f t="shared" si="356"/>
        <v>0</v>
      </c>
      <c r="AK836" s="40">
        <f t="shared" si="357"/>
        <v>0</v>
      </c>
      <c r="AL836" s="40">
        <f t="shared" si="358"/>
        <v>0</v>
      </c>
      <c r="AM836" s="40">
        <f t="shared" si="359"/>
        <v>1</v>
      </c>
      <c r="AN836" s="40">
        <f t="shared" si="360"/>
        <v>0</v>
      </c>
      <c r="AO836" s="40">
        <f t="shared" si="361"/>
        <v>0</v>
      </c>
      <c r="AP836" s="40">
        <f t="shared" si="362"/>
        <v>0</v>
      </c>
      <c r="AQ836" s="40">
        <f t="shared" si="363"/>
        <v>0</v>
      </c>
      <c r="AR836" s="40">
        <f t="shared" si="364"/>
        <v>0</v>
      </c>
      <c r="AS836" s="40">
        <f t="shared" si="365"/>
        <v>0</v>
      </c>
    </row>
    <row r="837" spans="2:45" ht="14.4" customHeight="1" x14ac:dyDescent="0.25">
      <c r="B837" s="56" t="s">
        <v>45</v>
      </c>
      <c r="C837" s="57" t="s">
        <v>34</v>
      </c>
      <c r="D837" s="58" t="s">
        <v>35</v>
      </c>
      <c r="E837" s="62">
        <v>4.7600000000000012E-3</v>
      </c>
      <c r="F837" s="65">
        <f t="shared" si="366"/>
        <v>-5.3475076107388082</v>
      </c>
      <c r="S837" s="40">
        <f t="shared" si="339"/>
        <v>0</v>
      </c>
      <c r="T837" s="40">
        <f t="shared" si="340"/>
        <v>0</v>
      </c>
      <c r="U837" s="40">
        <f t="shared" si="341"/>
        <v>0</v>
      </c>
      <c r="V837" s="40">
        <f t="shared" si="342"/>
        <v>1</v>
      </c>
      <c r="W837" s="40">
        <f t="shared" si="343"/>
        <v>0</v>
      </c>
      <c r="X837" s="40">
        <f t="shared" si="344"/>
        <v>0</v>
      </c>
      <c r="Y837" s="40">
        <f t="shared" si="345"/>
        <v>0</v>
      </c>
      <c r="Z837" s="40">
        <f t="shared" si="346"/>
        <v>0</v>
      </c>
      <c r="AA837" s="40">
        <f t="shared" si="347"/>
        <v>0</v>
      </c>
      <c r="AB837" s="40">
        <f t="shared" si="348"/>
        <v>0</v>
      </c>
      <c r="AC837" s="40">
        <f t="shared" si="349"/>
        <v>0</v>
      </c>
      <c r="AD837" s="40">
        <f t="shared" si="350"/>
        <v>0</v>
      </c>
      <c r="AE837" s="40">
        <f t="shared" si="351"/>
        <v>0</v>
      </c>
      <c r="AF837" s="40">
        <f t="shared" si="352"/>
        <v>1</v>
      </c>
      <c r="AG837" s="40">
        <f t="shared" si="353"/>
        <v>0</v>
      </c>
      <c r="AH837" s="40">
        <f t="shared" si="354"/>
        <v>0</v>
      </c>
      <c r="AI837" s="40">
        <f t="shared" si="355"/>
        <v>1</v>
      </c>
      <c r="AJ837" s="40">
        <f t="shared" si="356"/>
        <v>0</v>
      </c>
      <c r="AK837" s="40">
        <f t="shared" si="357"/>
        <v>0</v>
      </c>
      <c r="AL837" s="40">
        <f t="shared" si="358"/>
        <v>0</v>
      </c>
      <c r="AM837" s="40">
        <f t="shared" si="359"/>
        <v>0</v>
      </c>
      <c r="AN837" s="40">
        <f t="shared" si="360"/>
        <v>0</v>
      </c>
      <c r="AO837" s="40">
        <f t="shared" si="361"/>
        <v>0</v>
      </c>
      <c r="AP837" s="40">
        <f t="shared" si="362"/>
        <v>0</v>
      </c>
      <c r="AQ837" s="40">
        <f t="shared" si="363"/>
        <v>0</v>
      </c>
      <c r="AR837" s="40">
        <f t="shared" si="364"/>
        <v>0</v>
      </c>
      <c r="AS837" s="40">
        <f t="shared" si="365"/>
        <v>0</v>
      </c>
    </row>
    <row r="838" spans="2:45" ht="14.4" customHeight="1" x14ac:dyDescent="0.25">
      <c r="B838" s="56" t="s">
        <v>45</v>
      </c>
      <c r="C838" s="57" t="s">
        <v>26</v>
      </c>
      <c r="D838" s="58" t="s">
        <v>28</v>
      </c>
      <c r="E838" s="62">
        <v>1.1110000000000002E-2</v>
      </c>
      <c r="F838" s="65">
        <f t="shared" si="366"/>
        <v>-4.4999096753305983</v>
      </c>
      <c r="S838" s="40">
        <f t="shared" si="339"/>
        <v>0</v>
      </c>
      <c r="T838" s="40">
        <f t="shared" si="340"/>
        <v>0</v>
      </c>
      <c r="U838" s="40">
        <f t="shared" si="341"/>
        <v>0</v>
      </c>
      <c r="V838" s="40">
        <f t="shared" si="342"/>
        <v>1</v>
      </c>
      <c r="W838" s="40">
        <f t="shared" si="343"/>
        <v>0</v>
      </c>
      <c r="X838" s="40">
        <f t="shared" si="344"/>
        <v>0</v>
      </c>
      <c r="Y838" s="40">
        <f t="shared" si="345"/>
        <v>0</v>
      </c>
      <c r="Z838" s="40">
        <f t="shared" si="346"/>
        <v>0</v>
      </c>
      <c r="AA838" s="40">
        <f t="shared" si="347"/>
        <v>0</v>
      </c>
      <c r="AB838" s="40">
        <f t="shared" si="348"/>
        <v>0</v>
      </c>
      <c r="AC838" s="40">
        <f t="shared" si="349"/>
        <v>0</v>
      </c>
      <c r="AD838" s="40">
        <f t="shared" si="350"/>
        <v>0</v>
      </c>
      <c r="AE838" s="40">
        <f t="shared" si="351"/>
        <v>0</v>
      </c>
      <c r="AF838" s="40">
        <f t="shared" si="352"/>
        <v>1</v>
      </c>
      <c r="AG838" s="40">
        <f t="shared" si="353"/>
        <v>0</v>
      </c>
      <c r="AH838" s="40">
        <f t="shared" si="354"/>
        <v>0</v>
      </c>
      <c r="AI838" s="40">
        <f t="shared" si="355"/>
        <v>0</v>
      </c>
      <c r="AJ838" s="40">
        <f t="shared" si="356"/>
        <v>0</v>
      </c>
      <c r="AK838" s="40">
        <f t="shared" si="357"/>
        <v>0</v>
      </c>
      <c r="AL838" s="40">
        <f t="shared" si="358"/>
        <v>0</v>
      </c>
      <c r="AM838" s="40">
        <f t="shared" si="359"/>
        <v>0</v>
      </c>
      <c r="AN838" s="40">
        <f t="shared" si="360"/>
        <v>0</v>
      </c>
      <c r="AO838" s="40">
        <f t="shared" si="361"/>
        <v>0</v>
      </c>
      <c r="AP838" s="40">
        <f t="shared" si="362"/>
        <v>0</v>
      </c>
      <c r="AQ838" s="40">
        <f t="shared" si="363"/>
        <v>1</v>
      </c>
      <c r="AR838" s="40">
        <f t="shared" si="364"/>
        <v>0</v>
      </c>
      <c r="AS838" s="40">
        <f t="shared" si="365"/>
        <v>0</v>
      </c>
    </row>
    <row r="839" spans="2:45" ht="14.4" customHeight="1" x14ac:dyDescent="0.25">
      <c r="B839" s="56" t="s">
        <v>45</v>
      </c>
      <c r="C839" s="57" t="s">
        <v>26</v>
      </c>
      <c r="D839" s="58" t="s">
        <v>30</v>
      </c>
      <c r="E839" s="62">
        <v>6.7500000000000008E-3</v>
      </c>
      <c r="F839" s="65">
        <f t="shared" si="366"/>
        <v>-4.9982127740976985</v>
      </c>
      <c r="S839" s="40">
        <f t="shared" si="339"/>
        <v>0</v>
      </c>
      <c r="T839" s="40">
        <f t="shared" si="340"/>
        <v>0</v>
      </c>
      <c r="U839" s="40">
        <f t="shared" si="341"/>
        <v>0</v>
      </c>
      <c r="V839" s="40">
        <f t="shared" si="342"/>
        <v>1</v>
      </c>
      <c r="W839" s="40">
        <f t="shared" si="343"/>
        <v>0</v>
      </c>
      <c r="X839" s="40">
        <f t="shared" si="344"/>
        <v>0</v>
      </c>
      <c r="Y839" s="40">
        <f t="shared" si="345"/>
        <v>0</v>
      </c>
      <c r="Z839" s="40">
        <f t="shared" si="346"/>
        <v>0</v>
      </c>
      <c r="AA839" s="40">
        <f t="shared" si="347"/>
        <v>0</v>
      </c>
      <c r="AB839" s="40">
        <f t="shared" si="348"/>
        <v>0</v>
      </c>
      <c r="AC839" s="40">
        <f t="shared" si="349"/>
        <v>0</v>
      </c>
      <c r="AD839" s="40">
        <f t="shared" si="350"/>
        <v>0</v>
      </c>
      <c r="AE839" s="40">
        <f t="shared" si="351"/>
        <v>1</v>
      </c>
      <c r="AF839" s="40">
        <f t="shared" si="352"/>
        <v>0</v>
      </c>
      <c r="AG839" s="40">
        <f t="shared" si="353"/>
        <v>0</v>
      </c>
      <c r="AH839" s="40">
        <f t="shared" si="354"/>
        <v>0</v>
      </c>
      <c r="AI839" s="40">
        <f t="shared" si="355"/>
        <v>0</v>
      </c>
      <c r="AJ839" s="40">
        <f t="shared" si="356"/>
        <v>0</v>
      </c>
      <c r="AK839" s="40">
        <f t="shared" si="357"/>
        <v>0</v>
      </c>
      <c r="AL839" s="40">
        <f t="shared" si="358"/>
        <v>0</v>
      </c>
      <c r="AM839" s="40">
        <f t="shared" si="359"/>
        <v>1</v>
      </c>
      <c r="AN839" s="40">
        <f t="shared" si="360"/>
        <v>0</v>
      </c>
      <c r="AO839" s="40">
        <f t="shared" si="361"/>
        <v>0</v>
      </c>
      <c r="AP839" s="40">
        <f t="shared" si="362"/>
        <v>0</v>
      </c>
      <c r="AQ839" s="40">
        <f t="shared" si="363"/>
        <v>0</v>
      </c>
      <c r="AR839" s="40">
        <f t="shared" si="364"/>
        <v>0</v>
      </c>
      <c r="AS839" s="40">
        <f t="shared" si="365"/>
        <v>0</v>
      </c>
    </row>
    <row r="840" spans="2:45" ht="14.4" customHeight="1" x14ac:dyDescent="0.25">
      <c r="B840" s="56" t="s">
        <v>45</v>
      </c>
      <c r="C840" s="57" t="s">
        <v>34</v>
      </c>
      <c r="D840" s="58" t="s">
        <v>35</v>
      </c>
      <c r="E840" s="62">
        <v>4.4399999999999986E-3</v>
      </c>
      <c r="F840" s="65">
        <f t="shared" si="366"/>
        <v>-5.4171009025380039</v>
      </c>
      <c r="S840" s="40">
        <f t="shared" si="339"/>
        <v>0</v>
      </c>
      <c r="T840" s="40">
        <f t="shared" si="340"/>
        <v>0</v>
      </c>
      <c r="U840" s="40">
        <f t="shared" si="341"/>
        <v>0</v>
      </c>
      <c r="V840" s="40">
        <f t="shared" si="342"/>
        <v>1</v>
      </c>
      <c r="W840" s="40">
        <f t="shared" si="343"/>
        <v>0</v>
      </c>
      <c r="X840" s="40">
        <f t="shared" si="344"/>
        <v>0</v>
      </c>
      <c r="Y840" s="40">
        <f t="shared" si="345"/>
        <v>0</v>
      </c>
      <c r="Z840" s="40">
        <f t="shared" si="346"/>
        <v>1</v>
      </c>
      <c r="AA840" s="40">
        <f t="shared" si="347"/>
        <v>0</v>
      </c>
      <c r="AB840" s="40">
        <f t="shared" si="348"/>
        <v>0</v>
      </c>
      <c r="AC840" s="40">
        <f t="shared" si="349"/>
        <v>0</v>
      </c>
      <c r="AD840" s="40">
        <f t="shared" si="350"/>
        <v>0</v>
      </c>
      <c r="AE840" s="40">
        <f t="shared" si="351"/>
        <v>0</v>
      </c>
      <c r="AF840" s="40">
        <f t="shared" si="352"/>
        <v>0</v>
      </c>
      <c r="AG840" s="40">
        <f t="shared" si="353"/>
        <v>0</v>
      </c>
      <c r="AH840" s="40">
        <f t="shared" si="354"/>
        <v>0</v>
      </c>
      <c r="AI840" s="40">
        <f t="shared" si="355"/>
        <v>0</v>
      </c>
      <c r="AJ840" s="40">
        <f t="shared" si="356"/>
        <v>0</v>
      </c>
      <c r="AK840" s="40">
        <f t="shared" si="357"/>
        <v>0</v>
      </c>
      <c r="AL840" s="40">
        <f t="shared" si="358"/>
        <v>0</v>
      </c>
      <c r="AM840" s="40">
        <f t="shared" si="359"/>
        <v>1</v>
      </c>
      <c r="AN840" s="40">
        <f t="shared" si="360"/>
        <v>0</v>
      </c>
      <c r="AO840" s="40">
        <f t="shared" si="361"/>
        <v>0</v>
      </c>
      <c r="AP840" s="40">
        <f t="shared" si="362"/>
        <v>0</v>
      </c>
      <c r="AQ840" s="40">
        <f t="shared" si="363"/>
        <v>0</v>
      </c>
      <c r="AR840" s="40">
        <f t="shared" si="364"/>
        <v>0</v>
      </c>
      <c r="AS840" s="40">
        <f t="shared" si="365"/>
        <v>0</v>
      </c>
    </row>
    <row r="841" spans="2:45" ht="14.4" customHeight="1" x14ac:dyDescent="0.25">
      <c r="B841" s="56" t="s">
        <v>45</v>
      </c>
      <c r="C841" s="57" t="s">
        <v>36</v>
      </c>
      <c r="D841" s="58" t="s">
        <v>35</v>
      </c>
      <c r="E841" s="62">
        <v>5.6800000000000002E-3</v>
      </c>
      <c r="F841" s="65">
        <f t="shared" si="366"/>
        <v>-5.170804046249077</v>
      </c>
      <c r="S841" s="40">
        <f t="shared" si="339"/>
        <v>0</v>
      </c>
      <c r="T841" s="40">
        <f t="shared" si="340"/>
        <v>0</v>
      </c>
      <c r="U841" s="40">
        <f t="shared" si="341"/>
        <v>0</v>
      </c>
      <c r="V841" s="40">
        <f t="shared" si="342"/>
        <v>1</v>
      </c>
      <c r="W841" s="40">
        <f t="shared" si="343"/>
        <v>0</v>
      </c>
      <c r="X841" s="40">
        <f t="shared" si="344"/>
        <v>0</v>
      </c>
      <c r="Y841" s="40">
        <f t="shared" si="345"/>
        <v>0</v>
      </c>
      <c r="Z841" s="40">
        <f t="shared" si="346"/>
        <v>0</v>
      </c>
      <c r="AA841" s="40">
        <f t="shared" si="347"/>
        <v>0</v>
      </c>
      <c r="AB841" s="40">
        <f t="shared" si="348"/>
        <v>0</v>
      </c>
      <c r="AC841" s="40">
        <f t="shared" si="349"/>
        <v>0</v>
      </c>
      <c r="AD841" s="40">
        <f t="shared" si="350"/>
        <v>0</v>
      </c>
      <c r="AE841" s="40">
        <f t="shared" si="351"/>
        <v>0</v>
      </c>
      <c r="AF841" s="40">
        <f t="shared" si="352"/>
        <v>1</v>
      </c>
      <c r="AG841" s="40">
        <f t="shared" si="353"/>
        <v>0</v>
      </c>
      <c r="AH841" s="40">
        <f t="shared" si="354"/>
        <v>0</v>
      </c>
      <c r="AI841" s="40">
        <f t="shared" si="355"/>
        <v>0</v>
      </c>
      <c r="AJ841" s="40">
        <f t="shared" si="356"/>
        <v>0</v>
      </c>
      <c r="AK841" s="40">
        <f t="shared" si="357"/>
        <v>1</v>
      </c>
      <c r="AL841" s="40">
        <f t="shared" si="358"/>
        <v>0</v>
      </c>
      <c r="AM841" s="40">
        <f t="shared" si="359"/>
        <v>0</v>
      </c>
      <c r="AN841" s="40">
        <f t="shared" si="360"/>
        <v>0</v>
      </c>
      <c r="AO841" s="40">
        <f t="shared" si="361"/>
        <v>0</v>
      </c>
      <c r="AP841" s="40">
        <f t="shared" si="362"/>
        <v>0</v>
      </c>
      <c r="AQ841" s="40">
        <f t="shared" si="363"/>
        <v>0</v>
      </c>
      <c r="AR841" s="40">
        <f t="shared" si="364"/>
        <v>0</v>
      </c>
      <c r="AS841" s="40">
        <f t="shared" si="365"/>
        <v>0</v>
      </c>
    </row>
    <row r="842" spans="2:45" ht="14.4" customHeight="1" x14ac:dyDescent="0.25">
      <c r="B842" s="56" t="s">
        <v>45</v>
      </c>
      <c r="C842" s="57" t="s">
        <v>26</v>
      </c>
      <c r="D842" s="58" t="s">
        <v>32</v>
      </c>
      <c r="E842" s="62">
        <v>6.989999999999998E-3</v>
      </c>
      <c r="F842" s="65">
        <f t="shared" si="366"/>
        <v>-4.9632747227364185</v>
      </c>
      <c r="S842" s="40">
        <f t="shared" ref="S842:S905" si="367">IF($B843=S$9,1,0)</f>
        <v>0</v>
      </c>
      <c r="T842" s="40">
        <f t="shared" ref="T842:T905" si="368">IF($B843=T$9,1,0)</f>
        <v>0</v>
      </c>
      <c r="U842" s="40">
        <f t="shared" ref="U842:U905" si="369">IF($B843=U$9,1,0)</f>
        <v>0</v>
      </c>
      <c r="V842" s="40">
        <f t="shared" ref="V842:V905" si="370">IF($B843=V$9,1,0)</f>
        <v>1</v>
      </c>
      <c r="W842" s="40">
        <f t="shared" ref="W842:W905" si="371">IF($B843=W$9,1,0)</f>
        <v>0</v>
      </c>
      <c r="X842" s="40">
        <f t="shared" ref="X842:X905" si="372">IF($B843=X$9,1,0)</f>
        <v>0</v>
      </c>
      <c r="Y842" s="40">
        <f t="shared" ref="Y842:Y905" si="373">IF($B843=Y$9,1,0)</f>
        <v>0</v>
      </c>
      <c r="Z842" s="40">
        <f t="shared" ref="Z842:Z905" si="374">IF($C843=Z$9,1,0)</f>
        <v>0</v>
      </c>
      <c r="AA842" s="40">
        <f t="shared" ref="AA842:AA905" si="375">IF($C843=AA$9,1,0)</f>
        <v>0</v>
      </c>
      <c r="AB842" s="40">
        <f t="shared" ref="AB842:AB905" si="376">IF($C843=AB$9,1,0)</f>
        <v>0</v>
      </c>
      <c r="AC842" s="40">
        <f t="shared" ref="AC842:AC905" si="377">IF($C843=AC$9,1,0)</f>
        <v>0</v>
      </c>
      <c r="AD842" s="40">
        <f t="shared" ref="AD842:AD905" si="378">IF($C843=AD$9,1,0)</f>
        <v>0</v>
      </c>
      <c r="AE842" s="40">
        <f t="shared" ref="AE842:AE905" si="379">IF($C843=AE$9,1,0)</f>
        <v>0</v>
      </c>
      <c r="AF842" s="40">
        <f t="shared" ref="AF842:AF905" si="380">IF($C843=AF$9,1,0)</f>
        <v>1</v>
      </c>
      <c r="AG842" s="40">
        <f t="shared" ref="AG842:AG905" si="381">IF($C843=AG$9,1,0)</f>
        <v>0</v>
      </c>
      <c r="AH842" s="40">
        <f t="shared" ref="AH842:AH905" si="382">IF($D843=AH$9,1,0)</f>
        <v>0</v>
      </c>
      <c r="AI842" s="40">
        <f t="shared" ref="AI842:AI905" si="383">IF($D843=AI$9,1,0)</f>
        <v>0</v>
      </c>
      <c r="AJ842" s="40">
        <f t="shared" ref="AJ842:AJ905" si="384">IF($D843=AJ$9,1,0)</f>
        <v>0</v>
      </c>
      <c r="AK842" s="40">
        <f t="shared" ref="AK842:AK905" si="385">IF($D843=AK$9,1,0)</f>
        <v>1</v>
      </c>
      <c r="AL842" s="40">
        <f t="shared" ref="AL842:AL905" si="386">IF($D843=AL$9,1,0)</f>
        <v>0</v>
      </c>
      <c r="AM842" s="40">
        <f t="shared" ref="AM842:AM905" si="387">IF($D843=AM$9,1,0)</f>
        <v>0</v>
      </c>
      <c r="AN842" s="40">
        <f t="shared" ref="AN842:AN905" si="388">IF($D843=AN$9,1,0)</f>
        <v>0</v>
      </c>
      <c r="AO842" s="40">
        <f t="shared" ref="AO842:AO905" si="389">IF($D843=AO$9,1,0)</f>
        <v>0</v>
      </c>
      <c r="AP842" s="40">
        <f t="shared" ref="AP842:AP905" si="390">IF($D843=AP$9,1,0)</f>
        <v>0</v>
      </c>
      <c r="AQ842" s="40">
        <f t="shared" ref="AQ842:AQ905" si="391">IF($D843=AQ$9,1,0)</f>
        <v>0</v>
      </c>
      <c r="AR842" s="40">
        <f t="shared" ref="AR842:AR905" si="392">IF($D843=AR$9,1,0)</f>
        <v>0</v>
      </c>
      <c r="AS842" s="40">
        <f t="shared" ref="AS842:AS905" si="393">IF($D843=AS$9,1,0)</f>
        <v>0</v>
      </c>
    </row>
    <row r="843" spans="2:45" ht="14.4" customHeight="1" x14ac:dyDescent="0.25">
      <c r="B843" s="56" t="s">
        <v>45</v>
      </c>
      <c r="C843" s="57" t="s">
        <v>26</v>
      </c>
      <c r="D843" s="58" t="s">
        <v>32</v>
      </c>
      <c r="E843" s="62">
        <v>1.2759999999999997E-2</v>
      </c>
      <c r="F843" s="65">
        <f t="shared" si="366"/>
        <v>-4.3614400010654935</v>
      </c>
      <c r="S843" s="40">
        <f t="shared" si="367"/>
        <v>0</v>
      </c>
      <c r="T843" s="40">
        <f t="shared" si="368"/>
        <v>0</v>
      </c>
      <c r="U843" s="40">
        <f t="shared" si="369"/>
        <v>0</v>
      </c>
      <c r="V843" s="40">
        <f t="shared" si="370"/>
        <v>1</v>
      </c>
      <c r="W843" s="40">
        <f t="shared" si="371"/>
        <v>0</v>
      </c>
      <c r="X843" s="40">
        <f t="shared" si="372"/>
        <v>0</v>
      </c>
      <c r="Y843" s="40">
        <f t="shared" si="373"/>
        <v>0</v>
      </c>
      <c r="Z843" s="40">
        <f t="shared" si="374"/>
        <v>0</v>
      </c>
      <c r="AA843" s="40">
        <f t="shared" si="375"/>
        <v>0</v>
      </c>
      <c r="AB843" s="40">
        <f t="shared" si="376"/>
        <v>1</v>
      </c>
      <c r="AC843" s="40">
        <f t="shared" si="377"/>
        <v>0</v>
      </c>
      <c r="AD843" s="40">
        <f t="shared" si="378"/>
        <v>0</v>
      </c>
      <c r="AE843" s="40">
        <f t="shared" si="379"/>
        <v>0</v>
      </c>
      <c r="AF843" s="40">
        <f t="shared" si="380"/>
        <v>0</v>
      </c>
      <c r="AG843" s="40">
        <f t="shared" si="381"/>
        <v>0</v>
      </c>
      <c r="AH843" s="40">
        <f t="shared" si="382"/>
        <v>0</v>
      </c>
      <c r="AI843" s="40">
        <f t="shared" si="383"/>
        <v>0</v>
      </c>
      <c r="AJ843" s="40">
        <f t="shared" si="384"/>
        <v>0</v>
      </c>
      <c r="AK843" s="40">
        <f t="shared" si="385"/>
        <v>0</v>
      </c>
      <c r="AL843" s="40">
        <f t="shared" si="386"/>
        <v>0</v>
      </c>
      <c r="AM843" s="40">
        <f t="shared" si="387"/>
        <v>1</v>
      </c>
      <c r="AN843" s="40">
        <f t="shared" si="388"/>
        <v>0</v>
      </c>
      <c r="AO843" s="40">
        <f t="shared" si="389"/>
        <v>0</v>
      </c>
      <c r="AP843" s="40">
        <f t="shared" si="390"/>
        <v>0</v>
      </c>
      <c r="AQ843" s="40">
        <f t="shared" si="391"/>
        <v>0</v>
      </c>
      <c r="AR843" s="40">
        <f t="shared" si="392"/>
        <v>0</v>
      </c>
      <c r="AS843" s="40">
        <f t="shared" si="393"/>
        <v>0</v>
      </c>
    </row>
    <row r="844" spans="2:45" ht="14.4" customHeight="1" x14ac:dyDescent="0.25">
      <c r="B844" s="56" t="s">
        <v>45</v>
      </c>
      <c r="C844" s="57" t="s">
        <v>25</v>
      </c>
      <c r="D844" s="58" t="s">
        <v>35</v>
      </c>
      <c r="E844" s="62">
        <v>4.2500000000000003E-3</v>
      </c>
      <c r="F844" s="65">
        <f t="shared" ref="F844:F907" si="394">LN(E844)</f>
        <v>-5.4608362960458114</v>
      </c>
      <c r="S844" s="40">
        <f t="shared" si="367"/>
        <v>0</v>
      </c>
      <c r="T844" s="40">
        <f t="shared" si="368"/>
        <v>0</v>
      </c>
      <c r="U844" s="40">
        <f t="shared" si="369"/>
        <v>0</v>
      </c>
      <c r="V844" s="40">
        <f t="shared" si="370"/>
        <v>1</v>
      </c>
      <c r="W844" s="40">
        <f t="shared" si="371"/>
        <v>0</v>
      </c>
      <c r="X844" s="40">
        <f t="shared" si="372"/>
        <v>0</v>
      </c>
      <c r="Y844" s="40">
        <f t="shared" si="373"/>
        <v>0</v>
      </c>
      <c r="Z844" s="40">
        <f t="shared" si="374"/>
        <v>0</v>
      </c>
      <c r="AA844" s="40">
        <f t="shared" si="375"/>
        <v>0</v>
      </c>
      <c r="AB844" s="40">
        <f t="shared" si="376"/>
        <v>0</v>
      </c>
      <c r="AC844" s="40">
        <f t="shared" si="377"/>
        <v>0</v>
      </c>
      <c r="AD844" s="40">
        <f t="shared" si="378"/>
        <v>0</v>
      </c>
      <c r="AE844" s="40">
        <f t="shared" si="379"/>
        <v>0</v>
      </c>
      <c r="AF844" s="40">
        <f t="shared" si="380"/>
        <v>1</v>
      </c>
      <c r="AG844" s="40">
        <f t="shared" si="381"/>
        <v>0</v>
      </c>
      <c r="AH844" s="40">
        <f t="shared" si="382"/>
        <v>0</v>
      </c>
      <c r="AI844" s="40">
        <f t="shared" si="383"/>
        <v>0</v>
      </c>
      <c r="AJ844" s="40">
        <f t="shared" si="384"/>
        <v>0</v>
      </c>
      <c r="AK844" s="40">
        <f t="shared" si="385"/>
        <v>0</v>
      </c>
      <c r="AL844" s="40">
        <f t="shared" si="386"/>
        <v>0</v>
      </c>
      <c r="AM844" s="40">
        <f t="shared" si="387"/>
        <v>0</v>
      </c>
      <c r="AN844" s="40">
        <f t="shared" si="388"/>
        <v>0</v>
      </c>
      <c r="AO844" s="40">
        <f t="shared" si="389"/>
        <v>0</v>
      </c>
      <c r="AP844" s="40">
        <f t="shared" si="390"/>
        <v>0</v>
      </c>
      <c r="AQ844" s="40">
        <f t="shared" si="391"/>
        <v>0</v>
      </c>
      <c r="AR844" s="40">
        <f t="shared" si="392"/>
        <v>0</v>
      </c>
      <c r="AS844" s="40">
        <f t="shared" si="393"/>
        <v>1</v>
      </c>
    </row>
    <row r="845" spans="2:45" ht="14.4" customHeight="1" x14ac:dyDescent="0.25">
      <c r="B845" s="56" t="s">
        <v>45</v>
      </c>
      <c r="C845" s="57" t="s">
        <v>26</v>
      </c>
      <c r="D845" s="58" t="s">
        <v>22</v>
      </c>
      <c r="E845" s="62">
        <v>1.8799999999999997E-3</v>
      </c>
      <c r="F845" s="65">
        <f t="shared" si="394"/>
        <v>-6.2764835021402794</v>
      </c>
      <c r="S845" s="40">
        <f t="shared" si="367"/>
        <v>0</v>
      </c>
      <c r="T845" s="40">
        <f t="shared" si="368"/>
        <v>0</v>
      </c>
      <c r="U845" s="40">
        <f t="shared" si="369"/>
        <v>0</v>
      </c>
      <c r="V845" s="40">
        <f t="shared" si="370"/>
        <v>1</v>
      </c>
      <c r="W845" s="40">
        <f t="shared" si="371"/>
        <v>0</v>
      </c>
      <c r="X845" s="40">
        <f t="shared" si="372"/>
        <v>0</v>
      </c>
      <c r="Y845" s="40">
        <f t="shared" si="373"/>
        <v>0</v>
      </c>
      <c r="Z845" s="40">
        <f t="shared" si="374"/>
        <v>0</v>
      </c>
      <c r="AA845" s="40">
        <f t="shared" si="375"/>
        <v>0</v>
      </c>
      <c r="AB845" s="40">
        <f t="shared" si="376"/>
        <v>0</v>
      </c>
      <c r="AC845" s="40">
        <f t="shared" si="377"/>
        <v>0</v>
      </c>
      <c r="AD845" s="40">
        <f t="shared" si="378"/>
        <v>0</v>
      </c>
      <c r="AE845" s="40">
        <f t="shared" si="379"/>
        <v>0</v>
      </c>
      <c r="AF845" s="40">
        <f t="shared" si="380"/>
        <v>0</v>
      </c>
      <c r="AG845" s="40">
        <f t="shared" si="381"/>
        <v>1</v>
      </c>
      <c r="AH845" s="40">
        <f t="shared" si="382"/>
        <v>0</v>
      </c>
      <c r="AI845" s="40">
        <f t="shared" si="383"/>
        <v>0</v>
      </c>
      <c r="AJ845" s="40">
        <f t="shared" si="384"/>
        <v>0</v>
      </c>
      <c r="AK845" s="40">
        <f t="shared" si="385"/>
        <v>0</v>
      </c>
      <c r="AL845" s="40">
        <f t="shared" si="386"/>
        <v>0</v>
      </c>
      <c r="AM845" s="40">
        <f t="shared" si="387"/>
        <v>0</v>
      </c>
      <c r="AN845" s="40">
        <f t="shared" si="388"/>
        <v>0</v>
      </c>
      <c r="AO845" s="40">
        <f t="shared" si="389"/>
        <v>1</v>
      </c>
      <c r="AP845" s="40">
        <f t="shared" si="390"/>
        <v>0</v>
      </c>
      <c r="AQ845" s="40">
        <f t="shared" si="391"/>
        <v>0</v>
      </c>
      <c r="AR845" s="40">
        <f t="shared" si="392"/>
        <v>0</v>
      </c>
      <c r="AS845" s="40">
        <f t="shared" si="393"/>
        <v>0</v>
      </c>
    </row>
    <row r="846" spans="2:45" ht="14.4" customHeight="1" x14ac:dyDescent="0.25">
      <c r="B846" s="56" t="s">
        <v>45</v>
      </c>
      <c r="C846" s="57" t="s">
        <v>38</v>
      </c>
      <c r="D846" s="58" t="s">
        <v>31</v>
      </c>
      <c r="E846" s="62">
        <v>8.6899999999999998E-3</v>
      </c>
      <c r="F846" s="65">
        <f t="shared" si="394"/>
        <v>-4.7455823397048364</v>
      </c>
      <c r="S846" s="40">
        <f t="shared" si="367"/>
        <v>0</v>
      </c>
      <c r="T846" s="40">
        <f t="shared" si="368"/>
        <v>0</v>
      </c>
      <c r="U846" s="40">
        <f t="shared" si="369"/>
        <v>0</v>
      </c>
      <c r="V846" s="40">
        <f t="shared" si="370"/>
        <v>1</v>
      </c>
      <c r="W846" s="40">
        <f t="shared" si="371"/>
        <v>0</v>
      </c>
      <c r="X846" s="40">
        <f t="shared" si="372"/>
        <v>0</v>
      </c>
      <c r="Y846" s="40">
        <f t="shared" si="373"/>
        <v>0</v>
      </c>
      <c r="Z846" s="40">
        <f t="shared" si="374"/>
        <v>0</v>
      </c>
      <c r="AA846" s="40">
        <f t="shared" si="375"/>
        <v>0</v>
      </c>
      <c r="AB846" s="40">
        <f t="shared" si="376"/>
        <v>0</v>
      </c>
      <c r="AC846" s="40">
        <f t="shared" si="377"/>
        <v>0</v>
      </c>
      <c r="AD846" s="40">
        <f t="shared" si="378"/>
        <v>0</v>
      </c>
      <c r="AE846" s="40">
        <f t="shared" si="379"/>
        <v>0</v>
      </c>
      <c r="AF846" s="40">
        <f t="shared" si="380"/>
        <v>1</v>
      </c>
      <c r="AG846" s="40">
        <f t="shared" si="381"/>
        <v>0</v>
      </c>
      <c r="AH846" s="40">
        <f t="shared" si="382"/>
        <v>0</v>
      </c>
      <c r="AI846" s="40">
        <f t="shared" si="383"/>
        <v>0</v>
      </c>
      <c r="AJ846" s="40">
        <f t="shared" si="384"/>
        <v>0</v>
      </c>
      <c r="AK846" s="40">
        <f t="shared" si="385"/>
        <v>0</v>
      </c>
      <c r="AL846" s="40">
        <f t="shared" si="386"/>
        <v>0</v>
      </c>
      <c r="AM846" s="40">
        <f t="shared" si="387"/>
        <v>0</v>
      </c>
      <c r="AN846" s="40">
        <f t="shared" si="388"/>
        <v>1</v>
      </c>
      <c r="AO846" s="40">
        <f t="shared" si="389"/>
        <v>0</v>
      </c>
      <c r="AP846" s="40">
        <f t="shared" si="390"/>
        <v>0</v>
      </c>
      <c r="AQ846" s="40">
        <f t="shared" si="391"/>
        <v>0</v>
      </c>
      <c r="AR846" s="40">
        <f t="shared" si="392"/>
        <v>0</v>
      </c>
      <c r="AS846" s="40">
        <f t="shared" si="393"/>
        <v>0</v>
      </c>
    </row>
    <row r="847" spans="2:45" ht="14.4" customHeight="1" x14ac:dyDescent="0.25">
      <c r="B847" s="56" t="s">
        <v>45</v>
      </c>
      <c r="C847" s="57" t="s">
        <v>26</v>
      </c>
      <c r="D847" s="58" t="s">
        <v>29</v>
      </c>
      <c r="E847" s="62">
        <v>3.9799999999999992E-3</v>
      </c>
      <c r="F847" s="65">
        <f t="shared" si="394"/>
        <v>-5.526473459685791</v>
      </c>
      <c r="S847" s="40">
        <f t="shared" si="367"/>
        <v>0</v>
      </c>
      <c r="T847" s="40">
        <f t="shared" si="368"/>
        <v>0</v>
      </c>
      <c r="U847" s="40">
        <f t="shared" si="369"/>
        <v>0</v>
      </c>
      <c r="V847" s="40">
        <f t="shared" si="370"/>
        <v>1</v>
      </c>
      <c r="W847" s="40">
        <f t="shared" si="371"/>
        <v>0</v>
      </c>
      <c r="X847" s="40">
        <f t="shared" si="372"/>
        <v>0</v>
      </c>
      <c r="Y847" s="40">
        <f t="shared" si="373"/>
        <v>0</v>
      </c>
      <c r="Z847" s="40">
        <f t="shared" si="374"/>
        <v>0</v>
      </c>
      <c r="AA847" s="40">
        <f t="shared" si="375"/>
        <v>0</v>
      </c>
      <c r="AB847" s="40">
        <f t="shared" si="376"/>
        <v>0</v>
      </c>
      <c r="AC847" s="40">
        <f t="shared" si="377"/>
        <v>0</v>
      </c>
      <c r="AD847" s="40">
        <f t="shared" si="378"/>
        <v>0</v>
      </c>
      <c r="AE847" s="40">
        <f t="shared" si="379"/>
        <v>0</v>
      </c>
      <c r="AF847" s="40">
        <f t="shared" si="380"/>
        <v>1</v>
      </c>
      <c r="AG847" s="40">
        <f t="shared" si="381"/>
        <v>0</v>
      </c>
      <c r="AH847" s="40">
        <f t="shared" si="382"/>
        <v>1</v>
      </c>
      <c r="AI847" s="40">
        <f t="shared" si="383"/>
        <v>0</v>
      </c>
      <c r="AJ847" s="40">
        <f t="shared" si="384"/>
        <v>0</v>
      </c>
      <c r="AK847" s="40">
        <f t="shared" si="385"/>
        <v>0</v>
      </c>
      <c r="AL847" s="40">
        <f t="shared" si="386"/>
        <v>0</v>
      </c>
      <c r="AM847" s="40">
        <f t="shared" si="387"/>
        <v>0</v>
      </c>
      <c r="AN847" s="40">
        <f t="shared" si="388"/>
        <v>0</v>
      </c>
      <c r="AO847" s="40">
        <f t="shared" si="389"/>
        <v>0</v>
      </c>
      <c r="AP847" s="40">
        <f t="shared" si="390"/>
        <v>0</v>
      </c>
      <c r="AQ847" s="40">
        <f t="shared" si="391"/>
        <v>0</v>
      </c>
      <c r="AR847" s="40">
        <f t="shared" si="392"/>
        <v>0</v>
      </c>
      <c r="AS847" s="40">
        <f t="shared" si="393"/>
        <v>0</v>
      </c>
    </row>
    <row r="848" spans="2:45" ht="14.4" customHeight="1" x14ac:dyDescent="0.25">
      <c r="B848" s="56" t="s">
        <v>45</v>
      </c>
      <c r="C848" s="57" t="s">
        <v>26</v>
      </c>
      <c r="D848" s="58" t="s">
        <v>27</v>
      </c>
      <c r="E848" s="62">
        <v>9.8000000000000032E-3</v>
      </c>
      <c r="F848" s="65">
        <f t="shared" si="394"/>
        <v>-4.6253728933056104</v>
      </c>
      <c r="S848" s="40">
        <f t="shared" si="367"/>
        <v>0</v>
      </c>
      <c r="T848" s="40">
        <f t="shared" si="368"/>
        <v>0</v>
      </c>
      <c r="U848" s="40">
        <f t="shared" si="369"/>
        <v>0</v>
      </c>
      <c r="V848" s="40">
        <f t="shared" si="370"/>
        <v>1</v>
      </c>
      <c r="W848" s="40">
        <f t="shared" si="371"/>
        <v>0</v>
      </c>
      <c r="X848" s="40">
        <f t="shared" si="372"/>
        <v>0</v>
      </c>
      <c r="Y848" s="40">
        <f t="shared" si="373"/>
        <v>0</v>
      </c>
      <c r="Z848" s="40">
        <f t="shared" si="374"/>
        <v>0</v>
      </c>
      <c r="AA848" s="40">
        <f t="shared" si="375"/>
        <v>0</v>
      </c>
      <c r="AB848" s="40">
        <f t="shared" si="376"/>
        <v>0</v>
      </c>
      <c r="AC848" s="40">
        <f t="shared" si="377"/>
        <v>0</v>
      </c>
      <c r="AD848" s="40">
        <f t="shared" si="378"/>
        <v>0</v>
      </c>
      <c r="AE848" s="40">
        <f t="shared" si="379"/>
        <v>0</v>
      </c>
      <c r="AF848" s="40">
        <f t="shared" si="380"/>
        <v>1</v>
      </c>
      <c r="AG848" s="40">
        <f t="shared" si="381"/>
        <v>0</v>
      </c>
      <c r="AH848" s="40">
        <f t="shared" si="382"/>
        <v>0</v>
      </c>
      <c r="AI848" s="40">
        <f t="shared" si="383"/>
        <v>0</v>
      </c>
      <c r="AJ848" s="40">
        <f t="shared" si="384"/>
        <v>0</v>
      </c>
      <c r="AK848" s="40">
        <f t="shared" si="385"/>
        <v>0</v>
      </c>
      <c r="AL848" s="40">
        <f t="shared" si="386"/>
        <v>1</v>
      </c>
      <c r="AM848" s="40">
        <f t="shared" si="387"/>
        <v>0</v>
      </c>
      <c r="AN848" s="40">
        <f t="shared" si="388"/>
        <v>0</v>
      </c>
      <c r="AO848" s="40">
        <f t="shared" si="389"/>
        <v>0</v>
      </c>
      <c r="AP848" s="40">
        <f t="shared" si="390"/>
        <v>0</v>
      </c>
      <c r="AQ848" s="40">
        <f t="shared" si="391"/>
        <v>0</v>
      </c>
      <c r="AR848" s="40">
        <f t="shared" si="392"/>
        <v>0</v>
      </c>
      <c r="AS848" s="40">
        <f t="shared" si="393"/>
        <v>0</v>
      </c>
    </row>
    <row r="849" spans="2:45" ht="14.4" customHeight="1" x14ac:dyDescent="0.25">
      <c r="B849" s="56" t="s">
        <v>45</v>
      </c>
      <c r="C849" s="57" t="s">
        <v>26</v>
      </c>
      <c r="D849" s="58" t="s">
        <v>24</v>
      </c>
      <c r="E849" s="62">
        <v>1.213E-2</v>
      </c>
      <c r="F849" s="65">
        <f t="shared" si="394"/>
        <v>-4.4120735560261783</v>
      </c>
      <c r="S849" s="40">
        <f t="shared" si="367"/>
        <v>0</v>
      </c>
      <c r="T849" s="40">
        <f t="shared" si="368"/>
        <v>0</v>
      </c>
      <c r="U849" s="40">
        <f t="shared" si="369"/>
        <v>0</v>
      </c>
      <c r="V849" s="40">
        <f t="shared" si="370"/>
        <v>1</v>
      </c>
      <c r="W849" s="40">
        <f t="shared" si="371"/>
        <v>0</v>
      </c>
      <c r="X849" s="40">
        <f t="shared" si="372"/>
        <v>0</v>
      </c>
      <c r="Y849" s="40">
        <f t="shared" si="373"/>
        <v>0</v>
      </c>
      <c r="Z849" s="40">
        <f t="shared" si="374"/>
        <v>0</v>
      </c>
      <c r="AA849" s="40">
        <f t="shared" si="375"/>
        <v>0</v>
      </c>
      <c r="AB849" s="40">
        <f t="shared" si="376"/>
        <v>1</v>
      </c>
      <c r="AC849" s="40">
        <f t="shared" si="377"/>
        <v>0</v>
      </c>
      <c r="AD849" s="40">
        <f t="shared" si="378"/>
        <v>0</v>
      </c>
      <c r="AE849" s="40">
        <f t="shared" si="379"/>
        <v>0</v>
      </c>
      <c r="AF849" s="40">
        <f t="shared" si="380"/>
        <v>0</v>
      </c>
      <c r="AG849" s="40">
        <f t="shared" si="381"/>
        <v>0</v>
      </c>
      <c r="AH849" s="40">
        <f t="shared" si="382"/>
        <v>0</v>
      </c>
      <c r="AI849" s="40">
        <f t="shared" si="383"/>
        <v>1</v>
      </c>
      <c r="AJ849" s="40">
        <f t="shared" si="384"/>
        <v>0</v>
      </c>
      <c r="AK849" s="40">
        <f t="shared" si="385"/>
        <v>0</v>
      </c>
      <c r="AL849" s="40">
        <f t="shared" si="386"/>
        <v>0</v>
      </c>
      <c r="AM849" s="40">
        <f t="shared" si="387"/>
        <v>0</v>
      </c>
      <c r="AN849" s="40">
        <f t="shared" si="388"/>
        <v>0</v>
      </c>
      <c r="AO849" s="40">
        <f t="shared" si="389"/>
        <v>0</v>
      </c>
      <c r="AP849" s="40">
        <f t="shared" si="390"/>
        <v>0</v>
      </c>
      <c r="AQ849" s="40">
        <f t="shared" si="391"/>
        <v>0</v>
      </c>
      <c r="AR849" s="40">
        <f t="shared" si="392"/>
        <v>0</v>
      </c>
      <c r="AS849" s="40">
        <f t="shared" si="393"/>
        <v>0</v>
      </c>
    </row>
    <row r="850" spans="2:45" ht="14.4" customHeight="1" x14ac:dyDescent="0.25">
      <c r="B850" s="56" t="s">
        <v>45</v>
      </c>
      <c r="C850" s="57" t="s">
        <v>25</v>
      </c>
      <c r="D850" s="58" t="s">
        <v>28</v>
      </c>
      <c r="E850" s="62">
        <v>9.9699999999999962E-3</v>
      </c>
      <c r="F850" s="65">
        <f t="shared" si="394"/>
        <v>-4.6081746950083904</v>
      </c>
      <c r="S850" s="40">
        <f t="shared" si="367"/>
        <v>0</v>
      </c>
      <c r="T850" s="40">
        <f t="shared" si="368"/>
        <v>0</v>
      </c>
      <c r="U850" s="40">
        <f t="shared" si="369"/>
        <v>0</v>
      </c>
      <c r="V850" s="40">
        <f t="shared" si="370"/>
        <v>1</v>
      </c>
      <c r="W850" s="40">
        <f t="shared" si="371"/>
        <v>0</v>
      </c>
      <c r="X850" s="40">
        <f t="shared" si="372"/>
        <v>0</v>
      </c>
      <c r="Y850" s="40">
        <f t="shared" si="373"/>
        <v>0</v>
      </c>
      <c r="Z850" s="40">
        <f t="shared" si="374"/>
        <v>0</v>
      </c>
      <c r="AA850" s="40">
        <f t="shared" si="375"/>
        <v>0</v>
      </c>
      <c r="AB850" s="40">
        <f t="shared" si="376"/>
        <v>0</v>
      </c>
      <c r="AC850" s="40">
        <f t="shared" si="377"/>
        <v>0</v>
      </c>
      <c r="AD850" s="40">
        <f t="shared" si="378"/>
        <v>0</v>
      </c>
      <c r="AE850" s="40">
        <f t="shared" si="379"/>
        <v>0</v>
      </c>
      <c r="AF850" s="40">
        <f t="shared" si="380"/>
        <v>1</v>
      </c>
      <c r="AG850" s="40">
        <f t="shared" si="381"/>
        <v>0</v>
      </c>
      <c r="AH850" s="40">
        <f t="shared" si="382"/>
        <v>0</v>
      </c>
      <c r="AI850" s="40">
        <f t="shared" si="383"/>
        <v>0</v>
      </c>
      <c r="AJ850" s="40">
        <f t="shared" si="384"/>
        <v>0</v>
      </c>
      <c r="AK850" s="40">
        <f t="shared" si="385"/>
        <v>1</v>
      </c>
      <c r="AL850" s="40">
        <f t="shared" si="386"/>
        <v>0</v>
      </c>
      <c r="AM850" s="40">
        <f t="shared" si="387"/>
        <v>0</v>
      </c>
      <c r="AN850" s="40">
        <f t="shared" si="388"/>
        <v>0</v>
      </c>
      <c r="AO850" s="40">
        <f t="shared" si="389"/>
        <v>0</v>
      </c>
      <c r="AP850" s="40">
        <f t="shared" si="390"/>
        <v>0</v>
      </c>
      <c r="AQ850" s="40">
        <f t="shared" si="391"/>
        <v>0</v>
      </c>
      <c r="AR850" s="40">
        <f t="shared" si="392"/>
        <v>0</v>
      </c>
      <c r="AS850" s="40">
        <f t="shared" si="393"/>
        <v>0</v>
      </c>
    </row>
    <row r="851" spans="2:45" ht="14.4" customHeight="1" x14ac:dyDescent="0.25">
      <c r="B851" s="56" t="s">
        <v>45</v>
      </c>
      <c r="C851" s="57" t="s">
        <v>26</v>
      </c>
      <c r="D851" s="58" t="s">
        <v>32</v>
      </c>
      <c r="E851" s="62">
        <v>8.1900000000000011E-3</v>
      </c>
      <c r="F851" s="65">
        <f t="shared" si="394"/>
        <v>-4.8048413811171589</v>
      </c>
      <c r="S851" s="40">
        <f t="shared" si="367"/>
        <v>0</v>
      </c>
      <c r="T851" s="40">
        <f t="shared" si="368"/>
        <v>0</v>
      </c>
      <c r="U851" s="40">
        <f t="shared" si="369"/>
        <v>0</v>
      </c>
      <c r="V851" s="40">
        <f t="shared" si="370"/>
        <v>1</v>
      </c>
      <c r="W851" s="40">
        <f t="shared" si="371"/>
        <v>0</v>
      </c>
      <c r="X851" s="40">
        <f t="shared" si="372"/>
        <v>0</v>
      </c>
      <c r="Y851" s="40">
        <f t="shared" si="373"/>
        <v>0</v>
      </c>
      <c r="Z851" s="40">
        <f t="shared" si="374"/>
        <v>0</v>
      </c>
      <c r="AA851" s="40">
        <f t="shared" si="375"/>
        <v>0</v>
      </c>
      <c r="AB851" s="40">
        <f t="shared" si="376"/>
        <v>0</v>
      </c>
      <c r="AC851" s="40">
        <f t="shared" si="377"/>
        <v>0</v>
      </c>
      <c r="AD851" s="40">
        <f t="shared" si="378"/>
        <v>0</v>
      </c>
      <c r="AE851" s="40">
        <f t="shared" si="379"/>
        <v>0</v>
      </c>
      <c r="AF851" s="40">
        <f t="shared" si="380"/>
        <v>1</v>
      </c>
      <c r="AG851" s="40">
        <f t="shared" si="381"/>
        <v>0</v>
      </c>
      <c r="AH851" s="40">
        <f t="shared" si="382"/>
        <v>0</v>
      </c>
      <c r="AI851" s="40">
        <f t="shared" si="383"/>
        <v>0</v>
      </c>
      <c r="AJ851" s="40">
        <f t="shared" si="384"/>
        <v>0</v>
      </c>
      <c r="AK851" s="40">
        <f t="shared" si="385"/>
        <v>0</v>
      </c>
      <c r="AL851" s="40">
        <f t="shared" si="386"/>
        <v>0</v>
      </c>
      <c r="AM851" s="40">
        <f t="shared" si="387"/>
        <v>0</v>
      </c>
      <c r="AN851" s="40">
        <f t="shared" si="388"/>
        <v>0</v>
      </c>
      <c r="AO851" s="40">
        <f t="shared" si="389"/>
        <v>1</v>
      </c>
      <c r="AP851" s="40">
        <f t="shared" si="390"/>
        <v>0</v>
      </c>
      <c r="AQ851" s="40">
        <f t="shared" si="391"/>
        <v>0</v>
      </c>
      <c r="AR851" s="40">
        <f t="shared" si="392"/>
        <v>0</v>
      </c>
      <c r="AS851" s="40">
        <f t="shared" si="393"/>
        <v>0</v>
      </c>
    </row>
    <row r="852" spans="2:45" ht="14.4" customHeight="1" x14ac:dyDescent="0.25">
      <c r="B852" s="56" t="s">
        <v>45</v>
      </c>
      <c r="C852" s="57" t="s">
        <v>26</v>
      </c>
      <c r="D852" s="58" t="s">
        <v>31</v>
      </c>
      <c r="E852" s="62">
        <v>5.0399999999999993E-3</v>
      </c>
      <c r="F852" s="65">
        <f t="shared" si="394"/>
        <v>-5.2903491968988599</v>
      </c>
      <c r="S852" s="40">
        <f t="shared" si="367"/>
        <v>0</v>
      </c>
      <c r="T852" s="40">
        <f t="shared" si="368"/>
        <v>0</v>
      </c>
      <c r="U852" s="40">
        <f t="shared" si="369"/>
        <v>0</v>
      </c>
      <c r="V852" s="40">
        <f t="shared" si="370"/>
        <v>1</v>
      </c>
      <c r="W852" s="40">
        <f t="shared" si="371"/>
        <v>0</v>
      </c>
      <c r="X852" s="40">
        <f t="shared" si="372"/>
        <v>0</v>
      </c>
      <c r="Y852" s="40">
        <f t="shared" si="373"/>
        <v>0</v>
      </c>
      <c r="Z852" s="40">
        <f t="shared" si="374"/>
        <v>0</v>
      </c>
      <c r="AA852" s="40">
        <f t="shared" si="375"/>
        <v>0</v>
      </c>
      <c r="AB852" s="40">
        <f t="shared" si="376"/>
        <v>0</v>
      </c>
      <c r="AC852" s="40">
        <f t="shared" si="377"/>
        <v>0</v>
      </c>
      <c r="AD852" s="40">
        <f t="shared" si="378"/>
        <v>0</v>
      </c>
      <c r="AE852" s="40">
        <f t="shared" si="379"/>
        <v>0</v>
      </c>
      <c r="AF852" s="40">
        <f t="shared" si="380"/>
        <v>1</v>
      </c>
      <c r="AG852" s="40">
        <f t="shared" si="381"/>
        <v>0</v>
      </c>
      <c r="AH852" s="40">
        <f t="shared" si="382"/>
        <v>0</v>
      </c>
      <c r="AI852" s="40">
        <f t="shared" si="383"/>
        <v>1</v>
      </c>
      <c r="AJ852" s="40">
        <f t="shared" si="384"/>
        <v>0</v>
      </c>
      <c r="AK852" s="40">
        <f t="shared" si="385"/>
        <v>0</v>
      </c>
      <c r="AL852" s="40">
        <f t="shared" si="386"/>
        <v>0</v>
      </c>
      <c r="AM852" s="40">
        <f t="shared" si="387"/>
        <v>0</v>
      </c>
      <c r="AN852" s="40">
        <f t="shared" si="388"/>
        <v>0</v>
      </c>
      <c r="AO852" s="40">
        <f t="shared" si="389"/>
        <v>0</v>
      </c>
      <c r="AP852" s="40">
        <f t="shared" si="390"/>
        <v>0</v>
      </c>
      <c r="AQ852" s="40">
        <f t="shared" si="391"/>
        <v>0</v>
      </c>
      <c r="AR852" s="40">
        <f t="shared" si="392"/>
        <v>0</v>
      </c>
      <c r="AS852" s="40">
        <f t="shared" si="393"/>
        <v>0</v>
      </c>
    </row>
    <row r="853" spans="2:45" ht="14.4" customHeight="1" x14ac:dyDescent="0.25">
      <c r="B853" s="56" t="s">
        <v>45</v>
      </c>
      <c r="C853" s="57" t="s">
        <v>26</v>
      </c>
      <c r="D853" s="58" t="s">
        <v>28</v>
      </c>
      <c r="E853" s="62">
        <v>5.8100000000000018E-3</v>
      </c>
      <c r="F853" s="65">
        <f t="shared" si="394"/>
        <v>-5.1481747081183169</v>
      </c>
      <c r="S853" s="40">
        <f t="shared" si="367"/>
        <v>0</v>
      </c>
      <c r="T853" s="40">
        <f t="shared" si="368"/>
        <v>0</v>
      </c>
      <c r="U853" s="40">
        <f t="shared" si="369"/>
        <v>0</v>
      </c>
      <c r="V853" s="40">
        <f t="shared" si="370"/>
        <v>1</v>
      </c>
      <c r="W853" s="40">
        <f t="shared" si="371"/>
        <v>0</v>
      </c>
      <c r="X853" s="40">
        <f t="shared" si="372"/>
        <v>0</v>
      </c>
      <c r="Y853" s="40">
        <f t="shared" si="373"/>
        <v>0</v>
      </c>
      <c r="Z853" s="40">
        <f t="shared" si="374"/>
        <v>0</v>
      </c>
      <c r="AA853" s="40">
        <f t="shared" si="375"/>
        <v>0</v>
      </c>
      <c r="AB853" s="40">
        <f t="shared" si="376"/>
        <v>0</v>
      </c>
      <c r="AC853" s="40">
        <f t="shared" si="377"/>
        <v>1</v>
      </c>
      <c r="AD853" s="40">
        <f t="shared" si="378"/>
        <v>0</v>
      </c>
      <c r="AE853" s="40">
        <f t="shared" si="379"/>
        <v>0</v>
      </c>
      <c r="AF853" s="40">
        <f t="shared" si="380"/>
        <v>0</v>
      </c>
      <c r="AG853" s="40">
        <f t="shared" si="381"/>
        <v>0</v>
      </c>
      <c r="AH853" s="40">
        <f t="shared" si="382"/>
        <v>0</v>
      </c>
      <c r="AI853" s="40">
        <f t="shared" si="383"/>
        <v>0</v>
      </c>
      <c r="AJ853" s="40">
        <f t="shared" si="384"/>
        <v>0</v>
      </c>
      <c r="AK853" s="40">
        <f t="shared" si="385"/>
        <v>0</v>
      </c>
      <c r="AL853" s="40">
        <f t="shared" si="386"/>
        <v>0</v>
      </c>
      <c r="AM853" s="40">
        <f t="shared" si="387"/>
        <v>0</v>
      </c>
      <c r="AN853" s="40">
        <f t="shared" si="388"/>
        <v>0</v>
      </c>
      <c r="AO853" s="40">
        <f t="shared" si="389"/>
        <v>0</v>
      </c>
      <c r="AP853" s="40">
        <f t="shared" si="390"/>
        <v>0</v>
      </c>
      <c r="AQ853" s="40">
        <f t="shared" si="391"/>
        <v>1</v>
      </c>
      <c r="AR853" s="40">
        <f t="shared" si="392"/>
        <v>0</v>
      </c>
      <c r="AS853" s="40">
        <f t="shared" si="393"/>
        <v>0</v>
      </c>
    </row>
    <row r="854" spans="2:45" ht="14.4" customHeight="1" x14ac:dyDescent="0.25">
      <c r="B854" s="56" t="s">
        <v>45</v>
      </c>
      <c r="C854" s="57" t="s">
        <v>23</v>
      </c>
      <c r="D854" s="58" t="s">
        <v>30</v>
      </c>
      <c r="E854" s="62">
        <v>3.4600000000000008E-3</v>
      </c>
      <c r="F854" s="65">
        <f t="shared" si="394"/>
        <v>-5.6664866899125039</v>
      </c>
      <c r="S854" s="40">
        <f t="shared" si="367"/>
        <v>0</v>
      </c>
      <c r="T854" s="40">
        <f t="shared" si="368"/>
        <v>0</v>
      </c>
      <c r="U854" s="40">
        <f t="shared" si="369"/>
        <v>0</v>
      </c>
      <c r="V854" s="40">
        <f t="shared" si="370"/>
        <v>1</v>
      </c>
      <c r="W854" s="40">
        <f t="shared" si="371"/>
        <v>0</v>
      </c>
      <c r="X854" s="40">
        <f t="shared" si="372"/>
        <v>0</v>
      </c>
      <c r="Y854" s="40">
        <f t="shared" si="373"/>
        <v>0</v>
      </c>
      <c r="Z854" s="40">
        <f t="shared" si="374"/>
        <v>0</v>
      </c>
      <c r="AA854" s="40">
        <f t="shared" si="375"/>
        <v>0</v>
      </c>
      <c r="AB854" s="40">
        <f t="shared" si="376"/>
        <v>0</v>
      </c>
      <c r="AC854" s="40">
        <f t="shared" si="377"/>
        <v>0</v>
      </c>
      <c r="AD854" s="40">
        <f t="shared" si="378"/>
        <v>0</v>
      </c>
      <c r="AE854" s="40">
        <f t="shared" si="379"/>
        <v>0</v>
      </c>
      <c r="AF854" s="40">
        <f t="shared" si="380"/>
        <v>1</v>
      </c>
      <c r="AG854" s="40">
        <f t="shared" si="381"/>
        <v>0</v>
      </c>
      <c r="AH854" s="40">
        <f t="shared" si="382"/>
        <v>0</v>
      </c>
      <c r="AI854" s="40">
        <f t="shared" si="383"/>
        <v>0</v>
      </c>
      <c r="AJ854" s="40">
        <f t="shared" si="384"/>
        <v>0</v>
      </c>
      <c r="AK854" s="40">
        <f t="shared" si="385"/>
        <v>0</v>
      </c>
      <c r="AL854" s="40">
        <f t="shared" si="386"/>
        <v>0</v>
      </c>
      <c r="AM854" s="40">
        <f t="shared" si="387"/>
        <v>0</v>
      </c>
      <c r="AN854" s="40">
        <f t="shared" si="388"/>
        <v>0</v>
      </c>
      <c r="AO854" s="40">
        <f t="shared" si="389"/>
        <v>0</v>
      </c>
      <c r="AP854" s="40">
        <f t="shared" si="390"/>
        <v>0</v>
      </c>
      <c r="AQ854" s="40">
        <f t="shared" si="391"/>
        <v>0</v>
      </c>
      <c r="AR854" s="40">
        <f t="shared" si="392"/>
        <v>1</v>
      </c>
      <c r="AS854" s="40">
        <f t="shared" si="393"/>
        <v>0</v>
      </c>
    </row>
    <row r="855" spans="2:45" ht="14.4" customHeight="1" x14ac:dyDescent="0.25">
      <c r="B855" s="56" t="s">
        <v>45</v>
      </c>
      <c r="C855" s="57" t="s">
        <v>26</v>
      </c>
      <c r="D855" s="58" t="s">
        <v>33</v>
      </c>
      <c r="E855" s="62">
        <v>7.3100000000000023E-3</v>
      </c>
      <c r="F855" s="65">
        <f t="shared" si="394"/>
        <v>-4.9185120052204496</v>
      </c>
      <c r="S855" s="40">
        <f t="shared" si="367"/>
        <v>0</v>
      </c>
      <c r="T855" s="40">
        <f t="shared" si="368"/>
        <v>0</v>
      </c>
      <c r="U855" s="40">
        <f t="shared" si="369"/>
        <v>0</v>
      </c>
      <c r="V855" s="40">
        <f t="shared" si="370"/>
        <v>1</v>
      </c>
      <c r="W855" s="40">
        <f t="shared" si="371"/>
        <v>0</v>
      </c>
      <c r="X855" s="40">
        <f t="shared" si="372"/>
        <v>0</v>
      </c>
      <c r="Y855" s="40">
        <f t="shared" si="373"/>
        <v>0</v>
      </c>
      <c r="Z855" s="40">
        <f t="shared" si="374"/>
        <v>0</v>
      </c>
      <c r="AA855" s="40">
        <f t="shared" si="375"/>
        <v>0</v>
      </c>
      <c r="AB855" s="40">
        <f t="shared" si="376"/>
        <v>0</v>
      </c>
      <c r="AC855" s="40">
        <f t="shared" si="377"/>
        <v>0</v>
      </c>
      <c r="AD855" s="40">
        <f t="shared" si="378"/>
        <v>0</v>
      </c>
      <c r="AE855" s="40">
        <f t="shared" si="379"/>
        <v>0</v>
      </c>
      <c r="AF855" s="40">
        <f t="shared" si="380"/>
        <v>1</v>
      </c>
      <c r="AG855" s="40">
        <f t="shared" si="381"/>
        <v>0</v>
      </c>
      <c r="AH855" s="40">
        <f t="shared" si="382"/>
        <v>1</v>
      </c>
      <c r="AI855" s="40">
        <f t="shared" si="383"/>
        <v>0</v>
      </c>
      <c r="AJ855" s="40">
        <f t="shared" si="384"/>
        <v>0</v>
      </c>
      <c r="AK855" s="40">
        <f t="shared" si="385"/>
        <v>0</v>
      </c>
      <c r="AL855" s="40">
        <f t="shared" si="386"/>
        <v>0</v>
      </c>
      <c r="AM855" s="40">
        <f t="shared" si="387"/>
        <v>0</v>
      </c>
      <c r="AN855" s="40">
        <f t="shared" si="388"/>
        <v>0</v>
      </c>
      <c r="AO855" s="40">
        <f t="shared" si="389"/>
        <v>0</v>
      </c>
      <c r="AP855" s="40">
        <f t="shared" si="390"/>
        <v>0</v>
      </c>
      <c r="AQ855" s="40">
        <f t="shared" si="391"/>
        <v>0</v>
      </c>
      <c r="AR855" s="40">
        <f t="shared" si="392"/>
        <v>0</v>
      </c>
      <c r="AS855" s="40">
        <f t="shared" si="393"/>
        <v>0</v>
      </c>
    </row>
    <row r="856" spans="2:45" ht="14.4" customHeight="1" x14ac:dyDescent="0.25">
      <c r="B856" s="56" t="s">
        <v>45</v>
      </c>
      <c r="C856" s="57" t="s">
        <v>26</v>
      </c>
      <c r="D856" s="58" t="s">
        <v>27</v>
      </c>
      <c r="E856" s="62">
        <v>4.5700000000000011E-3</v>
      </c>
      <c r="F856" s="65">
        <f t="shared" si="394"/>
        <v>-5.3882420740760235</v>
      </c>
      <c r="S856" s="40">
        <f t="shared" si="367"/>
        <v>0</v>
      </c>
      <c r="T856" s="40">
        <f t="shared" si="368"/>
        <v>0</v>
      </c>
      <c r="U856" s="40">
        <f t="shared" si="369"/>
        <v>0</v>
      </c>
      <c r="V856" s="40">
        <f t="shared" si="370"/>
        <v>1</v>
      </c>
      <c r="W856" s="40">
        <f t="shared" si="371"/>
        <v>0</v>
      </c>
      <c r="X856" s="40">
        <f t="shared" si="372"/>
        <v>0</v>
      </c>
      <c r="Y856" s="40">
        <f t="shared" si="373"/>
        <v>0</v>
      </c>
      <c r="Z856" s="40">
        <f t="shared" si="374"/>
        <v>0</v>
      </c>
      <c r="AA856" s="40">
        <f t="shared" si="375"/>
        <v>1</v>
      </c>
      <c r="AB856" s="40">
        <f t="shared" si="376"/>
        <v>0</v>
      </c>
      <c r="AC856" s="40">
        <f t="shared" si="377"/>
        <v>0</v>
      </c>
      <c r="AD856" s="40">
        <f t="shared" si="378"/>
        <v>0</v>
      </c>
      <c r="AE856" s="40">
        <f t="shared" si="379"/>
        <v>0</v>
      </c>
      <c r="AF856" s="40">
        <f t="shared" si="380"/>
        <v>0</v>
      </c>
      <c r="AG856" s="40">
        <f t="shared" si="381"/>
        <v>0</v>
      </c>
      <c r="AH856" s="40">
        <f t="shared" si="382"/>
        <v>0</v>
      </c>
      <c r="AI856" s="40">
        <f t="shared" si="383"/>
        <v>0</v>
      </c>
      <c r="AJ856" s="40">
        <f t="shared" si="384"/>
        <v>0</v>
      </c>
      <c r="AK856" s="40">
        <f t="shared" si="385"/>
        <v>0</v>
      </c>
      <c r="AL856" s="40">
        <f t="shared" si="386"/>
        <v>0</v>
      </c>
      <c r="AM856" s="40">
        <f t="shared" si="387"/>
        <v>1</v>
      </c>
      <c r="AN856" s="40">
        <f t="shared" si="388"/>
        <v>0</v>
      </c>
      <c r="AO856" s="40">
        <f t="shared" si="389"/>
        <v>0</v>
      </c>
      <c r="AP856" s="40">
        <f t="shared" si="390"/>
        <v>0</v>
      </c>
      <c r="AQ856" s="40">
        <f t="shared" si="391"/>
        <v>0</v>
      </c>
      <c r="AR856" s="40">
        <f t="shared" si="392"/>
        <v>0</v>
      </c>
      <c r="AS856" s="40">
        <f t="shared" si="393"/>
        <v>0</v>
      </c>
    </row>
    <row r="857" spans="2:45" ht="14.4" customHeight="1" x14ac:dyDescent="0.25">
      <c r="B857" s="56" t="s">
        <v>45</v>
      </c>
      <c r="C857" s="57" t="s">
        <v>39</v>
      </c>
      <c r="D857" s="58" t="s">
        <v>35</v>
      </c>
      <c r="E857" s="62">
        <v>6.8700000000000028E-3</v>
      </c>
      <c r="F857" s="65">
        <f t="shared" si="394"/>
        <v>-4.9805911727478787</v>
      </c>
      <c r="S857" s="40">
        <f t="shared" si="367"/>
        <v>0</v>
      </c>
      <c r="T857" s="40">
        <f t="shared" si="368"/>
        <v>0</v>
      </c>
      <c r="U857" s="40">
        <f t="shared" si="369"/>
        <v>0</v>
      </c>
      <c r="V857" s="40">
        <f t="shared" si="370"/>
        <v>1</v>
      </c>
      <c r="W857" s="40">
        <f t="shared" si="371"/>
        <v>0</v>
      </c>
      <c r="X857" s="40">
        <f t="shared" si="372"/>
        <v>0</v>
      </c>
      <c r="Y857" s="40">
        <f t="shared" si="373"/>
        <v>0</v>
      </c>
      <c r="Z857" s="40">
        <f t="shared" si="374"/>
        <v>0</v>
      </c>
      <c r="AA857" s="40">
        <f t="shared" si="375"/>
        <v>0</v>
      </c>
      <c r="AB857" s="40">
        <f t="shared" si="376"/>
        <v>1</v>
      </c>
      <c r="AC857" s="40">
        <f t="shared" si="377"/>
        <v>0</v>
      </c>
      <c r="AD857" s="40">
        <f t="shared" si="378"/>
        <v>0</v>
      </c>
      <c r="AE857" s="40">
        <f t="shared" si="379"/>
        <v>0</v>
      </c>
      <c r="AF857" s="40">
        <f t="shared" si="380"/>
        <v>0</v>
      </c>
      <c r="AG857" s="40">
        <f t="shared" si="381"/>
        <v>0</v>
      </c>
      <c r="AH857" s="40">
        <f t="shared" si="382"/>
        <v>0</v>
      </c>
      <c r="AI857" s="40">
        <f t="shared" si="383"/>
        <v>0</v>
      </c>
      <c r="AJ857" s="40">
        <f t="shared" si="384"/>
        <v>0</v>
      </c>
      <c r="AK857" s="40">
        <f t="shared" si="385"/>
        <v>0</v>
      </c>
      <c r="AL857" s="40">
        <f t="shared" si="386"/>
        <v>1</v>
      </c>
      <c r="AM857" s="40">
        <f t="shared" si="387"/>
        <v>0</v>
      </c>
      <c r="AN857" s="40">
        <f t="shared" si="388"/>
        <v>0</v>
      </c>
      <c r="AO857" s="40">
        <f t="shared" si="389"/>
        <v>0</v>
      </c>
      <c r="AP857" s="40">
        <f t="shared" si="390"/>
        <v>0</v>
      </c>
      <c r="AQ857" s="40">
        <f t="shared" si="391"/>
        <v>0</v>
      </c>
      <c r="AR857" s="40">
        <f t="shared" si="392"/>
        <v>0</v>
      </c>
      <c r="AS857" s="40">
        <f t="shared" si="393"/>
        <v>0</v>
      </c>
    </row>
    <row r="858" spans="2:45" ht="14.4" customHeight="1" x14ac:dyDescent="0.25">
      <c r="B858" s="56" t="s">
        <v>45</v>
      </c>
      <c r="C858" s="57" t="s">
        <v>25</v>
      </c>
      <c r="D858" s="58" t="s">
        <v>24</v>
      </c>
      <c r="E858" s="62">
        <v>1.0579999999999999E-2</v>
      </c>
      <c r="F858" s="65">
        <f t="shared" si="394"/>
        <v>-4.5487898525519839</v>
      </c>
      <c r="S858" s="40">
        <f t="shared" si="367"/>
        <v>0</v>
      </c>
      <c r="T858" s="40">
        <f t="shared" si="368"/>
        <v>0</v>
      </c>
      <c r="U858" s="40">
        <f t="shared" si="369"/>
        <v>0</v>
      </c>
      <c r="V858" s="40">
        <f t="shared" si="370"/>
        <v>1</v>
      </c>
      <c r="W858" s="40">
        <f t="shared" si="371"/>
        <v>0</v>
      </c>
      <c r="X858" s="40">
        <f t="shared" si="372"/>
        <v>0</v>
      </c>
      <c r="Y858" s="40">
        <f t="shared" si="373"/>
        <v>0</v>
      </c>
      <c r="Z858" s="40">
        <f t="shared" si="374"/>
        <v>0</v>
      </c>
      <c r="AA858" s="40">
        <f t="shared" si="375"/>
        <v>1</v>
      </c>
      <c r="AB858" s="40">
        <f t="shared" si="376"/>
        <v>0</v>
      </c>
      <c r="AC858" s="40">
        <f t="shared" si="377"/>
        <v>0</v>
      </c>
      <c r="AD858" s="40">
        <f t="shared" si="378"/>
        <v>0</v>
      </c>
      <c r="AE858" s="40">
        <f t="shared" si="379"/>
        <v>0</v>
      </c>
      <c r="AF858" s="40">
        <f t="shared" si="380"/>
        <v>0</v>
      </c>
      <c r="AG858" s="40">
        <f t="shared" si="381"/>
        <v>0</v>
      </c>
      <c r="AH858" s="40">
        <f t="shared" si="382"/>
        <v>0</v>
      </c>
      <c r="AI858" s="40">
        <f t="shared" si="383"/>
        <v>0</v>
      </c>
      <c r="AJ858" s="40">
        <f t="shared" si="384"/>
        <v>0</v>
      </c>
      <c r="AK858" s="40">
        <f t="shared" si="385"/>
        <v>0</v>
      </c>
      <c r="AL858" s="40">
        <f t="shared" si="386"/>
        <v>0</v>
      </c>
      <c r="AM858" s="40">
        <f t="shared" si="387"/>
        <v>1</v>
      </c>
      <c r="AN858" s="40">
        <f t="shared" si="388"/>
        <v>0</v>
      </c>
      <c r="AO858" s="40">
        <f t="shared" si="389"/>
        <v>0</v>
      </c>
      <c r="AP858" s="40">
        <f t="shared" si="390"/>
        <v>0</v>
      </c>
      <c r="AQ858" s="40">
        <f t="shared" si="391"/>
        <v>0</v>
      </c>
      <c r="AR858" s="40">
        <f t="shared" si="392"/>
        <v>0</v>
      </c>
      <c r="AS858" s="40">
        <f t="shared" si="393"/>
        <v>0</v>
      </c>
    </row>
    <row r="859" spans="2:45" ht="14.4" customHeight="1" x14ac:dyDescent="0.25">
      <c r="B859" s="56" t="s">
        <v>45</v>
      </c>
      <c r="C859" s="57" t="s">
        <v>39</v>
      </c>
      <c r="D859" s="58" t="s">
        <v>35</v>
      </c>
      <c r="E859" s="62">
        <v>8.8499999999999968E-3</v>
      </c>
      <c r="F859" s="65">
        <f t="shared" si="394"/>
        <v>-4.7273378199622993</v>
      </c>
      <c r="S859" s="40">
        <f t="shared" si="367"/>
        <v>0</v>
      </c>
      <c r="T859" s="40">
        <f t="shared" si="368"/>
        <v>0</v>
      </c>
      <c r="U859" s="40">
        <f t="shared" si="369"/>
        <v>0</v>
      </c>
      <c r="V859" s="40">
        <f t="shared" si="370"/>
        <v>1</v>
      </c>
      <c r="W859" s="40">
        <f t="shared" si="371"/>
        <v>0</v>
      </c>
      <c r="X859" s="40">
        <f t="shared" si="372"/>
        <v>0</v>
      </c>
      <c r="Y859" s="40">
        <f t="shared" si="373"/>
        <v>0</v>
      </c>
      <c r="Z859" s="40">
        <f t="shared" si="374"/>
        <v>0</v>
      </c>
      <c r="AA859" s="40">
        <f t="shared" si="375"/>
        <v>0</v>
      </c>
      <c r="AB859" s="40">
        <f t="shared" si="376"/>
        <v>0</v>
      </c>
      <c r="AC859" s="40">
        <f t="shared" si="377"/>
        <v>0</v>
      </c>
      <c r="AD859" s="40">
        <f t="shared" si="378"/>
        <v>0</v>
      </c>
      <c r="AE859" s="40">
        <f t="shared" si="379"/>
        <v>0</v>
      </c>
      <c r="AF859" s="40">
        <f t="shared" si="380"/>
        <v>1</v>
      </c>
      <c r="AG859" s="40">
        <f t="shared" si="381"/>
        <v>0</v>
      </c>
      <c r="AH859" s="40">
        <f t="shared" si="382"/>
        <v>0</v>
      </c>
      <c r="AI859" s="40">
        <f t="shared" si="383"/>
        <v>0</v>
      </c>
      <c r="AJ859" s="40">
        <f t="shared" si="384"/>
        <v>0</v>
      </c>
      <c r="AK859" s="40">
        <f t="shared" si="385"/>
        <v>0</v>
      </c>
      <c r="AL859" s="40">
        <f t="shared" si="386"/>
        <v>0</v>
      </c>
      <c r="AM859" s="40">
        <f t="shared" si="387"/>
        <v>0</v>
      </c>
      <c r="AN859" s="40">
        <f t="shared" si="388"/>
        <v>0</v>
      </c>
      <c r="AO859" s="40">
        <f t="shared" si="389"/>
        <v>1</v>
      </c>
      <c r="AP859" s="40">
        <f t="shared" si="390"/>
        <v>0</v>
      </c>
      <c r="AQ859" s="40">
        <f t="shared" si="391"/>
        <v>0</v>
      </c>
      <c r="AR859" s="40">
        <f t="shared" si="392"/>
        <v>0</v>
      </c>
      <c r="AS859" s="40">
        <f t="shared" si="393"/>
        <v>0</v>
      </c>
    </row>
    <row r="860" spans="2:45" ht="14.4" customHeight="1" x14ac:dyDescent="0.25">
      <c r="B860" s="56" t="s">
        <v>45</v>
      </c>
      <c r="C860" s="57" t="s">
        <v>26</v>
      </c>
      <c r="D860" s="58" t="s">
        <v>31</v>
      </c>
      <c r="E860" s="62">
        <v>9.4299999999999991E-3</v>
      </c>
      <c r="F860" s="65">
        <f t="shared" si="394"/>
        <v>-4.663859182336771</v>
      </c>
      <c r="S860" s="40">
        <f t="shared" si="367"/>
        <v>0</v>
      </c>
      <c r="T860" s="40">
        <f t="shared" si="368"/>
        <v>0</v>
      </c>
      <c r="U860" s="40">
        <f t="shared" si="369"/>
        <v>0</v>
      </c>
      <c r="V860" s="40">
        <f t="shared" si="370"/>
        <v>1</v>
      </c>
      <c r="W860" s="40">
        <f t="shared" si="371"/>
        <v>0</v>
      </c>
      <c r="X860" s="40">
        <f t="shared" si="372"/>
        <v>0</v>
      </c>
      <c r="Y860" s="40">
        <f t="shared" si="373"/>
        <v>0</v>
      </c>
      <c r="Z860" s="40">
        <f t="shared" si="374"/>
        <v>0</v>
      </c>
      <c r="AA860" s="40">
        <f t="shared" si="375"/>
        <v>0</v>
      </c>
      <c r="AB860" s="40">
        <f t="shared" si="376"/>
        <v>1</v>
      </c>
      <c r="AC860" s="40">
        <f t="shared" si="377"/>
        <v>0</v>
      </c>
      <c r="AD860" s="40">
        <f t="shared" si="378"/>
        <v>0</v>
      </c>
      <c r="AE860" s="40">
        <f t="shared" si="379"/>
        <v>0</v>
      </c>
      <c r="AF860" s="40">
        <f t="shared" si="380"/>
        <v>0</v>
      </c>
      <c r="AG860" s="40">
        <f t="shared" si="381"/>
        <v>0</v>
      </c>
      <c r="AH860" s="40">
        <f t="shared" si="382"/>
        <v>0</v>
      </c>
      <c r="AI860" s="40">
        <f t="shared" si="383"/>
        <v>0</v>
      </c>
      <c r="AJ860" s="40">
        <f t="shared" si="384"/>
        <v>0</v>
      </c>
      <c r="AK860" s="40">
        <f t="shared" si="385"/>
        <v>0</v>
      </c>
      <c r="AL860" s="40">
        <f t="shared" si="386"/>
        <v>0</v>
      </c>
      <c r="AM860" s="40">
        <f t="shared" si="387"/>
        <v>0</v>
      </c>
      <c r="AN860" s="40">
        <f t="shared" si="388"/>
        <v>0</v>
      </c>
      <c r="AO860" s="40">
        <f t="shared" si="389"/>
        <v>1</v>
      </c>
      <c r="AP860" s="40">
        <f t="shared" si="390"/>
        <v>0</v>
      </c>
      <c r="AQ860" s="40">
        <f t="shared" si="391"/>
        <v>0</v>
      </c>
      <c r="AR860" s="40">
        <f t="shared" si="392"/>
        <v>0</v>
      </c>
      <c r="AS860" s="40">
        <f t="shared" si="393"/>
        <v>0</v>
      </c>
    </row>
    <row r="861" spans="2:45" ht="14.4" customHeight="1" x14ac:dyDescent="0.25">
      <c r="B861" s="56" t="s">
        <v>45</v>
      </c>
      <c r="C861" s="57" t="s">
        <v>25</v>
      </c>
      <c r="D861" s="58" t="s">
        <v>31</v>
      </c>
      <c r="E861" s="62">
        <v>5.9300000000000004E-3</v>
      </c>
      <c r="F861" s="65">
        <f t="shared" si="394"/>
        <v>-5.1277310659725028</v>
      </c>
      <c r="S861" s="40">
        <f t="shared" si="367"/>
        <v>0</v>
      </c>
      <c r="T861" s="40">
        <f t="shared" si="368"/>
        <v>0</v>
      </c>
      <c r="U861" s="40">
        <f t="shared" si="369"/>
        <v>0</v>
      </c>
      <c r="V861" s="40">
        <f t="shared" si="370"/>
        <v>1</v>
      </c>
      <c r="W861" s="40">
        <f t="shared" si="371"/>
        <v>0</v>
      </c>
      <c r="X861" s="40">
        <f t="shared" si="372"/>
        <v>0</v>
      </c>
      <c r="Y861" s="40">
        <f t="shared" si="373"/>
        <v>0</v>
      </c>
      <c r="Z861" s="40">
        <f t="shared" si="374"/>
        <v>0</v>
      </c>
      <c r="AA861" s="40">
        <f t="shared" si="375"/>
        <v>0</v>
      </c>
      <c r="AB861" s="40">
        <f t="shared" si="376"/>
        <v>1</v>
      </c>
      <c r="AC861" s="40">
        <f t="shared" si="377"/>
        <v>0</v>
      </c>
      <c r="AD861" s="40">
        <f t="shared" si="378"/>
        <v>0</v>
      </c>
      <c r="AE861" s="40">
        <f t="shared" si="379"/>
        <v>0</v>
      </c>
      <c r="AF861" s="40">
        <f t="shared" si="380"/>
        <v>0</v>
      </c>
      <c r="AG861" s="40">
        <f t="shared" si="381"/>
        <v>0</v>
      </c>
      <c r="AH861" s="40">
        <f t="shared" si="382"/>
        <v>0</v>
      </c>
      <c r="AI861" s="40">
        <f t="shared" si="383"/>
        <v>0</v>
      </c>
      <c r="AJ861" s="40">
        <f t="shared" si="384"/>
        <v>1</v>
      </c>
      <c r="AK861" s="40">
        <f t="shared" si="385"/>
        <v>0</v>
      </c>
      <c r="AL861" s="40">
        <f t="shared" si="386"/>
        <v>0</v>
      </c>
      <c r="AM861" s="40">
        <f t="shared" si="387"/>
        <v>0</v>
      </c>
      <c r="AN861" s="40">
        <f t="shared" si="388"/>
        <v>0</v>
      </c>
      <c r="AO861" s="40">
        <f t="shared" si="389"/>
        <v>0</v>
      </c>
      <c r="AP861" s="40">
        <f t="shared" si="390"/>
        <v>0</v>
      </c>
      <c r="AQ861" s="40">
        <f t="shared" si="391"/>
        <v>0</v>
      </c>
      <c r="AR861" s="40">
        <f t="shared" si="392"/>
        <v>0</v>
      </c>
      <c r="AS861" s="40">
        <f t="shared" si="393"/>
        <v>0</v>
      </c>
    </row>
    <row r="862" spans="2:45" ht="14.4" customHeight="1" x14ac:dyDescent="0.25">
      <c r="B862" s="56" t="s">
        <v>45</v>
      </c>
      <c r="C862" s="57" t="s">
        <v>25</v>
      </c>
      <c r="D862" s="58" t="s">
        <v>37</v>
      </c>
      <c r="E862" s="62">
        <v>4.7300000000000016E-3</v>
      </c>
      <c r="F862" s="65">
        <f t="shared" si="394"/>
        <v>-5.3538300764782951</v>
      </c>
      <c r="S862" s="40">
        <f t="shared" si="367"/>
        <v>0</v>
      </c>
      <c r="T862" s="40">
        <f t="shared" si="368"/>
        <v>0</v>
      </c>
      <c r="U862" s="40">
        <f t="shared" si="369"/>
        <v>0</v>
      </c>
      <c r="V862" s="40">
        <f t="shared" si="370"/>
        <v>1</v>
      </c>
      <c r="W862" s="40">
        <f t="shared" si="371"/>
        <v>0</v>
      </c>
      <c r="X862" s="40">
        <f t="shared" si="372"/>
        <v>0</v>
      </c>
      <c r="Y862" s="40">
        <f t="shared" si="373"/>
        <v>0</v>
      </c>
      <c r="Z862" s="40">
        <f t="shared" si="374"/>
        <v>0</v>
      </c>
      <c r="AA862" s="40">
        <f t="shared" si="375"/>
        <v>0</v>
      </c>
      <c r="AB862" s="40">
        <f t="shared" si="376"/>
        <v>0</v>
      </c>
      <c r="AC862" s="40">
        <f t="shared" si="377"/>
        <v>0</v>
      </c>
      <c r="AD862" s="40">
        <f t="shared" si="378"/>
        <v>0</v>
      </c>
      <c r="AE862" s="40">
        <f t="shared" si="379"/>
        <v>0</v>
      </c>
      <c r="AF862" s="40">
        <f t="shared" si="380"/>
        <v>1</v>
      </c>
      <c r="AG862" s="40">
        <f t="shared" si="381"/>
        <v>0</v>
      </c>
      <c r="AH862" s="40">
        <f t="shared" si="382"/>
        <v>0</v>
      </c>
      <c r="AI862" s="40">
        <f t="shared" si="383"/>
        <v>0</v>
      </c>
      <c r="AJ862" s="40">
        <f t="shared" si="384"/>
        <v>0</v>
      </c>
      <c r="AK862" s="40">
        <f t="shared" si="385"/>
        <v>0</v>
      </c>
      <c r="AL862" s="40">
        <f t="shared" si="386"/>
        <v>0</v>
      </c>
      <c r="AM862" s="40">
        <f t="shared" si="387"/>
        <v>0</v>
      </c>
      <c r="AN862" s="40">
        <f t="shared" si="388"/>
        <v>0</v>
      </c>
      <c r="AO862" s="40">
        <f t="shared" si="389"/>
        <v>0</v>
      </c>
      <c r="AP862" s="40">
        <f t="shared" si="390"/>
        <v>0</v>
      </c>
      <c r="AQ862" s="40">
        <f t="shared" si="391"/>
        <v>0</v>
      </c>
      <c r="AR862" s="40">
        <f t="shared" si="392"/>
        <v>0</v>
      </c>
      <c r="AS862" s="40">
        <f t="shared" si="393"/>
        <v>1</v>
      </c>
    </row>
    <row r="863" spans="2:45" ht="14.4" customHeight="1" x14ac:dyDescent="0.25">
      <c r="B863" s="56" t="s">
        <v>45</v>
      </c>
      <c r="C863" s="57" t="s">
        <v>26</v>
      </c>
      <c r="D863" s="58" t="s">
        <v>22</v>
      </c>
      <c r="E863" s="62">
        <v>5.6500000000000014E-3</v>
      </c>
      <c r="F863" s="65">
        <f t="shared" si="394"/>
        <v>-5.1760997338237873</v>
      </c>
      <c r="S863" s="40">
        <f t="shared" si="367"/>
        <v>0</v>
      </c>
      <c r="T863" s="40">
        <f t="shared" si="368"/>
        <v>0</v>
      </c>
      <c r="U863" s="40">
        <f t="shared" si="369"/>
        <v>0</v>
      </c>
      <c r="V863" s="40">
        <f t="shared" si="370"/>
        <v>1</v>
      </c>
      <c r="W863" s="40">
        <f t="shared" si="371"/>
        <v>0</v>
      </c>
      <c r="X863" s="40">
        <f t="shared" si="372"/>
        <v>0</v>
      </c>
      <c r="Y863" s="40">
        <f t="shared" si="373"/>
        <v>0</v>
      </c>
      <c r="Z863" s="40">
        <f t="shared" si="374"/>
        <v>0</v>
      </c>
      <c r="AA863" s="40">
        <f t="shared" si="375"/>
        <v>0</v>
      </c>
      <c r="AB863" s="40">
        <f t="shared" si="376"/>
        <v>0</v>
      </c>
      <c r="AC863" s="40">
        <f t="shared" si="377"/>
        <v>0</v>
      </c>
      <c r="AD863" s="40">
        <f t="shared" si="378"/>
        <v>0</v>
      </c>
      <c r="AE863" s="40">
        <f t="shared" si="379"/>
        <v>0</v>
      </c>
      <c r="AF863" s="40">
        <f t="shared" si="380"/>
        <v>1</v>
      </c>
      <c r="AG863" s="40">
        <f t="shared" si="381"/>
        <v>0</v>
      </c>
      <c r="AH863" s="40">
        <f t="shared" si="382"/>
        <v>0</v>
      </c>
      <c r="AI863" s="40">
        <f t="shared" si="383"/>
        <v>1</v>
      </c>
      <c r="AJ863" s="40">
        <f t="shared" si="384"/>
        <v>0</v>
      </c>
      <c r="AK863" s="40">
        <f t="shared" si="385"/>
        <v>0</v>
      </c>
      <c r="AL863" s="40">
        <f t="shared" si="386"/>
        <v>0</v>
      </c>
      <c r="AM863" s="40">
        <f t="shared" si="387"/>
        <v>0</v>
      </c>
      <c r="AN863" s="40">
        <f t="shared" si="388"/>
        <v>0</v>
      </c>
      <c r="AO863" s="40">
        <f t="shared" si="389"/>
        <v>0</v>
      </c>
      <c r="AP863" s="40">
        <f t="shared" si="390"/>
        <v>0</v>
      </c>
      <c r="AQ863" s="40">
        <f t="shared" si="391"/>
        <v>0</v>
      </c>
      <c r="AR863" s="40">
        <f t="shared" si="392"/>
        <v>0</v>
      </c>
      <c r="AS863" s="40">
        <f t="shared" si="393"/>
        <v>0</v>
      </c>
    </row>
    <row r="864" spans="2:45" ht="14.4" customHeight="1" x14ac:dyDescent="0.25">
      <c r="B864" s="56" t="s">
        <v>45</v>
      </c>
      <c r="C864" s="57" t="s">
        <v>26</v>
      </c>
      <c r="D864" s="58" t="s">
        <v>28</v>
      </c>
      <c r="E864" s="62">
        <v>1.0809999999999997E-2</v>
      </c>
      <c r="F864" s="65">
        <f t="shared" si="394"/>
        <v>-4.5272836473310205</v>
      </c>
      <c r="S864" s="40">
        <f t="shared" si="367"/>
        <v>0</v>
      </c>
      <c r="T864" s="40">
        <f t="shared" si="368"/>
        <v>0</v>
      </c>
      <c r="U864" s="40">
        <f t="shared" si="369"/>
        <v>0</v>
      </c>
      <c r="V864" s="40">
        <f t="shared" si="370"/>
        <v>1</v>
      </c>
      <c r="W864" s="40">
        <f t="shared" si="371"/>
        <v>0</v>
      </c>
      <c r="X864" s="40">
        <f t="shared" si="372"/>
        <v>0</v>
      </c>
      <c r="Y864" s="40">
        <f t="shared" si="373"/>
        <v>0</v>
      </c>
      <c r="Z864" s="40">
        <f t="shared" si="374"/>
        <v>0</v>
      </c>
      <c r="AA864" s="40">
        <f t="shared" si="375"/>
        <v>0</v>
      </c>
      <c r="AB864" s="40">
        <f t="shared" si="376"/>
        <v>1</v>
      </c>
      <c r="AC864" s="40">
        <f t="shared" si="377"/>
        <v>0</v>
      </c>
      <c r="AD864" s="40">
        <f t="shared" si="378"/>
        <v>0</v>
      </c>
      <c r="AE864" s="40">
        <f t="shared" si="379"/>
        <v>0</v>
      </c>
      <c r="AF864" s="40">
        <f t="shared" si="380"/>
        <v>0</v>
      </c>
      <c r="AG864" s="40">
        <f t="shared" si="381"/>
        <v>0</v>
      </c>
      <c r="AH864" s="40">
        <f t="shared" si="382"/>
        <v>0</v>
      </c>
      <c r="AI864" s="40">
        <f t="shared" si="383"/>
        <v>1</v>
      </c>
      <c r="AJ864" s="40">
        <f t="shared" si="384"/>
        <v>0</v>
      </c>
      <c r="AK864" s="40">
        <f t="shared" si="385"/>
        <v>0</v>
      </c>
      <c r="AL864" s="40">
        <f t="shared" si="386"/>
        <v>0</v>
      </c>
      <c r="AM864" s="40">
        <f t="shared" si="387"/>
        <v>0</v>
      </c>
      <c r="AN864" s="40">
        <f t="shared" si="388"/>
        <v>0</v>
      </c>
      <c r="AO864" s="40">
        <f t="shared" si="389"/>
        <v>0</v>
      </c>
      <c r="AP864" s="40">
        <f t="shared" si="390"/>
        <v>0</v>
      </c>
      <c r="AQ864" s="40">
        <f t="shared" si="391"/>
        <v>0</v>
      </c>
      <c r="AR864" s="40">
        <f t="shared" si="392"/>
        <v>0</v>
      </c>
      <c r="AS864" s="40">
        <f t="shared" si="393"/>
        <v>0</v>
      </c>
    </row>
    <row r="865" spans="2:45" ht="14.4" customHeight="1" x14ac:dyDescent="0.25">
      <c r="B865" s="56" t="s">
        <v>45</v>
      </c>
      <c r="C865" s="57" t="s">
        <v>25</v>
      </c>
      <c r="D865" s="58" t="s">
        <v>28</v>
      </c>
      <c r="E865" s="62">
        <v>3.1499999999999996E-3</v>
      </c>
      <c r="F865" s="65">
        <f t="shared" si="394"/>
        <v>-5.7603528261445955</v>
      </c>
      <c r="S865" s="40">
        <f t="shared" si="367"/>
        <v>0</v>
      </c>
      <c r="T865" s="40">
        <f t="shared" si="368"/>
        <v>0</v>
      </c>
      <c r="U865" s="40">
        <f t="shared" si="369"/>
        <v>0</v>
      </c>
      <c r="V865" s="40">
        <f t="shared" si="370"/>
        <v>1</v>
      </c>
      <c r="W865" s="40">
        <f t="shared" si="371"/>
        <v>0</v>
      </c>
      <c r="X865" s="40">
        <f t="shared" si="372"/>
        <v>0</v>
      </c>
      <c r="Y865" s="40">
        <f t="shared" si="373"/>
        <v>0</v>
      </c>
      <c r="Z865" s="40">
        <f t="shared" si="374"/>
        <v>0</v>
      </c>
      <c r="AA865" s="40">
        <f t="shared" si="375"/>
        <v>0</v>
      </c>
      <c r="AB865" s="40">
        <f t="shared" si="376"/>
        <v>0</v>
      </c>
      <c r="AC865" s="40">
        <f t="shared" si="377"/>
        <v>0</v>
      </c>
      <c r="AD865" s="40">
        <f t="shared" si="378"/>
        <v>0</v>
      </c>
      <c r="AE865" s="40">
        <f t="shared" si="379"/>
        <v>0</v>
      </c>
      <c r="AF865" s="40">
        <f t="shared" si="380"/>
        <v>1</v>
      </c>
      <c r="AG865" s="40">
        <f t="shared" si="381"/>
        <v>0</v>
      </c>
      <c r="AH865" s="40">
        <f t="shared" si="382"/>
        <v>0</v>
      </c>
      <c r="AI865" s="40">
        <f t="shared" si="383"/>
        <v>0</v>
      </c>
      <c r="AJ865" s="40">
        <f t="shared" si="384"/>
        <v>0</v>
      </c>
      <c r="AK865" s="40">
        <f t="shared" si="385"/>
        <v>0</v>
      </c>
      <c r="AL865" s="40">
        <f t="shared" si="386"/>
        <v>0</v>
      </c>
      <c r="AM865" s="40">
        <f t="shared" si="387"/>
        <v>0</v>
      </c>
      <c r="AN865" s="40">
        <f t="shared" si="388"/>
        <v>0</v>
      </c>
      <c r="AO865" s="40">
        <f t="shared" si="389"/>
        <v>0</v>
      </c>
      <c r="AP865" s="40">
        <f t="shared" si="390"/>
        <v>0</v>
      </c>
      <c r="AQ865" s="40">
        <f t="shared" si="391"/>
        <v>0</v>
      </c>
      <c r="AR865" s="40">
        <f t="shared" si="392"/>
        <v>0</v>
      </c>
      <c r="AS865" s="40">
        <f t="shared" si="393"/>
        <v>1</v>
      </c>
    </row>
    <row r="866" spans="2:45" ht="14.4" customHeight="1" x14ac:dyDescent="0.25">
      <c r="B866" s="56" t="s">
        <v>45</v>
      </c>
      <c r="C866" s="57" t="s">
        <v>26</v>
      </c>
      <c r="D866" s="58" t="s">
        <v>22</v>
      </c>
      <c r="E866" s="62">
        <v>4.0500000000000015E-3</v>
      </c>
      <c r="F866" s="65">
        <f t="shared" si="394"/>
        <v>-5.509038397863689</v>
      </c>
      <c r="S866" s="40">
        <f t="shared" si="367"/>
        <v>0</v>
      </c>
      <c r="T866" s="40">
        <f t="shared" si="368"/>
        <v>0</v>
      </c>
      <c r="U866" s="40">
        <f t="shared" si="369"/>
        <v>0</v>
      </c>
      <c r="V866" s="40">
        <f t="shared" si="370"/>
        <v>1</v>
      </c>
      <c r="W866" s="40">
        <f t="shared" si="371"/>
        <v>0</v>
      </c>
      <c r="X866" s="40">
        <f t="shared" si="372"/>
        <v>0</v>
      </c>
      <c r="Y866" s="40">
        <f t="shared" si="373"/>
        <v>0</v>
      </c>
      <c r="Z866" s="40">
        <f t="shared" si="374"/>
        <v>0</v>
      </c>
      <c r="AA866" s="40">
        <f t="shared" si="375"/>
        <v>0</v>
      </c>
      <c r="AB866" s="40">
        <f t="shared" si="376"/>
        <v>0</v>
      </c>
      <c r="AC866" s="40">
        <f t="shared" si="377"/>
        <v>0</v>
      </c>
      <c r="AD866" s="40">
        <f t="shared" si="378"/>
        <v>0</v>
      </c>
      <c r="AE866" s="40">
        <f t="shared" si="379"/>
        <v>0</v>
      </c>
      <c r="AF866" s="40">
        <f t="shared" si="380"/>
        <v>1</v>
      </c>
      <c r="AG866" s="40">
        <f t="shared" si="381"/>
        <v>0</v>
      </c>
      <c r="AH866" s="40">
        <f t="shared" si="382"/>
        <v>0</v>
      </c>
      <c r="AI866" s="40">
        <f t="shared" si="383"/>
        <v>1</v>
      </c>
      <c r="AJ866" s="40">
        <f t="shared" si="384"/>
        <v>0</v>
      </c>
      <c r="AK866" s="40">
        <f t="shared" si="385"/>
        <v>0</v>
      </c>
      <c r="AL866" s="40">
        <f t="shared" si="386"/>
        <v>0</v>
      </c>
      <c r="AM866" s="40">
        <f t="shared" si="387"/>
        <v>0</v>
      </c>
      <c r="AN866" s="40">
        <f t="shared" si="388"/>
        <v>0</v>
      </c>
      <c r="AO866" s="40">
        <f t="shared" si="389"/>
        <v>0</v>
      </c>
      <c r="AP866" s="40">
        <f t="shared" si="390"/>
        <v>0</v>
      </c>
      <c r="AQ866" s="40">
        <f t="shared" si="391"/>
        <v>0</v>
      </c>
      <c r="AR866" s="40">
        <f t="shared" si="392"/>
        <v>0</v>
      </c>
      <c r="AS866" s="40">
        <f t="shared" si="393"/>
        <v>0</v>
      </c>
    </row>
    <row r="867" spans="2:45" ht="14.4" customHeight="1" x14ac:dyDescent="0.25">
      <c r="B867" s="56" t="s">
        <v>45</v>
      </c>
      <c r="C867" s="57" t="s">
        <v>26</v>
      </c>
      <c r="D867" s="58" t="s">
        <v>28</v>
      </c>
      <c r="E867" s="62">
        <v>7.9999999999999967E-3</v>
      </c>
      <c r="F867" s="65">
        <f t="shared" si="394"/>
        <v>-4.8283137373023015</v>
      </c>
      <c r="S867" s="40">
        <f t="shared" si="367"/>
        <v>0</v>
      </c>
      <c r="T867" s="40">
        <f t="shared" si="368"/>
        <v>0</v>
      </c>
      <c r="U867" s="40">
        <f t="shared" si="369"/>
        <v>0</v>
      </c>
      <c r="V867" s="40">
        <f t="shared" si="370"/>
        <v>1</v>
      </c>
      <c r="W867" s="40">
        <f t="shared" si="371"/>
        <v>0</v>
      </c>
      <c r="X867" s="40">
        <f t="shared" si="372"/>
        <v>0</v>
      </c>
      <c r="Y867" s="40">
        <f t="shared" si="373"/>
        <v>0</v>
      </c>
      <c r="Z867" s="40">
        <f t="shared" si="374"/>
        <v>0</v>
      </c>
      <c r="AA867" s="40">
        <f t="shared" si="375"/>
        <v>0</v>
      </c>
      <c r="AB867" s="40">
        <f t="shared" si="376"/>
        <v>0</v>
      </c>
      <c r="AC867" s="40">
        <f t="shared" si="377"/>
        <v>0</v>
      </c>
      <c r="AD867" s="40">
        <f t="shared" si="378"/>
        <v>0</v>
      </c>
      <c r="AE867" s="40">
        <f t="shared" si="379"/>
        <v>0</v>
      </c>
      <c r="AF867" s="40">
        <f t="shared" si="380"/>
        <v>1</v>
      </c>
      <c r="AG867" s="40">
        <f t="shared" si="381"/>
        <v>0</v>
      </c>
      <c r="AH867" s="40">
        <f t="shared" si="382"/>
        <v>0</v>
      </c>
      <c r="AI867" s="40">
        <f t="shared" si="383"/>
        <v>0</v>
      </c>
      <c r="AJ867" s="40">
        <f t="shared" si="384"/>
        <v>0</v>
      </c>
      <c r="AK867" s="40">
        <f t="shared" si="385"/>
        <v>0</v>
      </c>
      <c r="AL867" s="40">
        <f t="shared" si="386"/>
        <v>1</v>
      </c>
      <c r="AM867" s="40">
        <f t="shared" si="387"/>
        <v>0</v>
      </c>
      <c r="AN867" s="40">
        <f t="shared" si="388"/>
        <v>0</v>
      </c>
      <c r="AO867" s="40">
        <f t="shared" si="389"/>
        <v>0</v>
      </c>
      <c r="AP867" s="40">
        <f t="shared" si="390"/>
        <v>0</v>
      </c>
      <c r="AQ867" s="40">
        <f t="shared" si="391"/>
        <v>0</v>
      </c>
      <c r="AR867" s="40">
        <f t="shared" si="392"/>
        <v>0</v>
      </c>
      <c r="AS867" s="40">
        <f t="shared" si="393"/>
        <v>0</v>
      </c>
    </row>
    <row r="868" spans="2:45" ht="14.4" customHeight="1" x14ac:dyDescent="0.25">
      <c r="B868" s="56" t="s">
        <v>45</v>
      </c>
      <c r="C868" s="57" t="s">
        <v>26</v>
      </c>
      <c r="D868" s="58" t="s">
        <v>24</v>
      </c>
      <c r="E868" s="62">
        <v>1.0009999999999996E-2</v>
      </c>
      <c r="F868" s="65">
        <f t="shared" si="394"/>
        <v>-4.6041706856550082</v>
      </c>
      <c r="S868" s="40">
        <f t="shared" si="367"/>
        <v>0</v>
      </c>
      <c r="T868" s="40">
        <f t="shared" si="368"/>
        <v>0</v>
      </c>
      <c r="U868" s="40">
        <f t="shared" si="369"/>
        <v>0</v>
      </c>
      <c r="V868" s="40">
        <f t="shared" si="370"/>
        <v>1</v>
      </c>
      <c r="W868" s="40">
        <f t="shared" si="371"/>
        <v>0</v>
      </c>
      <c r="X868" s="40">
        <f t="shared" si="372"/>
        <v>0</v>
      </c>
      <c r="Y868" s="40">
        <f t="shared" si="373"/>
        <v>0</v>
      </c>
      <c r="Z868" s="40">
        <f t="shared" si="374"/>
        <v>0</v>
      </c>
      <c r="AA868" s="40">
        <f t="shared" si="375"/>
        <v>0</v>
      </c>
      <c r="AB868" s="40">
        <f t="shared" si="376"/>
        <v>0</v>
      </c>
      <c r="AC868" s="40">
        <f t="shared" si="377"/>
        <v>0</v>
      </c>
      <c r="AD868" s="40">
        <f t="shared" si="378"/>
        <v>0</v>
      </c>
      <c r="AE868" s="40">
        <f t="shared" si="379"/>
        <v>0</v>
      </c>
      <c r="AF868" s="40">
        <f t="shared" si="380"/>
        <v>1</v>
      </c>
      <c r="AG868" s="40">
        <f t="shared" si="381"/>
        <v>0</v>
      </c>
      <c r="AH868" s="40">
        <f t="shared" si="382"/>
        <v>0</v>
      </c>
      <c r="AI868" s="40">
        <f t="shared" si="383"/>
        <v>1</v>
      </c>
      <c r="AJ868" s="40">
        <f t="shared" si="384"/>
        <v>0</v>
      </c>
      <c r="AK868" s="40">
        <f t="shared" si="385"/>
        <v>0</v>
      </c>
      <c r="AL868" s="40">
        <f t="shared" si="386"/>
        <v>0</v>
      </c>
      <c r="AM868" s="40">
        <f t="shared" si="387"/>
        <v>0</v>
      </c>
      <c r="AN868" s="40">
        <f t="shared" si="388"/>
        <v>0</v>
      </c>
      <c r="AO868" s="40">
        <f t="shared" si="389"/>
        <v>0</v>
      </c>
      <c r="AP868" s="40">
        <f t="shared" si="390"/>
        <v>0</v>
      </c>
      <c r="AQ868" s="40">
        <f t="shared" si="391"/>
        <v>0</v>
      </c>
      <c r="AR868" s="40">
        <f t="shared" si="392"/>
        <v>0</v>
      </c>
      <c r="AS868" s="40">
        <f t="shared" si="393"/>
        <v>0</v>
      </c>
    </row>
    <row r="869" spans="2:45" ht="14.4" customHeight="1" x14ac:dyDescent="0.25">
      <c r="B869" s="56" t="s">
        <v>45</v>
      </c>
      <c r="C869" s="57" t="s">
        <v>26</v>
      </c>
      <c r="D869" s="58" t="s">
        <v>28</v>
      </c>
      <c r="E869" s="62">
        <v>1.3109999999999998E-2</v>
      </c>
      <c r="F869" s="65">
        <f t="shared" si="394"/>
        <v>-4.3343799812065287</v>
      </c>
      <c r="S869" s="40">
        <f t="shared" si="367"/>
        <v>0</v>
      </c>
      <c r="T869" s="40">
        <f t="shared" si="368"/>
        <v>0</v>
      </c>
      <c r="U869" s="40">
        <f t="shared" si="369"/>
        <v>0</v>
      </c>
      <c r="V869" s="40">
        <f t="shared" si="370"/>
        <v>1</v>
      </c>
      <c r="W869" s="40">
        <f t="shared" si="371"/>
        <v>0</v>
      </c>
      <c r="X869" s="40">
        <f t="shared" si="372"/>
        <v>0</v>
      </c>
      <c r="Y869" s="40">
        <f t="shared" si="373"/>
        <v>0</v>
      </c>
      <c r="Z869" s="40">
        <f t="shared" si="374"/>
        <v>0</v>
      </c>
      <c r="AA869" s="40">
        <f t="shared" si="375"/>
        <v>0</v>
      </c>
      <c r="AB869" s="40">
        <f t="shared" si="376"/>
        <v>1</v>
      </c>
      <c r="AC869" s="40">
        <f t="shared" si="377"/>
        <v>0</v>
      </c>
      <c r="AD869" s="40">
        <f t="shared" si="378"/>
        <v>0</v>
      </c>
      <c r="AE869" s="40">
        <f t="shared" si="379"/>
        <v>0</v>
      </c>
      <c r="AF869" s="40">
        <f t="shared" si="380"/>
        <v>0</v>
      </c>
      <c r="AG869" s="40">
        <f t="shared" si="381"/>
        <v>0</v>
      </c>
      <c r="AH869" s="40">
        <f t="shared" si="382"/>
        <v>1</v>
      </c>
      <c r="AI869" s="40">
        <f t="shared" si="383"/>
        <v>0</v>
      </c>
      <c r="AJ869" s="40">
        <f t="shared" si="384"/>
        <v>0</v>
      </c>
      <c r="AK869" s="40">
        <f t="shared" si="385"/>
        <v>0</v>
      </c>
      <c r="AL869" s="40">
        <f t="shared" si="386"/>
        <v>0</v>
      </c>
      <c r="AM869" s="40">
        <f t="shared" si="387"/>
        <v>0</v>
      </c>
      <c r="AN869" s="40">
        <f t="shared" si="388"/>
        <v>0</v>
      </c>
      <c r="AO869" s="40">
        <f t="shared" si="389"/>
        <v>0</v>
      </c>
      <c r="AP869" s="40">
        <f t="shared" si="390"/>
        <v>0</v>
      </c>
      <c r="AQ869" s="40">
        <f t="shared" si="391"/>
        <v>0</v>
      </c>
      <c r="AR869" s="40">
        <f t="shared" si="392"/>
        <v>0</v>
      </c>
      <c r="AS869" s="40">
        <f t="shared" si="393"/>
        <v>0</v>
      </c>
    </row>
    <row r="870" spans="2:45" ht="14.4" customHeight="1" x14ac:dyDescent="0.25">
      <c r="B870" s="56" t="s">
        <v>45</v>
      </c>
      <c r="C870" s="57" t="s">
        <v>25</v>
      </c>
      <c r="D870" s="58" t="s">
        <v>27</v>
      </c>
      <c r="E870" s="62">
        <v>6.3300000000000014E-3</v>
      </c>
      <c r="F870" s="65">
        <f t="shared" si="394"/>
        <v>-5.062455042826052</v>
      </c>
      <c r="S870" s="40">
        <f t="shared" si="367"/>
        <v>0</v>
      </c>
      <c r="T870" s="40">
        <f t="shared" si="368"/>
        <v>0</v>
      </c>
      <c r="U870" s="40">
        <f t="shared" si="369"/>
        <v>0</v>
      </c>
      <c r="V870" s="40">
        <f t="shared" si="370"/>
        <v>1</v>
      </c>
      <c r="W870" s="40">
        <f t="shared" si="371"/>
        <v>0</v>
      </c>
      <c r="X870" s="40">
        <f t="shared" si="372"/>
        <v>0</v>
      </c>
      <c r="Y870" s="40">
        <f t="shared" si="373"/>
        <v>0</v>
      </c>
      <c r="Z870" s="40">
        <f t="shared" si="374"/>
        <v>0</v>
      </c>
      <c r="AA870" s="40">
        <f t="shared" si="375"/>
        <v>0</v>
      </c>
      <c r="AB870" s="40">
        <f t="shared" si="376"/>
        <v>0</v>
      </c>
      <c r="AC870" s="40">
        <f t="shared" si="377"/>
        <v>1</v>
      </c>
      <c r="AD870" s="40">
        <f t="shared" si="378"/>
        <v>0</v>
      </c>
      <c r="AE870" s="40">
        <f t="shared" si="379"/>
        <v>0</v>
      </c>
      <c r="AF870" s="40">
        <f t="shared" si="380"/>
        <v>0</v>
      </c>
      <c r="AG870" s="40">
        <f t="shared" si="381"/>
        <v>0</v>
      </c>
      <c r="AH870" s="40">
        <f t="shared" si="382"/>
        <v>0</v>
      </c>
      <c r="AI870" s="40">
        <f t="shared" si="383"/>
        <v>1</v>
      </c>
      <c r="AJ870" s="40">
        <f t="shared" si="384"/>
        <v>0</v>
      </c>
      <c r="AK870" s="40">
        <f t="shared" si="385"/>
        <v>0</v>
      </c>
      <c r="AL870" s="40">
        <f t="shared" si="386"/>
        <v>0</v>
      </c>
      <c r="AM870" s="40">
        <f t="shared" si="387"/>
        <v>0</v>
      </c>
      <c r="AN870" s="40">
        <f t="shared" si="388"/>
        <v>0</v>
      </c>
      <c r="AO870" s="40">
        <f t="shared" si="389"/>
        <v>0</v>
      </c>
      <c r="AP870" s="40">
        <f t="shared" si="390"/>
        <v>0</v>
      </c>
      <c r="AQ870" s="40">
        <f t="shared" si="391"/>
        <v>0</v>
      </c>
      <c r="AR870" s="40">
        <f t="shared" si="392"/>
        <v>0</v>
      </c>
      <c r="AS870" s="40">
        <f t="shared" si="393"/>
        <v>0</v>
      </c>
    </row>
    <row r="871" spans="2:45" ht="14.4" customHeight="1" x14ac:dyDescent="0.25">
      <c r="B871" s="56" t="s">
        <v>45</v>
      </c>
      <c r="C871" s="57" t="s">
        <v>23</v>
      </c>
      <c r="D871" s="58" t="s">
        <v>28</v>
      </c>
      <c r="E871" s="62">
        <v>3.1000000000000003E-3</v>
      </c>
      <c r="F871" s="65">
        <f t="shared" si="394"/>
        <v>-5.7763531674910364</v>
      </c>
      <c r="S871" s="40">
        <f t="shared" si="367"/>
        <v>0</v>
      </c>
      <c r="T871" s="40">
        <f t="shared" si="368"/>
        <v>0</v>
      </c>
      <c r="U871" s="40">
        <f t="shared" si="369"/>
        <v>0</v>
      </c>
      <c r="V871" s="40">
        <f t="shared" si="370"/>
        <v>1</v>
      </c>
      <c r="W871" s="40">
        <f t="shared" si="371"/>
        <v>0</v>
      </c>
      <c r="X871" s="40">
        <f t="shared" si="372"/>
        <v>0</v>
      </c>
      <c r="Y871" s="40">
        <f t="shared" si="373"/>
        <v>0</v>
      </c>
      <c r="Z871" s="40">
        <f t="shared" si="374"/>
        <v>0</v>
      </c>
      <c r="AA871" s="40">
        <f t="shared" si="375"/>
        <v>0</v>
      </c>
      <c r="AB871" s="40">
        <f t="shared" si="376"/>
        <v>0</v>
      </c>
      <c r="AC871" s="40">
        <f t="shared" si="377"/>
        <v>0</v>
      </c>
      <c r="AD871" s="40">
        <f t="shared" si="378"/>
        <v>0</v>
      </c>
      <c r="AE871" s="40">
        <f t="shared" si="379"/>
        <v>0</v>
      </c>
      <c r="AF871" s="40">
        <f t="shared" si="380"/>
        <v>1</v>
      </c>
      <c r="AG871" s="40">
        <f t="shared" si="381"/>
        <v>0</v>
      </c>
      <c r="AH871" s="40">
        <f t="shared" si="382"/>
        <v>0</v>
      </c>
      <c r="AI871" s="40">
        <f t="shared" si="383"/>
        <v>0</v>
      </c>
      <c r="AJ871" s="40">
        <f t="shared" si="384"/>
        <v>0</v>
      </c>
      <c r="AK871" s="40">
        <f t="shared" si="385"/>
        <v>0</v>
      </c>
      <c r="AL871" s="40">
        <f t="shared" si="386"/>
        <v>0</v>
      </c>
      <c r="AM871" s="40">
        <f t="shared" si="387"/>
        <v>0</v>
      </c>
      <c r="AN871" s="40">
        <f t="shared" si="388"/>
        <v>0</v>
      </c>
      <c r="AO871" s="40">
        <f t="shared" si="389"/>
        <v>0</v>
      </c>
      <c r="AP871" s="40">
        <f t="shared" si="390"/>
        <v>0</v>
      </c>
      <c r="AQ871" s="40">
        <f t="shared" si="391"/>
        <v>0</v>
      </c>
      <c r="AR871" s="40">
        <f t="shared" si="392"/>
        <v>0</v>
      </c>
      <c r="AS871" s="40">
        <f t="shared" si="393"/>
        <v>1</v>
      </c>
    </row>
    <row r="872" spans="2:45" ht="14.4" customHeight="1" x14ac:dyDescent="0.25">
      <c r="B872" s="56" t="s">
        <v>45</v>
      </c>
      <c r="C872" s="57" t="s">
        <v>26</v>
      </c>
      <c r="D872" s="58" t="s">
        <v>22</v>
      </c>
      <c r="E872" s="62">
        <v>9.7899999999999966E-3</v>
      </c>
      <c r="F872" s="65">
        <f t="shared" si="394"/>
        <v>-4.6263938224397183</v>
      </c>
      <c r="S872" s="40">
        <f t="shared" si="367"/>
        <v>0</v>
      </c>
      <c r="T872" s="40">
        <f t="shared" si="368"/>
        <v>0</v>
      </c>
      <c r="U872" s="40">
        <f t="shared" si="369"/>
        <v>0</v>
      </c>
      <c r="V872" s="40">
        <f t="shared" si="370"/>
        <v>1</v>
      </c>
      <c r="W872" s="40">
        <f t="shared" si="371"/>
        <v>0</v>
      </c>
      <c r="X872" s="40">
        <f t="shared" si="372"/>
        <v>0</v>
      </c>
      <c r="Y872" s="40">
        <f t="shared" si="373"/>
        <v>0</v>
      </c>
      <c r="Z872" s="40">
        <f t="shared" si="374"/>
        <v>0</v>
      </c>
      <c r="AA872" s="40">
        <f t="shared" si="375"/>
        <v>0</v>
      </c>
      <c r="AB872" s="40">
        <f t="shared" si="376"/>
        <v>0</v>
      </c>
      <c r="AC872" s="40">
        <f t="shared" si="377"/>
        <v>0</v>
      </c>
      <c r="AD872" s="40">
        <f t="shared" si="378"/>
        <v>0</v>
      </c>
      <c r="AE872" s="40">
        <f t="shared" si="379"/>
        <v>0</v>
      </c>
      <c r="AF872" s="40">
        <f t="shared" si="380"/>
        <v>1</v>
      </c>
      <c r="AG872" s="40">
        <f t="shared" si="381"/>
        <v>0</v>
      </c>
      <c r="AH872" s="40">
        <f t="shared" si="382"/>
        <v>0</v>
      </c>
      <c r="AI872" s="40">
        <f t="shared" si="383"/>
        <v>0</v>
      </c>
      <c r="AJ872" s="40">
        <f t="shared" si="384"/>
        <v>0</v>
      </c>
      <c r="AK872" s="40">
        <f t="shared" si="385"/>
        <v>0</v>
      </c>
      <c r="AL872" s="40">
        <f t="shared" si="386"/>
        <v>0</v>
      </c>
      <c r="AM872" s="40">
        <f t="shared" si="387"/>
        <v>0</v>
      </c>
      <c r="AN872" s="40">
        <f t="shared" si="388"/>
        <v>0</v>
      </c>
      <c r="AO872" s="40">
        <f t="shared" si="389"/>
        <v>0</v>
      </c>
      <c r="AP872" s="40">
        <f t="shared" si="390"/>
        <v>0</v>
      </c>
      <c r="AQ872" s="40">
        <f t="shared" si="391"/>
        <v>0</v>
      </c>
      <c r="AR872" s="40">
        <f t="shared" si="392"/>
        <v>0</v>
      </c>
      <c r="AS872" s="40">
        <f t="shared" si="393"/>
        <v>1</v>
      </c>
    </row>
    <row r="873" spans="2:45" ht="14.4" customHeight="1" x14ac:dyDescent="0.25">
      <c r="B873" s="56" t="s">
        <v>45</v>
      </c>
      <c r="C873" s="57" t="s">
        <v>26</v>
      </c>
      <c r="D873" s="58" t="s">
        <v>22</v>
      </c>
      <c r="E873" s="62">
        <v>4.9300000000000021E-3</v>
      </c>
      <c r="F873" s="65">
        <f t="shared" si="394"/>
        <v>-5.3124162909275379</v>
      </c>
      <c r="S873" s="40">
        <f t="shared" si="367"/>
        <v>0</v>
      </c>
      <c r="T873" s="40">
        <f t="shared" si="368"/>
        <v>0</v>
      </c>
      <c r="U873" s="40">
        <f t="shared" si="369"/>
        <v>0</v>
      </c>
      <c r="V873" s="40">
        <f t="shared" si="370"/>
        <v>1</v>
      </c>
      <c r="W873" s="40">
        <f t="shared" si="371"/>
        <v>0</v>
      </c>
      <c r="X873" s="40">
        <f t="shared" si="372"/>
        <v>0</v>
      </c>
      <c r="Y873" s="40">
        <f t="shared" si="373"/>
        <v>0</v>
      </c>
      <c r="Z873" s="40">
        <f t="shared" si="374"/>
        <v>0</v>
      </c>
      <c r="AA873" s="40">
        <f t="shared" si="375"/>
        <v>0</v>
      </c>
      <c r="AB873" s="40">
        <f t="shared" si="376"/>
        <v>0</v>
      </c>
      <c r="AC873" s="40">
        <f t="shared" si="377"/>
        <v>0</v>
      </c>
      <c r="AD873" s="40">
        <f t="shared" si="378"/>
        <v>0</v>
      </c>
      <c r="AE873" s="40">
        <f t="shared" si="379"/>
        <v>0</v>
      </c>
      <c r="AF873" s="40">
        <f t="shared" si="380"/>
        <v>1</v>
      </c>
      <c r="AG873" s="40">
        <f t="shared" si="381"/>
        <v>0</v>
      </c>
      <c r="AH873" s="40">
        <f t="shared" si="382"/>
        <v>0</v>
      </c>
      <c r="AI873" s="40">
        <f t="shared" si="383"/>
        <v>0</v>
      </c>
      <c r="AJ873" s="40">
        <f t="shared" si="384"/>
        <v>0</v>
      </c>
      <c r="AK873" s="40">
        <f t="shared" si="385"/>
        <v>1</v>
      </c>
      <c r="AL873" s="40">
        <f t="shared" si="386"/>
        <v>0</v>
      </c>
      <c r="AM873" s="40">
        <f t="shared" si="387"/>
        <v>0</v>
      </c>
      <c r="AN873" s="40">
        <f t="shared" si="388"/>
        <v>0</v>
      </c>
      <c r="AO873" s="40">
        <f t="shared" si="389"/>
        <v>0</v>
      </c>
      <c r="AP873" s="40">
        <f t="shared" si="390"/>
        <v>0</v>
      </c>
      <c r="AQ873" s="40">
        <f t="shared" si="391"/>
        <v>0</v>
      </c>
      <c r="AR873" s="40">
        <f t="shared" si="392"/>
        <v>0</v>
      </c>
      <c r="AS873" s="40">
        <f t="shared" si="393"/>
        <v>0</v>
      </c>
    </row>
    <row r="874" spans="2:45" ht="14.4" customHeight="1" x14ac:dyDescent="0.25">
      <c r="B874" s="56" t="s">
        <v>45</v>
      </c>
      <c r="C874" s="57" t="s">
        <v>26</v>
      </c>
      <c r="D874" s="58" t="s">
        <v>32</v>
      </c>
      <c r="E874" s="62">
        <v>6.729999999999999E-3</v>
      </c>
      <c r="F874" s="65">
        <f t="shared" si="394"/>
        <v>-5.0011801353255008</v>
      </c>
      <c r="S874" s="40">
        <f t="shared" si="367"/>
        <v>0</v>
      </c>
      <c r="T874" s="40">
        <f t="shared" si="368"/>
        <v>0</v>
      </c>
      <c r="U874" s="40">
        <f t="shared" si="369"/>
        <v>0</v>
      </c>
      <c r="V874" s="40">
        <f t="shared" si="370"/>
        <v>1</v>
      </c>
      <c r="W874" s="40">
        <f t="shared" si="371"/>
        <v>0</v>
      </c>
      <c r="X874" s="40">
        <f t="shared" si="372"/>
        <v>0</v>
      </c>
      <c r="Y874" s="40">
        <f t="shared" si="373"/>
        <v>0</v>
      </c>
      <c r="Z874" s="40">
        <f t="shared" si="374"/>
        <v>0</v>
      </c>
      <c r="AA874" s="40">
        <f t="shared" si="375"/>
        <v>0</v>
      </c>
      <c r="AB874" s="40">
        <f t="shared" si="376"/>
        <v>1</v>
      </c>
      <c r="AC874" s="40">
        <f t="shared" si="377"/>
        <v>0</v>
      </c>
      <c r="AD874" s="40">
        <f t="shared" si="378"/>
        <v>0</v>
      </c>
      <c r="AE874" s="40">
        <f t="shared" si="379"/>
        <v>0</v>
      </c>
      <c r="AF874" s="40">
        <f t="shared" si="380"/>
        <v>0</v>
      </c>
      <c r="AG874" s="40">
        <f t="shared" si="381"/>
        <v>0</v>
      </c>
      <c r="AH874" s="40">
        <f t="shared" si="382"/>
        <v>0</v>
      </c>
      <c r="AI874" s="40">
        <f t="shared" si="383"/>
        <v>0</v>
      </c>
      <c r="AJ874" s="40">
        <f t="shared" si="384"/>
        <v>0</v>
      </c>
      <c r="AK874" s="40">
        <f t="shared" si="385"/>
        <v>0</v>
      </c>
      <c r="AL874" s="40">
        <f t="shared" si="386"/>
        <v>0</v>
      </c>
      <c r="AM874" s="40">
        <f t="shared" si="387"/>
        <v>0</v>
      </c>
      <c r="AN874" s="40">
        <f t="shared" si="388"/>
        <v>0</v>
      </c>
      <c r="AO874" s="40">
        <f t="shared" si="389"/>
        <v>0</v>
      </c>
      <c r="AP874" s="40">
        <f t="shared" si="390"/>
        <v>0</v>
      </c>
      <c r="AQ874" s="40">
        <f t="shared" si="391"/>
        <v>1</v>
      </c>
      <c r="AR874" s="40">
        <f t="shared" si="392"/>
        <v>0</v>
      </c>
      <c r="AS874" s="40">
        <f t="shared" si="393"/>
        <v>0</v>
      </c>
    </row>
    <row r="875" spans="2:45" ht="14.4" customHeight="1" x14ac:dyDescent="0.25">
      <c r="B875" s="56" t="s">
        <v>45</v>
      </c>
      <c r="C875" s="57" t="s">
        <v>25</v>
      </c>
      <c r="D875" s="58" t="s">
        <v>30</v>
      </c>
      <c r="E875" s="62">
        <v>5.6899999999999989E-3</v>
      </c>
      <c r="F875" s="65">
        <f t="shared" si="394"/>
        <v>-5.1690450308438978</v>
      </c>
      <c r="S875" s="40">
        <f t="shared" si="367"/>
        <v>0</v>
      </c>
      <c r="T875" s="40">
        <f t="shared" si="368"/>
        <v>0</v>
      </c>
      <c r="U875" s="40">
        <f t="shared" si="369"/>
        <v>0</v>
      </c>
      <c r="V875" s="40">
        <f t="shared" si="370"/>
        <v>1</v>
      </c>
      <c r="W875" s="40">
        <f t="shared" si="371"/>
        <v>0</v>
      </c>
      <c r="X875" s="40">
        <f t="shared" si="372"/>
        <v>0</v>
      </c>
      <c r="Y875" s="40">
        <f t="shared" si="373"/>
        <v>0</v>
      </c>
      <c r="Z875" s="40">
        <f t="shared" si="374"/>
        <v>0</v>
      </c>
      <c r="AA875" s="40">
        <f t="shared" si="375"/>
        <v>0</v>
      </c>
      <c r="AB875" s="40">
        <f t="shared" si="376"/>
        <v>1</v>
      </c>
      <c r="AC875" s="40">
        <f t="shared" si="377"/>
        <v>0</v>
      </c>
      <c r="AD875" s="40">
        <f t="shared" si="378"/>
        <v>0</v>
      </c>
      <c r="AE875" s="40">
        <f t="shared" si="379"/>
        <v>0</v>
      </c>
      <c r="AF875" s="40">
        <f t="shared" si="380"/>
        <v>0</v>
      </c>
      <c r="AG875" s="40">
        <f t="shared" si="381"/>
        <v>0</v>
      </c>
      <c r="AH875" s="40">
        <f t="shared" si="382"/>
        <v>1</v>
      </c>
      <c r="AI875" s="40">
        <f t="shared" si="383"/>
        <v>0</v>
      </c>
      <c r="AJ875" s="40">
        <f t="shared" si="384"/>
        <v>0</v>
      </c>
      <c r="AK875" s="40">
        <f t="shared" si="385"/>
        <v>0</v>
      </c>
      <c r="AL875" s="40">
        <f t="shared" si="386"/>
        <v>0</v>
      </c>
      <c r="AM875" s="40">
        <f t="shared" si="387"/>
        <v>0</v>
      </c>
      <c r="AN875" s="40">
        <f t="shared" si="388"/>
        <v>0</v>
      </c>
      <c r="AO875" s="40">
        <f t="shared" si="389"/>
        <v>0</v>
      </c>
      <c r="AP875" s="40">
        <f t="shared" si="390"/>
        <v>0</v>
      </c>
      <c r="AQ875" s="40">
        <f t="shared" si="391"/>
        <v>0</v>
      </c>
      <c r="AR875" s="40">
        <f t="shared" si="392"/>
        <v>0</v>
      </c>
      <c r="AS875" s="40">
        <f t="shared" si="393"/>
        <v>0</v>
      </c>
    </row>
    <row r="876" spans="2:45" ht="14.4" customHeight="1" x14ac:dyDescent="0.25">
      <c r="B876" s="56" t="s">
        <v>45</v>
      </c>
      <c r="C876" s="57" t="s">
        <v>25</v>
      </c>
      <c r="D876" s="58" t="s">
        <v>27</v>
      </c>
      <c r="E876" s="62">
        <v>7.4800000000000014E-3</v>
      </c>
      <c r="F876" s="65">
        <f t="shared" si="394"/>
        <v>-4.895522486995751</v>
      </c>
      <c r="S876" s="40">
        <f t="shared" si="367"/>
        <v>0</v>
      </c>
      <c r="T876" s="40">
        <f t="shared" si="368"/>
        <v>0</v>
      </c>
      <c r="U876" s="40">
        <f t="shared" si="369"/>
        <v>0</v>
      </c>
      <c r="V876" s="40">
        <f t="shared" si="370"/>
        <v>1</v>
      </c>
      <c r="W876" s="40">
        <f t="shared" si="371"/>
        <v>0</v>
      </c>
      <c r="X876" s="40">
        <f t="shared" si="372"/>
        <v>0</v>
      </c>
      <c r="Y876" s="40">
        <f t="shared" si="373"/>
        <v>0</v>
      </c>
      <c r="Z876" s="40">
        <f t="shared" si="374"/>
        <v>0</v>
      </c>
      <c r="AA876" s="40">
        <f t="shared" si="375"/>
        <v>0</v>
      </c>
      <c r="AB876" s="40">
        <f t="shared" si="376"/>
        <v>0</v>
      </c>
      <c r="AC876" s="40">
        <f t="shared" si="377"/>
        <v>1</v>
      </c>
      <c r="AD876" s="40">
        <f t="shared" si="378"/>
        <v>0</v>
      </c>
      <c r="AE876" s="40">
        <f t="shared" si="379"/>
        <v>0</v>
      </c>
      <c r="AF876" s="40">
        <f t="shared" si="380"/>
        <v>0</v>
      </c>
      <c r="AG876" s="40">
        <f t="shared" si="381"/>
        <v>0</v>
      </c>
      <c r="AH876" s="40">
        <f t="shared" si="382"/>
        <v>1</v>
      </c>
      <c r="AI876" s="40">
        <f t="shared" si="383"/>
        <v>0</v>
      </c>
      <c r="AJ876" s="40">
        <f t="shared" si="384"/>
        <v>0</v>
      </c>
      <c r="AK876" s="40">
        <f t="shared" si="385"/>
        <v>0</v>
      </c>
      <c r="AL876" s="40">
        <f t="shared" si="386"/>
        <v>0</v>
      </c>
      <c r="AM876" s="40">
        <f t="shared" si="387"/>
        <v>0</v>
      </c>
      <c r="AN876" s="40">
        <f t="shared" si="388"/>
        <v>0</v>
      </c>
      <c r="AO876" s="40">
        <f t="shared" si="389"/>
        <v>0</v>
      </c>
      <c r="AP876" s="40">
        <f t="shared" si="390"/>
        <v>0</v>
      </c>
      <c r="AQ876" s="40">
        <f t="shared" si="391"/>
        <v>0</v>
      </c>
      <c r="AR876" s="40">
        <f t="shared" si="392"/>
        <v>0</v>
      </c>
      <c r="AS876" s="40">
        <f t="shared" si="393"/>
        <v>0</v>
      </c>
    </row>
    <row r="877" spans="2:45" ht="14.4" customHeight="1" x14ac:dyDescent="0.25">
      <c r="B877" s="56" t="s">
        <v>45</v>
      </c>
      <c r="C877" s="57" t="s">
        <v>23</v>
      </c>
      <c r="D877" s="58" t="s">
        <v>27</v>
      </c>
      <c r="E877" s="62">
        <v>2.7899999999999986E-3</v>
      </c>
      <c r="F877" s="65">
        <f t="shared" si="394"/>
        <v>-5.8817136831488632</v>
      </c>
      <c r="S877" s="40">
        <f t="shared" si="367"/>
        <v>0</v>
      </c>
      <c r="T877" s="40">
        <f t="shared" si="368"/>
        <v>0</v>
      </c>
      <c r="U877" s="40">
        <f t="shared" si="369"/>
        <v>0</v>
      </c>
      <c r="V877" s="40">
        <f t="shared" si="370"/>
        <v>1</v>
      </c>
      <c r="W877" s="40">
        <f t="shared" si="371"/>
        <v>0</v>
      </c>
      <c r="X877" s="40">
        <f t="shared" si="372"/>
        <v>0</v>
      </c>
      <c r="Y877" s="40">
        <f t="shared" si="373"/>
        <v>0</v>
      </c>
      <c r="Z877" s="40">
        <f t="shared" si="374"/>
        <v>0</v>
      </c>
      <c r="AA877" s="40">
        <f t="shared" si="375"/>
        <v>0</v>
      </c>
      <c r="AB877" s="40">
        <f t="shared" si="376"/>
        <v>0</v>
      </c>
      <c r="AC877" s="40">
        <f t="shared" si="377"/>
        <v>1</v>
      </c>
      <c r="AD877" s="40">
        <f t="shared" si="378"/>
        <v>0</v>
      </c>
      <c r="AE877" s="40">
        <f t="shared" si="379"/>
        <v>0</v>
      </c>
      <c r="AF877" s="40">
        <f t="shared" si="380"/>
        <v>0</v>
      </c>
      <c r="AG877" s="40">
        <f t="shared" si="381"/>
        <v>0</v>
      </c>
      <c r="AH877" s="40">
        <f t="shared" si="382"/>
        <v>0</v>
      </c>
      <c r="AI877" s="40">
        <f t="shared" si="383"/>
        <v>0</v>
      </c>
      <c r="AJ877" s="40">
        <f t="shared" si="384"/>
        <v>0</v>
      </c>
      <c r="AK877" s="40">
        <f t="shared" si="385"/>
        <v>0</v>
      </c>
      <c r="AL877" s="40">
        <f t="shared" si="386"/>
        <v>0</v>
      </c>
      <c r="AM877" s="40">
        <f t="shared" si="387"/>
        <v>0</v>
      </c>
      <c r="AN877" s="40">
        <f t="shared" si="388"/>
        <v>0</v>
      </c>
      <c r="AO877" s="40">
        <f t="shared" si="389"/>
        <v>1</v>
      </c>
      <c r="AP877" s="40">
        <f t="shared" si="390"/>
        <v>0</v>
      </c>
      <c r="AQ877" s="40">
        <f t="shared" si="391"/>
        <v>0</v>
      </c>
      <c r="AR877" s="40">
        <f t="shared" si="392"/>
        <v>0</v>
      </c>
      <c r="AS877" s="40">
        <f t="shared" si="393"/>
        <v>0</v>
      </c>
    </row>
    <row r="878" spans="2:45" ht="14.4" customHeight="1" x14ac:dyDescent="0.25">
      <c r="B878" s="56" t="s">
        <v>45</v>
      </c>
      <c r="C878" s="57" t="s">
        <v>23</v>
      </c>
      <c r="D878" s="58" t="s">
        <v>31</v>
      </c>
      <c r="E878" s="62">
        <v>3.0500000000000002E-3</v>
      </c>
      <c r="F878" s="65">
        <f t="shared" si="394"/>
        <v>-5.7926136883628168</v>
      </c>
      <c r="S878" s="40">
        <f t="shared" si="367"/>
        <v>0</v>
      </c>
      <c r="T878" s="40">
        <f t="shared" si="368"/>
        <v>0</v>
      </c>
      <c r="U878" s="40">
        <f t="shared" si="369"/>
        <v>0</v>
      </c>
      <c r="V878" s="40">
        <f t="shared" si="370"/>
        <v>1</v>
      </c>
      <c r="W878" s="40">
        <f t="shared" si="371"/>
        <v>0</v>
      </c>
      <c r="X878" s="40">
        <f t="shared" si="372"/>
        <v>0</v>
      </c>
      <c r="Y878" s="40">
        <f t="shared" si="373"/>
        <v>0</v>
      </c>
      <c r="Z878" s="40">
        <f t="shared" si="374"/>
        <v>0</v>
      </c>
      <c r="AA878" s="40">
        <f t="shared" si="375"/>
        <v>0</v>
      </c>
      <c r="AB878" s="40">
        <f t="shared" si="376"/>
        <v>0</v>
      </c>
      <c r="AC878" s="40">
        <f t="shared" si="377"/>
        <v>0</v>
      </c>
      <c r="AD878" s="40">
        <f t="shared" si="378"/>
        <v>0</v>
      </c>
      <c r="AE878" s="40">
        <f t="shared" si="379"/>
        <v>0</v>
      </c>
      <c r="AF878" s="40">
        <f t="shared" si="380"/>
        <v>1</v>
      </c>
      <c r="AG878" s="40">
        <f t="shared" si="381"/>
        <v>0</v>
      </c>
      <c r="AH878" s="40">
        <f t="shared" si="382"/>
        <v>0</v>
      </c>
      <c r="AI878" s="40">
        <f t="shared" si="383"/>
        <v>0</v>
      </c>
      <c r="AJ878" s="40">
        <f t="shared" si="384"/>
        <v>0</v>
      </c>
      <c r="AK878" s="40">
        <f t="shared" si="385"/>
        <v>1</v>
      </c>
      <c r="AL878" s="40">
        <f t="shared" si="386"/>
        <v>0</v>
      </c>
      <c r="AM878" s="40">
        <f t="shared" si="387"/>
        <v>0</v>
      </c>
      <c r="AN878" s="40">
        <f t="shared" si="388"/>
        <v>0</v>
      </c>
      <c r="AO878" s="40">
        <f t="shared" si="389"/>
        <v>0</v>
      </c>
      <c r="AP878" s="40">
        <f t="shared" si="390"/>
        <v>0</v>
      </c>
      <c r="AQ878" s="40">
        <f t="shared" si="391"/>
        <v>0</v>
      </c>
      <c r="AR878" s="40">
        <f t="shared" si="392"/>
        <v>0</v>
      </c>
      <c r="AS878" s="40">
        <f t="shared" si="393"/>
        <v>0</v>
      </c>
    </row>
    <row r="879" spans="2:45" ht="14.4" customHeight="1" x14ac:dyDescent="0.25">
      <c r="B879" s="56" t="s">
        <v>45</v>
      </c>
      <c r="C879" s="57" t="s">
        <v>26</v>
      </c>
      <c r="D879" s="58" t="s">
        <v>32</v>
      </c>
      <c r="E879" s="62">
        <v>6.5399999999999998E-3</v>
      </c>
      <c r="F879" s="65">
        <f t="shared" si="394"/>
        <v>-5.0298181135130298</v>
      </c>
      <c r="S879" s="40">
        <f t="shared" si="367"/>
        <v>0</v>
      </c>
      <c r="T879" s="40">
        <f t="shared" si="368"/>
        <v>0</v>
      </c>
      <c r="U879" s="40">
        <f t="shared" si="369"/>
        <v>0</v>
      </c>
      <c r="V879" s="40">
        <f t="shared" si="370"/>
        <v>1</v>
      </c>
      <c r="W879" s="40">
        <f t="shared" si="371"/>
        <v>0</v>
      </c>
      <c r="X879" s="40">
        <f t="shared" si="372"/>
        <v>0</v>
      </c>
      <c r="Y879" s="40">
        <f t="shared" si="373"/>
        <v>0</v>
      </c>
      <c r="Z879" s="40">
        <f t="shared" si="374"/>
        <v>0</v>
      </c>
      <c r="AA879" s="40">
        <f t="shared" si="375"/>
        <v>0</v>
      </c>
      <c r="AB879" s="40">
        <f t="shared" si="376"/>
        <v>0</v>
      </c>
      <c r="AC879" s="40">
        <f t="shared" si="377"/>
        <v>0</v>
      </c>
      <c r="AD879" s="40">
        <f t="shared" si="378"/>
        <v>0</v>
      </c>
      <c r="AE879" s="40">
        <f t="shared" si="379"/>
        <v>0</v>
      </c>
      <c r="AF879" s="40">
        <f t="shared" si="380"/>
        <v>1</v>
      </c>
      <c r="AG879" s="40">
        <f t="shared" si="381"/>
        <v>0</v>
      </c>
      <c r="AH879" s="40">
        <f t="shared" si="382"/>
        <v>0</v>
      </c>
      <c r="AI879" s="40">
        <f t="shared" si="383"/>
        <v>0</v>
      </c>
      <c r="AJ879" s="40">
        <f t="shared" si="384"/>
        <v>0</v>
      </c>
      <c r="AK879" s="40">
        <f t="shared" si="385"/>
        <v>1</v>
      </c>
      <c r="AL879" s="40">
        <f t="shared" si="386"/>
        <v>0</v>
      </c>
      <c r="AM879" s="40">
        <f t="shared" si="387"/>
        <v>0</v>
      </c>
      <c r="AN879" s="40">
        <f t="shared" si="388"/>
        <v>0</v>
      </c>
      <c r="AO879" s="40">
        <f t="shared" si="389"/>
        <v>0</v>
      </c>
      <c r="AP879" s="40">
        <f t="shared" si="390"/>
        <v>0</v>
      </c>
      <c r="AQ879" s="40">
        <f t="shared" si="391"/>
        <v>0</v>
      </c>
      <c r="AR879" s="40">
        <f t="shared" si="392"/>
        <v>0</v>
      </c>
      <c r="AS879" s="40">
        <f t="shared" si="393"/>
        <v>0</v>
      </c>
    </row>
    <row r="880" spans="2:45" ht="14.4" customHeight="1" x14ac:dyDescent="0.25">
      <c r="B880" s="56" t="s">
        <v>45</v>
      </c>
      <c r="C880" s="57" t="s">
        <v>26</v>
      </c>
      <c r="D880" s="58" t="s">
        <v>32</v>
      </c>
      <c r="E880" s="62">
        <v>8.1300000000000018E-3</v>
      </c>
      <c r="F880" s="65">
        <f t="shared" si="394"/>
        <v>-4.8121943554224176</v>
      </c>
      <c r="S880" s="40">
        <f t="shared" si="367"/>
        <v>0</v>
      </c>
      <c r="T880" s="40">
        <f t="shared" si="368"/>
        <v>0</v>
      </c>
      <c r="U880" s="40">
        <f t="shared" si="369"/>
        <v>0</v>
      </c>
      <c r="V880" s="40">
        <f t="shared" si="370"/>
        <v>1</v>
      </c>
      <c r="W880" s="40">
        <f t="shared" si="371"/>
        <v>0</v>
      </c>
      <c r="X880" s="40">
        <f t="shared" si="372"/>
        <v>0</v>
      </c>
      <c r="Y880" s="40">
        <f t="shared" si="373"/>
        <v>0</v>
      </c>
      <c r="Z880" s="40">
        <f t="shared" si="374"/>
        <v>0</v>
      </c>
      <c r="AA880" s="40">
        <f t="shared" si="375"/>
        <v>0</v>
      </c>
      <c r="AB880" s="40">
        <f t="shared" si="376"/>
        <v>1</v>
      </c>
      <c r="AC880" s="40">
        <f t="shared" si="377"/>
        <v>0</v>
      </c>
      <c r="AD880" s="40">
        <f t="shared" si="378"/>
        <v>0</v>
      </c>
      <c r="AE880" s="40">
        <f t="shared" si="379"/>
        <v>0</v>
      </c>
      <c r="AF880" s="40">
        <f t="shared" si="380"/>
        <v>0</v>
      </c>
      <c r="AG880" s="40">
        <f t="shared" si="381"/>
        <v>0</v>
      </c>
      <c r="AH880" s="40">
        <f t="shared" si="382"/>
        <v>0</v>
      </c>
      <c r="AI880" s="40">
        <f t="shared" si="383"/>
        <v>1</v>
      </c>
      <c r="AJ880" s="40">
        <f t="shared" si="384"/>
        <v>0</v>
      </c>
      <c r="AK880" s="40">
        <f t="shared" si="385"/>
        <v>0</v>
      </c>
      <c r="AL880" s="40">
        <f t="shared" si="386"/>
        <v>0</v>
      </c>
      <c r="AM880" s="40">
        <f t="shared" si="387"/>
        <v>0</v>
      </c>
      <c r="AN880" s="40">
        <f t="shared" si="388"/>
        <v>0</v>
      </c>
      <c r="AO880" s="40">
        <f t="shared" si="389"/>
        <v>0</v>
      </c>
      <c r="AP880" s="40">
        <f t="shared" si="390"/>
        <v>0</v>
      </c>
      <c r="AQ880" s="40">
        <f t="shared" si="391"/>
        <v>0</v>
      </c>
      <c r="AR880" s="40">
        <f t="shared" si="392"/>
        <v>0</v>
      </c>
      <c r="AS880" s="40">
        <f t="shared" si="393"/>
        <v>0</v>
      </c>
    </row>
    <row r="881" spans="2:45" ht="14.4" customHeight="1" x14ac:dyDescent="0.25">
      <c r="B881" s="56" t="s">
        <v>45</v>
      </c>
      <c r="C881" s="57" t="s">
        <v>25</v>
      </c>
      <c r="D881" s="58" t="s">
        <v>28</v>
      </c>
      <c r="E881" s="62">
        <v>5.9999999999999984E-3</v>
      </c>
      <c r="F881" s="65">
        <f t="shared" si="394"/>
        <v>-5.1159958097540823</v>
      </c>
      <c r="S881" s="40">
        <f t="shared" si="367"/>
        <v>0</v>
      </c>
      <c r="T881" s="40">
        <f t="shared" si="368"/>
        <v>0</v>
      </c>
      <c r="U881" s="40">
        <f t="shared" si="369"/>
        <v>0</v>
      </c>
      <c r="V881" s="40">
        <f t="shared" si="370"/>
        <v>1</v>
      </c>
      <c r="W881" s="40">
        <f t="shared" si="371"/>
        <v>0</v>
      </c>
      <c r="X881" s="40">
        <f t="shared" si="372"/>
        <v>0</v>
      </c>
      <c r="Y881" s="40">
        <f t="shared" si="373"/>
        <v>0</v>
      </c>
      <c r="Z881" s="40">
        <f t="shared" si="374"/>
        <v>0</v>
      </c>
      <c r="AA881" s="40">
        <f t="shared" si="375"/>
        <v>0</v>
      </c>
      <c r="AB881" s="40">
        <f t="shared" si="376"/>
        <v>1</v>
      </c>
      <c r="AC881" s="40">
        <f t="shared" si="377"/>
        <v>0</v>
      </c>
      <c r="AD881" s="40">
        <f t="shared" si="378"/>
        <v>0</v>
      </c>
      <c r="AE881" s="40">
        <f t="shared" si="379"/>
        <v>0</v>
      </c>
      <c r="AF881" s="40">
        <f t="shared" si="380"/>
        <v>0</v>
      </c>
      <c r="AG881" s="40">
        <f t="shared" si="381"/>
        <v>0</v>
      </c>
      <c r="AH881" s="40">
        <f t="shared" si="382"/>
        <v>0</v>
      </c>
      <c r="AI881" s="40">
        <f t="shared" si="383"/>
        <v>1</v>
      </c>
      <c r="AJ881" s="40">
        <f t="shared" si="384"/>
        <v>0</v>
      </c>
      <c r="AK881" s="40">
        <f t="shared" si="385"/>
        <v>0</v>
      </c>
      <c r="AL881" s="40">
        <f t="shared" si="386"/>
        <v>0</v>
      </c>
      <c r="AM881" s="40">
        <f t="shared" si="387"/>
        <v>0</v>
      </c>
      <c r="AN881" s="40">
        <f t="shared" si="388"/>
        <v>0</v>
      </c>
      <c r="AO881" s="40">
        <f t="shared" si="389"/>
        <v>0</v>
      </c>
      <c r="AP881" s="40">
        <f t="shared" si="390"/>
        <v>0</v>
      </c>
      <c r="AQ881" s="40">
        <f t="shared" si="391"/>
        <v>0</v>
      </c>
      <c r="AR881" s="40">
        <f t="shared" si="392"/>
        <v>0</v>
      </c>
      <c r="AS881" s="40">
        <f t="shared" si="393"/>
        <v>0</v>
      </c>
    </row>
    <row r="882" spans="2:45" ht="14.4" customHeight="1" x14ac:dyDescent="0.25">
      <c r="B882" s="56" t="s">
        <v>45</v>
      </c>
      <c r="C882" s="57" t="s">
        <v>25</v>
      </c>
      <c r="D882" s="58" t="s">
        <v>28</v>
      </c>
      <c r="E882" s="62">
        <v>5.3799999999999994E-3</v>
      </c>
      <c r="F882" s="65">
        <f t="shared" si="394"/>
        <v>-5.2250669048084442</v>
      </c>
      <c r="S882" s="40">
        <f t="shared" si="367"/>
        <v>0</v>
      </c>
      <c r="T882" s="40">
        <f t="shared" si="368"/>
        <v>0</v>
      </c>
      <c r="U882" s="40">
        <f t="shared" si="369"/>
        <v>0</v>
      </c>
      <c r="V882" s="40">
        <f t="shared" si="370"/>
        <v>1</v>
      </c>
      <c r="W882" s="40">
        <f t="shared" si="371"/>
        <v>0</v>
      </c>
      <c r="X882" s="40">
        <f t="shared" si="372"/>
        <v>0</v>
      </c>
      <c r="Y882" s="40">
        <f t="shared" si="373"/>
        <v>0</v>
      </c>
      <c r="Z882" s="40">
        <f t="shared" si="374"/>
        <v>0</v>
      </c>
      <c r="AA882" s="40">
        <f t="shared" si="375"/>
        <v>0</v>
      </c>
      <c r="AB882" s="40">
        <f t="shared" si="376"/>
        <v>1</v>
      </c>
      <c r="AC882" s="40">
        <f t="shared" si="377"/>
        <v>0</v>
      </c>
      <c r="AD882" s="40">
        <f t="shared" si="378"/>
        <v>0</v>
      </c>
      <c r="AE882" s="40">
        <f t="shared" si="379"/>
        <v>0</v>
      </c>
      <c r="AF882" s="40">
        <f t="shared" si="380"/>
        <v>0</v>
      </c>
      <c r="AG882" s="40">
        <f t="shared" si="381"/>
        <v>0</v>
      </c>
      <c r="AH882" s="40">
        <f t="shared" si="382"/>
        <v>1</v>
      </c>
      <c r="AI882" s="40">
        <f t="shared" si="383"/>
        <v>0</v>
      </c>
      <c r="AJ882" s="40">
        <f t="shared" si="384"/>
        <v>0</v>
      </c>
      <c r="AK882" s="40">
        <f t="shared" si="385"/>
        <v>0</v>
      </c>
      <c r="AL882" s="40">
        <f t="shared" si="386"/>
        <v>0</v>
      </c>
      <c r="AM882" s="40">
        <f t="shared" si="387"/>
        <v>0</v>
      </c>
      <c r="AN882" s="40">
        <f t="shared" si="388"/>
        <v>0</v>
      </c>
      <c r="AO882" s="40">
        <f t="shared" si="389"/>
        <v>0</v>
      </c>
      <c r="AP882" s="40">
        <f t="shared" si="390"/>
        <v>0</v>
      </c>
      <c r="AQ882" s="40">
        <f t="shared" si="391"/>
        <v>0</v>
      </c>
      <c r="AR882" s="40">
        <f t="shared" si="392"/>
        <v>0</v>
      </c>
      <c r="AS882" s="40">
        <f t="shared" si="393"/>
        <v>0</v>
      </c>
    </row>
    <row r="883" spans="2:45" ht="14.4" customHeight="1" x14ac:dyDescent="0.25">
      <c r="B883" s="56" t="s">
        <v>45</v>
      </c>
      <c r="C883" s="57" t="s">
        <v>25</v>
      </c>
      <c r="D883" s="58" t="s">
        <v>27</v>
      </c>
      <c r="E883" s="62">
        <v>8.9300000000000022E-3</v>
      </c>
      <c r="F883" s="65">
        <f t="shared" si="394"/>
        <v>-4.718338884093729</v>
      </c>
      <c r="S883" s="40">
        <f t="shared" si="367"/>
        <v>0</v>
      </c>
      <c r="T883" s="40">
        <f t="shared" si="368"/>
        <v>0</v>
      </c>
      <c r="U883" s="40">
        <f t="shared" si="369"/>
        <v>0</v>
      </c>
      <c r="V883" s="40">
        <f t="shared" si="370"/>
        <v>1</v>
      </c>
      <c r="W883" s="40">
        <f t="shared" si="371"/>
        <v>0</v>
      </c>
      <c r="X883" s="40">
        <f t="shared" si="372"/>
        <v>0</v>
      </c>
      <c r="Y883" s="40">
        <f t="shared" si="373"/>
        <v>0</v>
      </c>
      <c r="Z883" s="40">
        <f t="shared" si="374"/>
        <v>0</v>
      </c>
      <c r="AA883" s="40">
        <f t="shared" si="375"/>
        <v>0</v>
      </c>
      <c r="AB883" s="40">
        <f t="shared" si="376"/>
        <v>0</v>
      </c>
      <c r="AC883" s="40">
        <f t="shared" si="377"/>
        <v>0</v>
      </c>
      <c r="AD883" s="40">
        <f t="shared" si="378"/>
        <v>0</v>
      </c>
      <c r="AE883" s="40">
        <f t="shared" si="379"/>
        <v>0</v>
      </c>
      <c r="AF883" s="40">
        <f t="shared" si="380"/>
        <v>1</v>
      </c>
      <c r="AG883" s="40">
        <f t="shared" si="381"/>
        <v>0</v>
      </c>
      <c r="AH883" s="40">
        <f t="shared" si="382"/>
        <v>0</v>
      </c>
      <c r="AI883" s="40">
        <f t="shared" si="383"/>
        <v>0</v>
      </c>
      <c r="AJ883" s="40">
        <f t="shared" si="384"/>
        <v>1</v>
      </c>
      <c r="AK883" s="40">
        <f t="shared" si="385"/>
        <v>0</v>
      </c>
      <c r="AL883" s="40">
        <f t="shared" si="386"/>
        <v>0</v>
      </c>
      <c r="AM883" s="40">
        <f t="shared" si="387"/>
        <v>0</v>
      </c>
      <c r="AN883" s="40">
        <f t="shared" si="388"/>
        <v>0</v>
      </c>
      <c r="AO883" s="40">
        <f t="shared" si="389"/>
        <v>0</v>
      </c>
      <c r="AP883" s="40">
        <f t="shared" si="390"/>
        <v>0</v>
      </c>
      <c r="AQ883" s="40">
        <f t="shared" si="391"/>
        <v>0</v>
      </c>
      <c r="AR883" s="40">
        <f t="shared" si="392"/>
        <v>0</v>
      </c>
      <c r="AS883" s="40">
        <f t="shared" si="393"/>
        <v>0</v>
      </c>
    </row>
    <row r="884" spans="2:45" ht="14.4" customHeight="1" x14ac:dyDescent="0.25">
      <c r="B884" s="56" t="s">
        <v>45</v>
      </c>
      <c r="C884" s="57" t="s">
        <v>26</v>
      </c>
      <c r="D884" s="58" t="s">
        <v>37</v>
      </c>
      <c r="E884" s="62">
        <v>1.0200000000000006E-2</v>
      </c>
      <c r="F884" s="65">
        <f t="shared" si="394"/>
        <v>-4.5853675586919111</v>
      </c>
      <c r="S884" s="40">
        <f t="shared" si="367"/>
        <v>0</v>
      </c>
      <c r="T884" s="40">
        <f t="shared" si="368"/>
        <v>0</v>
      </c>
      <c r="U884" s="40">
        <f t="shared" si="369"/>
        <v>0</v>
      </c>
      <c r="V884" s="40">
        <f t="shared" si="370"/>
        <v>1</v>
      </c>
      <c r="W884" s="40">
        <f t="shared" si="371"/>
        <v>0</v>
      </c>
      <c r="X884" s="40">
        <f t="shared" si="372"/>
        <v>0</v>
      </c>
      <c r="Y884" s="40">
        <f t="shared" si="373"/>
        <v>0</v>
      </c>
      <c r="Z884" s="40">
        <f t="shared" si="374"/>
        <v>0</v>
      </c>
      <c r="AA884" s="40">
        <f t="shared" si="375"/>
        <v>0</v>
      </c>
      <c r="AB884" s="40">
        <f t="shared" si="376"/>
        <v>0</v>
      </c>
      <c r="AC884" s="40">
        <f t="shared" si="377"/>
        <v>0</v>
      </c>
      <c r="AD884" s="40">
        <f t="shared" si="378"/>
        <v>0</v>
      </c>
      <c r="AE884" s="40">
        <f t="shared" si="379"/>
        <v>0</v>
      </c>
      <c r="AF884" s="40">
        <f t="shared" si="380"/>
        <v>1</v>
      </c>
      <c r="AG884" s="40">
        <f t="shared" si="381"/>
        <v>0</v>
      </c>
      <c r="AH884" s="40">
        <f t="shared" si="382"/>
        <v>0</v>
      </c>
      <c r="AI884" s="40">
        <f t="shared" si="383"/>
        <v>0</v>
      </c>
      <c r="AJ884" s="40">
        <f t="shared" si="384"/>
        <v>0</v>
      </c>
      <c r="AK884" s="40">
        <f t="shared" si="385"/>
        <v>0</v>
      </c>
      <c r="AL884" s="40">
        <f t="shared" si="386"/>
        <v>0</v>
      </c>
      <c r="AM884" s="40">
        <f t="shared" si="387"/>
        <v>0</v>
      </c>
      <c r="AN884" s="40">
        <f t="shared" si="388"/>
        <v>0</v>
      </c>
      <c r="AO884" s="40">
        <f t="shared" si="389"/>
        <v>0</v>
      </c>
      <c r="AP884" s="40">
        <f t="shared" si="390"/>
        <v>0</v>
      </c>
      <c r="AQ884" s="40">
        <f t="shared" si="391"/>
        <v>0</v>
      </c>
      <c r="AR884" s="40">
        <f t="shared" si="392"/>
        <v>0</v>
      </c>
      <c r="AS884" s="40">
        <f t="shared" si="393"/>
        <v>1</v>
      </c>
    </row>
    <row r="885" spans="2:45" ht="14.4" customHeight="1" x14ac:dyDescent="0.25">
      <c r="B885" s="56" t="s">
        <v>45</v>
      </c>
      <c r="C885" s="57" t="s">
        <v>26</v>
      </c>
      <c r="D885" s="58" t="s">
        <v>22</v>
      </c>
      <c r="E885" s="62">
        <v>4.5499999999999985E-3</v>
      </c>
      <c r="F885" s="65">
        <f t="shared" si="394"/>
        <v>-5.3926280460192784</v>
      </c>
      <c r="S885" s="40">
        <f t="shared" si="367"/>
        <v>0</v>
      </c>
      <c r="T885" s="40">
        <f t="shared" si="368"/>
        <v>0</v>
      </c>
      <c r="U885" s="40">
        <f t="shared" si="369"/>
        <v>0</v>
      </c>
      <c r="V885" s="40">
        <f t="shared" si="370"/>
        <v>1</v>
      </c>
      <c r="W885" s="40">
        <f t="shared" si="371"/>
        <v>0</v>
      </c>
      <c r="X885" s="40">
        <f t="shared" si="372"/>
        <v>0</v>
      </c>
      <c r="Y885" s="40">
        <f t="shared" si="373"/>
        <v>0</v>
      </c>
      <c r="Z885" s="40">
        <f t="shared" si="374"/>
        <v>0</v>
      </c>
      <c r="AA885" s="40">
        <f t="shared" si="375"/>
        <v>0</v>
      </c>
      <c r="AB885" s="40">
        <f t="shared" si="376"/>
        <v>0</v>
      </c>
      <c r="AC885" s="40">
        <f t="shared" si="377"/>
        <v>0</v>
      </c>
      <c r="AD885" s="40">
        <f t="shared" si="378"/>
        <v>0</v>
      </c>
      <c r="AE885" s="40">
        <f t="shared" si="379"/>
        <v>0</v>
      </c>
      <c r="AF885" s="40">
        <f t="shared" si="380"/>
        <v>1</v>
      </c>
      <c r="AG885" s="40">
        <f t="shared" si="381"/>
        <v>0</v>
      </c>
      <c r="AH885" s="40">
        <f t="shared" si="382"/>
        <v>0</v>
      </c>
      <c r="AI885" s="40">
        <f t="shared" si="383"/>
        <v>1</v>
      </c>
      <c r="AJ885" s="40">
        <f t="shared" si="384"/>
        <v>0</v>
      </c>
      <c r="AK885" s="40">
        <f t="shared" si="385"/>
        <v>0</v>
      </c>
      <c r="AL885" s="40">
        <f t="shared" si="386"/>
        <v>0</v>
      </c>
      <c r="AM885" s="40">
        <f t="shared" si="387"/>
        <v>0</v>
      </c>
      <c r="AN885" s="40">
        <f t="shared" si="388"/>
        <v>0</v>
      </c>
      <c r="AO885" s="40">
        <f t="shared" si="389"/>
        <v>0</v>
      </c>
      <c r="AP885" s="40">
        <f t="shared" si="390"/>
        <v>0</v>
      </c>
      <c r="AQ885" s="40">
        <f t="shared" si="391"/>
        <v>0</v>
      </c>
      <c r="AR885" s="40">
        <f t="shared" si="392"/>
        <v>0</v>
      </c>
      <c r="AS885" s="40">
        <f t="shared" si="393"/>
        <v>0</v>
      </c>
    </row>
    <row r="886" spans="2:45" ht="14.4" customHeight="1" x14ac:dyDescent="0.25">
      <c r="B886" s="56" t="s">
        <v>45</v>
      </c>
      <c r="C886" s="57" t="s">
        <v>26</v>
      </c>
      <c r="D886" s="58" t="s">
        <v>28</v>
      </c>
      <c r="E886" s="62">
        <v>4.3400000000000001E-3</v>
      </c>
      <c r="F886" s="65">
        <f t="shared" si="394"/>
        <v>-5.4398809308698235</v>
      </c>
      <c r="S886" s="40">
        <f t="shared" si="367"/>
        <v>0</v>
      </c>
      <c r="T886" s="40">
        <f t="shared" si="368"/>
        <v>0</v>
      </c>
      <c r="U886" s="40">
        <f t="shared" si="369"/>
        <v>0</v>
      </c>
      <c r="V886" s="40">
        <f t="shared" si="370"/>
        <v>1</v>
      </c>
      <c r="W886" s="40">
        <f t="shared" si="371"/>
        <v>0</v>
      </c>
      <c r="X886" s="40">
        <f t="shared" si="372"/>
        <v>0</v>
      </c>
      <c r="Y886" s="40">
        <f t="shared" si="373"/>
        <v>0</v>
      </c>
      <c r="Z886" s="40">
        <f t="shared" si="374"/>
        <v>0</v>
      </c>
      <c r="AA886" s="40">
        <f t="shared" si="375"/>
        <v>0</v>
      </c>
      <c r="AB886" s="40">
        <f t="shared" si="376"/>
        <v>1</v>
      </c>
      <c r="AC886" s="40">
        <f t="shared" si="377"/>
        <v>0</v>
      </c>
      <c r="AD886" s="40">
        <f t="shared" si="378"/>
        <v>0</v>
      </c>
      <c r="AE886" s="40">
        <f t="shared" si="379"/>
        <v>0</v>
      </c>
      <c r="AF886" s="40">
        <f t="shared" si="380"/>
        <v>0</v>
      </c>
      <c r="AG886" s="40">
        <f t="shared" si="381"/>
        <v>0</v>
      </c>
      <c r="AH886" s="40">
        <f t="shared" si="382"/>
        <v>0</v>
      </c>
      <c r="AI886" s="40">
        <f t="shared" si="383"/>
        <v>1</v>
      </c>
      <c r="AJ886" s="40">
        <f t="shared" si="384"/>
        <v>0</v>
      </c>
      <c r="AK886" s="40">
        <f t="shared" si="385"/>
        <v>0</v>
      </c>
      <c r="AL886" s="40">
        <f t="shared" si="386"/>
        <v>0</v>
      </c>
      <c r="AM886" s="40">
        <f t="shared" si="387"/>
        <v>0</v>
      </c>
      <c r="AN886" s="40">
        <f t="shared" si="388"/>
        <v>0</v>
      </c>
      <c r="AO886" s="40">
        <f t="shared" si="389"/>
        <v>0</v>
      </c>
      <c r="AP886" s="40">
        <f t="shared" si="390"/>
        <v>0</v>
      </c>
      <c r="AQ886" s="40">
        <f t="shared" si="391"/>
        <v>0</v>
      </c>
      <c r="AR886" s="40">
        <f t="shared" si="392"/>
        <v>0</v>
      </c>
      <c r="AS886" s="40">
        <f t="shared" si="393"/>
        <v>0</v>
      </c>
    </row>
    <row r="887" spans="2:45" ht="14.4" customHeight="1" x14ac:dyDescent="0.25">
      <c r="B887" s="56" t="s">
        <v>45</v>
      </c>
      <c r="C887" s="57" t="s">
        <v>25</v>
      </c>
      <c r="D887" s="58" t="s">
        <v>28</v>
      </c>
      <c r="E887" s="62">
        <v>3.7300000000000007E-3</v>
      </c>
      <c r="F887" s="65">
        <f t="shared" si="394"/>
        <v>-5.5913470453264127</v>
      </c>
      <c r="S887" s="40">
        <f t="shared" si="367"/>
        <v>0</v>
      </c>
      <c r="T887" s="40">
        <f t="shared" si="368"/>
        <v>0</v>
      </c>
      <c r="U887" s="40">
        <f t="shared" si="369"/>
        <v>0</v>
      </c>
      <c r="V887" s="40">
        <f t="shared" si="370"/>
        <v>1</v>
      </c>
      <c r="W887" s="40">
        <f t="shared" si="371"/>
        <v>0</v>
      </c>
      <c r="X887" s="40">
        <f t="shared" si="372"/>
        <v>0</v>
      </c>
      <c r="Y887" s="40">
        <f t="shared" si="373"/>
        <v>0</v>
      </c>
      <c r="Z887" s="40">
        <f t="shared" si="374"/>
        <v>0</v>
      </c>
      <c r="AA887" s="40">
        <f t="shared" si="375"/>
        <v>0</v>
      </c>
      <c r="AB887" s="40">
        <f t="shared" si="376"/>
        <v>0</v>
      </c>
      <c r="AC887" s="40">
        <f t="shared" si="377"/>
        <v>0</v>
      </c>
      <c r="AD887" s="40">
        <f t="shared" si="378"/>
        <v>0</v>
      </c>
      <c r="AE887" s="40">
        <f t="shared" si="379"/>
        <v>0</v>
      </c>
      <c r="AF887" s="40">
        <f t="shared" si="380"/>
        <v>1</v>
      </c>
      <c r="AG887" s="40">
        <f t="shared" si="381"/>
        <v>0</v>
      </c>
      <c r="AH887" s="40">
        <f t="shared" si="382"/>
        <v>0</v>
      </c>
      <c r="AI887" s="40">
        <f t="shared" si="383"/>
        <v>0</v>
      </c>
      <c r="AJ887" s="40">
        <f t="shared" si="384"/>
        <v>0</v>
      </c>
      <c r="AK887" s="40">
        <f t="shared" si="385"/>
        <v>1</v>
      </c>
      <c r="AL887" s="40">
        <f t="shared" si="386"/>
        <v>0</v>
      </c>
      <c r="AM887" s="40">
        <f t="shared" si="387"/>
        <v>0</v>
      </c>
      <c r="AN887" s="40">
        <f t="shared" si="388"/>
        <v>0</v>
      </c>
      <c r="AO887" s="40">
        <f t="shared" si="389"/>
        <v>0</v>
      </c>
      <c r="AP887" s="40">
        <f t="shared" si="390"/>
        <v>0</v>
      </c>
      <c r="AQ887" s="40">
        <f t="shared" si="391"/>
        <v>0</v>
      </c>
      <c r="AR887" s="40">
        <f t="shared" si="392"/>
        <v>0</v>
      </c>
      <c r="AS887" s="40">
        <f t="shared" si="393"/>
        <v>0</v>
      </c>
    </row>
    <row r="888" spans="2:45" ht="14.4" customHeight="1" x14ac:dyDescent="0.25">
      <c r="B888" s="56" t="s">
        <v>45</v>
      </c>
      <c r="C888" s="57" t="s">
        <v>26</v>
      </c>
      <c r="D888" s="58" t="s">
        <v>32</v>
      </c>
      <c r="E888" s="62">
        <v>1.1960000000000005E-2</v>
      </c>
      <c r="F888" s="65">
        <f t="shared" si="394"/>
        <v>-4.426187530459651</v>
      </c>
      <c r="S888" s="40">
        <f t="shared" si="367"/>
        <v>0</v>
      </c>
      <c r="T888" s="40">
        <f t="shared" si="368"/>
        <v>0</v>
      </c>
      <c r="U888" s="40">
        <f t="shared" si="369"/>
        <v>0</v>
      </c>
      <c r="V888" s="40">
        <f t="shared" si="370"/>
        <v>1</v>
      </c>
      <c r="W888" s="40">
        <f t="shared" si="371"/>
        <v>0</v>
      </c>
      <c r="X888" s="40">
        <f t="shared" si="372"/>
        <v>0</v>
      </c>
      <c r="Y888" s="40">
        <f t="shared" si="373"/>
        <v>0</v>
      </c>
      <c r="Z888" s="40">
        <f t="shared" si="374"/>
        <v>0</v>
      </c>
      <c r="AA888" s="40">
        <f t="shared" si="375"/>
        <v>0</v>
      </c>
      <c r="AB888" s="40">
        <f t="shared" si="376"/>
        <v>1</v>
      </c>
      <c r="AC888" s="40">
        <f t="shared" si="377"/>
        <v>0</v>
      </c>
      <c r="AD888" s="40">
        <f t="shared" si="378"/>
        <v>0</v>
      </c>
      <c r="AE888" s="40">
        <f t="shared" si="379"/>
        <v>0</v>
      </c>
      <c r="AF888" s="40">
        <f t="shared" si="380"/>
        <v>0</v>
      </c>
      <c r="AG888" s="40">
        <f t="shared" si="381"/>
        <v>0</v>
      </c>
      <c r="AH888" s="40">
        <f t="shared" si="382"/>
        <v>0</v>
      </c>
      <c r="AI888" s="40">
        <f t="shared" si="383"/>
        <v>0</v>
      </c>
      <c r="AJ888" s="40">
        <f t="shared" si="384"/>
        <v>0</v>
      </c>
      <c r="AK888" s="40">
        <f t="shared" si="385"/>
        <v>0</v>
      </c>
      <c r="AL888" s="40">
        <f t="shared" si="386"/>
        <v>0</v>
      </c>
      <c r="AM888" s="40">
        <f t="shared" si="387"/>
        <v>0</v>
      </c>
      <c r="AN888" s="40">
        <f t="shared" si="388"/>
        <v>0</v>
      </c>
      <c r="AO888" s="40">
        <f t="shared" si="389"/>
        <v>0</v>
      </c>
      <c r="AP888" s="40">
        <f t="shared" si="390"/>
        <v>0</v>
      </c>
      <c r="AQ888" s="40">
        <f t="shared" si="391"/>
        <v>0</v>
      </c>
      <c r="AR888" s="40">
        <f t="shared" si="392"/>
        <v>1</v>
      </c>
      <c r="AS888" s="40">
        <f t="shared" si="393"/>
        <v>0</v>
      </c>
    </row>
    <row r="889" spans="2:45" ht="14.4" customHeight="1" x14ac:dyDescent="0.25">
      <c r="B889" s="56" t="s">
        <v>45</v>
      </c>
      <c r="C889" s="57" t="s">
        <v>25</v>
      </c>
      <c r="D889" s="58" t="s">
        <v>33</v>
      </c>
      <c r="E889" s="62">
        <v>6.9100000000000012E-3</v>
      </c>
      <c r="F889" s="65">
        <f t="shared" si="394"/>
        <v>-4.9747856412025584</v>
      </c>
      <c r="S889" s="40">
        <f t="shared" si="367"/>
        <v>0</v>
      </c>
      <c r="T889" s="40">
        <f t="shared" si="368"/>
        <v>0</v>
      </c>
      <c r="U889" s="40">
        <f t="shared" si="369"/>
        <v>0</v>
      </c>
      <c r="V889" s="40">
        <f t="shared" si="370"/>
        <v>1</v>
      </c>
      <c r="W889" s="40">
        <f t="shared" si="371"/>
        <v>0</v>
      </c>
      <c r="X889" s="40">
        <f t="shared" si="372"/>
        <v>0</v>
      </c>
      <c r="Y889" s="40">
        <f t="shared" si="373"/>
        <v>0</v>
      </c>
      <c r="Z889" s="40">
        <f t="shared" si="374"/>
        <v>0</v>
      </c>
      <c r="AA889" s="40">
        <f t="shared" si="375"/>
        <v>0</v>
      </c>
      <c r="AB889" s="40">
        <f t="shared" si="376"/>
        <v>1</v>
      </c>
      <c r="AC889" s="40">
        <f t="shared" si="377"/>
        <v>0</v>
      </c>
      <c r="AD889" s="40">
        <f t="shared" si="378"/>
        <v>0</v>
      </c>
      <c r="AE889" s="40">
        <f t="shared" si="379"/>
        <v>0</v>
      </c>
      <c r="AF889" s="40">
        <f t="shared" si="380"/>
        <v>0</v>
      </c>
      <c r="AG889" s="40">
        <f t="shared" si="381"/>
        <v>0</v>
      </c>
      <c r="AH889" s="40">
        <f t="shared" si="382"/>
        <v>0</v>
      </c>
      <c r="AI889" s="40">
        <f t="shared" si="383"/>
        <v>0</v>
      </c>
      <c r="AJ889" s="40">
        <f t="shared" si="384"/>
        <v>0</v>
      </c>
      <c r="AK889" s="40">
        <f t="shared" si="385"/>
        <v>0</v>
      </c>
      <c r="AL889" s="40">
        <f t="shared" si="386"/>
        <v>0</v>
      </c>
      <c r="AM889" s="40">
        <f t="shared" si="387"/>
        <v>0</v>
      </c>
      <c r="AN889" s="40">
        <f t="shared" si="388"/>
        <v>0</v>
      </c>
      <c r="AO889" s="40">
        <f t="shared" si="389"/>
        <v>0</v>
      </c>
      <c r="AP889" s="40">
        <f t="shared" si="390"/>
        <v>0</v>
      </c>
      <c r="AQ889" s="40">
        <f t="shared" si="391"/>
        <v>0</v>
      </c>
      <c r="AR889" s="40">
        <f t="shared" si="392"/>
        <v>1</v>
      </c>
      <c r="AS889" s="40">
        <f t="shared" si="393"/>
        <v>0</v>
      </c>
    </row>
    <row r="890" spans="2:45" ht="14.4" customHeight="1" x14ac:dyDescent="0.25">
      <c r="B890" s="56" t="s">
        <v>45</v>
      </c>
      <c r="C890" s="57" t="s">
        <v>25</v>
      </c>
      <c r="D890" s="58" t="s">
        <v>33</v>
      </c>
      <c r="E890" s="62">
        <v>2.2000000000000006E-3</v>
      </c>
      <c r="F890" s="65">
        <f t="shared" si="394"/>
        <v>-6.1192979186178666</v>
      </c>
      <c r="S890" s="40">
        <f t="shared" si="367"/>
        <v>0</v>
      </c>
      <c r="T890" s="40">
        <f t="shared" si="368"/>
        <v>0</v>
      </c>
      <c r="U890" s="40">
        <f t="shared" si="369"/>
        <v>0</v>
      </c>
      <c r="V890" s="40">
        <f t="shared" si="370"/>
        <v>1</v>
      </c>
      <c r="W890" s="40">
        <f t="shared" si="371"/>
        <v>0</v>
      </c>
      <c r="X890" s="40">
        <f t="shared" si="372"/>
        <v>0</v>
      </c>
      <c r="Y890" s="40">
        <f t="shared" si="373"/>
        <v>0</v>
      </c>
      <c r="Z890" s="40">
        <f t="shared" si="374"/>
        <v>0</v>
      </c>
      <c r="AA890" s="40">
        <f t="shared" si="375"/>
        <v>0</v>
      </c>
      <c r="AB890" s="40">
        <f t="shared" si="376"/>
        <v>0</v>
      </c>
      <c r="AC890" s="40">
        <f t="shared" si="377"/>
        <v>0</v>
      </c>
      <c r="AD890" s="40">
        <f t="shared" si="378"/>
        <v>0</v>
      </c>
      <c r="AE890" s="40">
        <f t="shared" si="379"/>
        <v>0</v>
      </c>
      <c r="AF890" s="40">
        <f t="shared" si="380"/>
        <v>1</v>
      </c>
      <c r="AG890" s="40">
        <f t="shared" si="381"/>
        <v>0</v>
      </c>
      <c r="AH890" s="40">
        <f t="shared" si="382"/>
        <v>0</v>
      </c>
      <c r="AI890" s="40">
        <f t="shared" si="383"/>
        <v>0</v>
      </c>
      <c r="AJ890" s="40">
        <f t="shared" si="384"/>
        <v>0</v>
      </c>
      <c r="AK890" s="40">
        <f t="shared" si="385"/>
        <v>0</v>
      </c>
      <c r="AL890" s="40">
        <f t="shared" si="386"/>
        <v>0</v>
      </c>
      <c r="AM890" s="40">
        <f t="shared" si="387"/>
        <v>0</v>
      </c>
      <c r="AN890" s="40">
        <f t="shared" si="388"/>
        <v>0</v>
      </c>
      <c r="AO890" s="40">
        <f t="shared" si="389"/>
        <v>0</v>
      </c>
      <c r="AP890" s="40">
        <f t="shared" si="390"/>
        <v>0</v>
      </c>
      <c r="AQ890" s="40">
        <f t="shared" si="391"/>
        <v>0</v>
      </c>
      <c r="AR890" s="40">
        <f t="shared" si="392"/>
        <v>1</v>
      </c>
      <c r="AS890" s="40">
        <f t="shared" si="393"/>
        <v>0</v>
      </c>
    </row>
    <row r="891" spans="2:45" ht="14.4" customHeight="1" x14ac:dyDescent="0.25">
      <c r="B891" s="56" t="s">
        <v>45</v>
      </c>
      <c r="C891" s="57" t="s">
        <v>26</v>
      </c>
      <c r="D891" s="58" t="s">
        <v>33</v>
      </c>
      <c r="E891" s="62">
        <v>7.8199999999999988E-3</v>
      </c>
      <c r="F891" s="65">
        <f t="shared" si="394"/>
        <v>-4.8510707244249174</v>
      </c>
      <c r="S891" s="40">
        <f t="shared" si="367"/>
        <v>0</v>
      </c>
      <c r="T891" s="40">
        <f t="shared" si="368"/>
        <v>0</v>
      </c>
      <c r="U891" s="40">
        <f t="shared" si="369"/>
        <v>0</v>
      </c>
      <c r="V891" s="40">
        <f t="shared" si="370"/>
        <v>1</v>
      </c>
      <c r="W891" s="40">
        <f t="shared" si="371"/>
        <v>0</v>
      </c>
      <c r="X891" s="40">
        <f t="shared" si="372"/>
        <v>0</v>
      </c>
      <c r="Y891" s="40">
        <f t="shared" si="373"/>
        <v>0</v>
      </c>
      <c r="Z891" s="40">
        <f t="shared" si="374"/>
        <v>0</v>
      </c>
      <c r="AA891" s="40">
        <f t="shared" si="375"/>
        <v>0</v>
      </c>
      <c r="AB891" s="40">
        <f t="shared" si="376"/>
        <v>0</v>
      </c>
      <c r="AC891" s="40">
        <f t="shared" si="377"/>
        <v>0</v>
      </c>
      <c r="AD891" s="40">
        <f t="shared" si="378"/>
        <v>0</v>
      </c>
      <c r="AE891" s="40">
        <f t="shared" si="379"/>
        <v>0</v>
      </c>
      <c r="AF891" s="40">
        <f t="shared" si="380"/>
        <v>1</v>
      </c>
      <c r="AG891" s="40">
        <f t="shared" si="381"/>
        <v>0</v>
      </c>
      <c r="AH891" s="40">
        <f t="shared" si="382"/>
        <v>0</v>
      </c>
      <c r="AI891" s="40">
        <f t="shared" si="383"/>
        <v>0</v>
      </c>
      <c r="AJ891" s="40">
        <f t="shared" si="384"/>
        <v>0</v>
      </c>
      <c r="AK891" s="40">
        <f t="shared" si="385"/>
        <v>0</v>
      </c>
      <c r="AL891" s="40">
        <f t="shared" si="386"/>
        <v>0</v>
      </c>
      <c r="AM891" s="40">
        <f t="shared" si="387"/>
        <v>0</v>
      </c>
      <c r="AN891" s="40">
        <f t="shared" si="388"/>
        <v>0</v>
      </c>
      <c r="AO891" s="40">
        <f t="shared" si="389"/>
        <v>1</v>
      </c>
      <c r="AP891" s="40">
        <f t="shared" si="390"/>
        <v>0</v>
      </c>
      <c r="AQ891" s="40">
        <f t="shared" si="391"/>
        <v>0</v>
      </c>
      <c r="AR891" s="40">
        <f t="shared" si="392"/>
        <v>0</v>
      </c>
      <c r="AS891" s="40">
        <f t="shared" si="393"/>
        <v>0</v>
      </c>
    </row>
    <row r="892" spans="2:45" ht="14.4" customHeight="1" x14ac:dyDescent="0.25">
      <c r="B892" s="56" t="s">
        <v>45</v>
      </c>
      <c r="C892" s="57" t="s">
        <v>26</v>
      </c>
      <c r="D892" s="58" t="s">
        <v>31</v>
      </c>
      <c r="E892" s="62">
        <v>2.3999999999999994E-3</v>
      </c>
      <c r="F892" s="65">
        <f t="shared" si="394"/>
        <v>-6.0322865416282374</v>
      </c>
      <c r="S892" s="40">
        <f t="shared" si="367"/>
        <v>0</v>
      </c>
      <c r="T892" s="40">
        <f t="shared" si="368"/>
        <v>0</v>
      </c>
      <c r="U892" s="40">
        <f t="shared" si="369"/>
        <v>0</v>
      </c>
      <c r="V892" s="40">
        <f t="shared" si="370"/>
        <v>1</v>
      </c>
      <c r="W892" s="40">
        <f t="shared" si="371"/>
        <v>0</v>
      </c>
      <c r="X892" s="40">
        <f t="shared" si="372"/>
        <v>0</v>
      </c>
      <c r="Y892" s="40">
        <f t="shared" si="373"/>
        <v>0</v>
      </c>
      <c r="Z892" s="40">
        <f t="shared" si="374"/>
        <v>0</v>
      </c>
      <c r="AA892" s="40">
        <f t="shared" si="375"/>
        <v>0</v>
      </c>
      <c r="AB892" s="40">
        <f t="shared" si="376"/>
        <v>0</v>
      </c>
      <c r="AC892" s="40">
        <f t="shared" si="377"/>
        <v>0</v>
      </c>
      <c r="AD892" s="40">
        <f t="shared" si="378"/>
        <v>0</v>
      </c>
      <c r="AE892" s="40">
        <f t="shared" si="379"/>
        <v>0</v>
      </c>
      <c r="AF892" s="40">
        <f t="shared" si="380"/>
        <v>1</v>
      </c>
      <c r="AG892" s="40">
        <f t="shared" si="381"/>
        <v>0</v>
      </c>
      <c r="AH892" s="40">
        <f t="shared" si="382"/>
        <v>0</v>
      </c>
      <c r="AI892" s="40">
        <f t="shared" si="383"/>
        <v>0</v>
      </c>
      <c r="AJ892" s="40">
        <f t="shared" si="384"/>
        <v>0</v>
      </c>
      <c r="AK892" s="40">
        <f t="shared" si="385"/>
        <v>0</v>
      </c>
      <c r="AL892" s="40">
        <f t="shared" si="386"/>
        <v>0</v>
      </c>
      <c r="AM892" s="40">
        <f t="shared" si="387"/>
        <v>0</v>
      </c>
      <c r="AN892" s="40">
        <f t="shared" si="388"/>
        <v>0</v>
      </c>
      <c r="AO892" s="40">
        <f t="shared" si="389"/>
        <v>1</v>
      </c>
      <c r="AP892" s="40">
        <f t="shared" si="390"/>
        <v>0</v>
      </c>
      <c r="AQ892" s="40">
        <f t="shared" si="391"/>
        <v>0</v>
      </c>
      <c r="AR892" s="40">
        <f t="shared" si="392"/>
        <v>0</v>
      </c>
      <c r="AS892" s="40">
        <f t="shared" si="393"/>
        <v>0</v>
      </c>
    </row>
    <row r="893" spans="2:45" ht="14.4" customHeight="1" x14ac:dyDescent="0.25">
      <c r="B893" s="56" t="s">
        <v>45</v>
      </c>
      <c r="C893" s="57" t="s">
        <v>26</v>
      </c>
      <c r="D893" s="58" t="s">
        <v>31</v>
      </c>
      <c r="E893" s="62">
        <v>1.0040000000000004E-2</v>
      </c>
      <c r="F893" s="65">
        <f t="shared" si="394"/>
        <v>-4.6011781647185535</v>
      </c>
      <c r="S893" s="40">
        <f t="shared" si="367"/>
        <v>0</v>
      </c>
      <c r="T893" s="40">
        <f t="shared" si="368"/>
        <v>0</v>
      </c>
      <c r="U893" s="40">
        <f t="shared" si="369"/>
        <v>0</v>
      </c>
      <c r="V893" s="40">
        <f t="shared" si="370"/>
        <v>1</v>
      </c>
      <c r="W893" s="40">
        <f t="shared" si="371"/>
        <v>0</v>
      </c>
      <c r="X893" s="40">
        <f t="shared" si="372"/>
        <v>0</v>
      </c>
      <c r="Y893" s="40">
        <f t="shared" si="373"/>
        <v>0</v>
      </c>
      <c r="Z893" s="40">
        <f t="shared" si="374"/>
        <v>1</v>
      </c>
      <c r="AA893" s="40">
        <f t="shared" si="375"/>
        <v>0</v>
      </c>
      <c r="AB893" s="40">
        <f t="shared" si="376"/>
        <v>0</v>
      </c>
      <c r="AC893" s="40">
        <f t="shared" si="377"/>
        <v>0</v>
      </c>
      <c r="AD893" s="40">
        <f t="shared" si="378"/>
        <v>0</v>
      </c>
      <c r="AE893" s="40">
        <f t="shared" si="379"/>
        <v>0</v>
      </c>
      <c r="AF893" s="40">
        <f t="shared" si="380"/>
        <v>0</v>
      </c>
      <c r="AG893" s="40">
        <f t="shared" si="381"/>
        <v>0</v>
      </c>
      <c r="AH893" s="40">
        <f t="shared" si="382"/>
        <v>0</v>
      </c>
      <c r="AI893" s="40">
        <f t="shared" si="383"/>
        <v>0</v>
      </c>
      <c r="AJ893" s="40">
        <f t="shared" si="384"/>
        <v>0</v>
      </c>
      <c r="AK893" s="40">
        <f t="shared" si="385"/>
        <v>0</v>
      </c>
      <c r="AL893" s="40">
        <f t="shared" si="386"/>
        <v>0</v>
      </c>
      <c r="AM893" s="40">
        <f t="shared" si="387"/>
        <v>1</v>
      </c>
      <c r="AN893" s="40">
        <f t="shared" si="388"/>
        <v>0</v>
      </c>
      <c r="AO893" s="40">
        <f t="shared" si="389"/>
        <v>0</v>
      </c>
      <c r="AP893" s="40">
        <f t="shared" si="390"/>
        <v>0</v>
      </c>
      <c r="AQ893" s="40">
        <f t="shared" si="391"/>
        <v>0</v>
      </c>
      <c r="AR893" s="40">
        <f t="shared" si="392"/>
        <v>0</v>
      </c>
      <c r="AS893" s="40">
        <f t="shared" si="393"/>
        <v>0</v>
      </c>
    </row>
    <row r="894" spans="2:45" ht="14.4" customHeight="1" x14ac:dyDescent="0.25">
      <c r="B894" s="56" t="s">
        <v>45</v>
      </c>
      <c r="C894" s="57" t="s">
        <v>36</v>
      </c>
      <c r="D894" s="58" t="s">
        <v>35</v>
      </c>
      <c r="E894" s="62">
        <v>3.2999999999999987E-3</v>
      </c>
      <c r="F894" s="65">
        <f t="shared" si="394"/>
        <v>-5.7138328105097029</v>
      </c>
      <c r="S894" s="40">
        <f t="shared" si="367"/>
        <v>0</v>
      </c>
      <c r="T894" s="40">
        <f t="shared" si="368"/>
        <v>0</v>
      </c>
      <c r="U894" s="40">
        <f t="shared" si="369"/>
        <v>0</v>
      </c>
      <c r="V894" s="40">
        <f t="shared" si="370"/>
        <v>1</v>
      </c>
      <c r="W894" s="40">
        <f t="shared" si="371"/>
        <v>0</v>
      </c>
      <c r="X894" s="40">
        <f t="shared" si="372"/>
        <v>0</v>
      </c>
      <c r="Y894" s="40">
        <f t="shared" si="373"/>
        <v>0</v>
      </c>
      <c r="Z894" s="40">
        <f t="shared" si="374"/>
        <v>0</v>
      </c>
      <c r="AA894" s="40">
        <f t="shared" si="375"/>
        <v>0</v>
      </c>
      <c r="AB894" s="40">
        <f t="shared" si="376"/>
        <v>0</v>
      </c>
      <c r="AC894" s="40">
        <f t="shared" si="377"/>
        <v>0</v>
      </c>
      <c r="AD894" s="40">
        <f t="shared" si="378"/>
        <v>0</v>
      </c>
      <c r="AE894" s="40">
        <f t="shared" si="379"/>
        <v>0</v>
      </c>
      <c r="AF894" s="40">
        <f t="shared" si="380"/>
        <v>1</v>
      </c>
      <c r="AG894" s="40">
        <f t="shared" si="381"/>
        <v>0</v>
      </c>
      <c r="AH894" s="40">
        <f t="shared" si="382"/>
        <v>0</v>
      </c>
      <c r="AI894" s="40">
        <f t="shared" si="383"/>
        <v>0</v>
      </c>
      <c r="AJ894" s="40">
        <f t="shared" si="384"/>
        <v>1</v>
      </c>
      <c r="AK894" s="40">
        <f t="shared" si="385"/>
        <v>0</v>
      </c>
      <c r="AL894" s="40">
        <f t="shared" si="386"/>
        <v>0</v>
      </c>
      <c r="AM894" s="40">
        <f t="shared" si="387"/>
        <v>0</v>
      </c>
      <c r="AN894" s="40">
        <f t="shared" si="388"/>
        <v>0</v>
      </c>
      <c r="AO894" s="40">
        <f t="shared" si="389"/>
        <v>0</v>
      </c>
      <c r="AP894" s="40">
        <f t="shared" si="390"/>
        <v>0</v>
      </c>
      <c r="AQ894" s="40">
        <f t="shared" si="391"/>
        <v>0</v>
      </c>
      <c r="AR894" s="40">
        <f t="shared" si="392"/>
        <v>0</v>
      </c>
      <c r="AS894" s="40">
        <f t="shared" si="393"/>
        <v>0</v>
      </c>
    </row>
    <row r="895" spans="2:45" ht="14.4" customHeight="1" x14ac:dyDescent="0.25">
      <c r="B895" s="56" t="s">
        <v>45</v>
      </c>
      <c r="C895" s="57" t="s">
        <v>26</v>
      </c>
      <c r="D895" s="58" t="s">
        <v>37</v>
      </c>
      <c r="E895" s="62">
        <v>7.930000000000003E-3</v>
      </c>
      <c r="F895" s="65">
        <f t="shared" si="394"/>
        <v>-4.8371022433353801</v>
      </c>
      <c r="S895" s="40">
        <f t="shared" si="367"/>
        <v>0</v>
      </c>
      <c r="T895" s="40">
        <f t="shared" si="368"/>
        <v>0</v>
      </c>
      <c r="U895" s="40">
        <f t="shared" si="369"/>
        <v>0</v>
      </c>
      <c r="V895" s="40">
        <f t="shared" si="370"/>
        <v>1</v>
      </c>
      <c r="W895" s="40">
        <f t="shared" si="371"/>
        <v>0</v>
      </c>
      <c r="X895" s="40">
        <f t="shared" si="372"/>
        <v>0</v>
      </c>
      <c r="Y895" s="40">
        <f t="shared" si="373"/>
        <v>0</v>
      </c>
      <c r="Z895" s="40">
        <f t="shared" si="374"/>
        <v>0</v>
      </c>
      <c r="AA895" s="40">
        <f t="shared" si="375"/>
        <v>0</v>
      </c>
      <c r="AB895" s="40">
        <f t="shared" si="376"/>
        <v>0</v>
      </c>
      <c r="AC895" s="40">
        <f t="shared" si="377"/>
        <v>0</v>
      </c>
      <c r="AD895" s="40">
        <f t="shared" si="378"/>
        <v>0</v>
      </c>
      <c r="AE895" s="40">
        <f t="shared" si="379"/>
        <v>0</v>
      </c>
      <c r="AF895" s="40">
        <f t="shared" si="380"/>
        <v>1</v>
      </c>
      <c r="AG895" s="40">
        <f t="shared" si="381"/>
        <v>0</v>
      </c>
      <c r="AH895" s="40">
        <f t="shared" si="382"/>
        <v>0</v>
      </c>
      <c r="AI895" s="40">
        <f t="shared" si="383"/>
        <v>0</v>
      </c>
      <c r="AJ895" s="40">
        <f t="shared" si="384"/>
        <v>0</v>
      </c>
      <c r="AK895" s="40">
        <f t="shared" si="385"/>
        <v>1</v>
      </c>
      <c r="AL895" s="40">
        <f t="shared" si="386"/>
        <v>0</v>
      </c>
      <c r="AM895" s="40">
        <f t="shared" si="387"/>
        <v>0</v>
      </c>
      <c r="AN895" s="40">
        <f t="shared" si="388"/>
        <v>0</v>
      </c>
      <c r="AO895" s="40">
        <f t="shared" si="389"/>
        <v>0</v>
      </c>
      <c r="AP895" s="40">
        <f t="shared" si="390"/>
        <v>0</v>
      </c>
      <c r="AQ895" s="40">
        <f t="shared" si="391"/>
        <v>0</v>
      </c>
      <c r="AR895" s="40">
        <f t="shared" si="392"/>
        <v>0</v>
      </c>
      <c r="AS895" s="40">
        <f t="shared" si="393"/>
        <v>0</v>
      </c>
    </row>
    <row r="896" spans="2:45" ht="14.4" customHeight="1" x14ac:dyDescent="0.25">
      <c r="B896" s="56" t="s">
        <v>45</v>
      </c>
      <c r="C896" s="57" t="s">
        <v>26</v>
      </c>
      <c r="D896" s="58" t="s">
        <v>32</v>
      </c>
      <c r="E896" s="62">
        <v>6.5999999999999974E-3</v>
      </c>
      <c r="F896" s="65">
        <f t="shared" si="394"/>
        <v>-5.0206856299497575</v>
      </c>
      <c r="S896" s="40">
        <f t="shared" si="367"/>
        <v>0</v>
      </c>
      <c r="T896" s="40">
        <f t="shared" si="368"/>
        <v>0</v>
      </c>
      <c r="U896" s="40">
        <f t="shared" si="369"/>
        <v>0</v>
      </c>
      <c r="V896" s="40">
        <f t="shared" si="370"/>
        <v>1</v>
      </c>
      <c r="W896" s="40">
        <f t="shared" si="371"/>
        <v>0</v>
      </c>
      <c r="X896" s="40">
        <f t="shared" si="372"/>
        <v>0</v>
      </c>
      <c r="Y896" s="40">
        <f t="shared" si="373"/>
        <v>0</v>
      </c>
      <c r="Z896" s="40">
        <f t="shared" si="374"/>
        <v>0</v>
      </c>
      <c r="AA896" s="40">
        <f t="shared" si="375"/>
        <v>0</v>
      </c>
      <c r="AB896" s="40">
        <f t="shared" si="376"/>
        <v>1</v>
      </c>
      <c r="AC896" s="40">
        <f t="shared" si="377"/>
        <v>0</v>
      </c>
      <c r="AD896" s="40">
        <f t="shared" si="378"/>
        <v>0</v>
      </c>
      <c r="AE896" s="40">
        <f t="shared" si="379"/>
        <v>0</v>
      </c>
      <c r="AF896" s="40">
        <f t="shared" si="380"/>
        <v>0</v>
      </c>
      <c r="AG896" s="40">
        <f t="shared" si="381"/>
        <v>0</v>
      </c>
      <c r="AH896" s="40">
        <f t="shared" si="382"/>
        <v>0</v>
      </c>
      <c r="AI896" s="40">
        <f t="shared" si="383"/>
        <v>0</v>
      </c>
      <c r="AJ896" s="40">
        <f t="shared" si="384"/>
        <v>0</v>
      </c>
      <c r="AK896" s="40">
        <f t="shared" si="385"/>
        <v>0</v>
      </c>
      <c r="AL896" s="40">
        <f t="shared" si="386"/>
        <v>0</v>
      </c>
      <c r="AM896" s="40">
        <f t="shared" si="387"/>
        <v>0</v>
      </c>
      <c r="AN896" s="40">
        <f t="shared" si="388"/>
        <v>0</v>
      </c>
      <c r="AO896" s="40">
        <f t="shared" si="389"/>
        <v>1</v>
      </c>
      <c r="AP896" s="40">
        <f t="shared" si="390"/>
        <v>0</v>
      </c>
      <c r="AQ896" s="40">
        <f t="shared" si="391"/>
        <v>0</v>
      </c>
      <c r="AR896" s="40">
        <f t="shared" si="392"/>
        <v>0</v>
      </c>
      <c r="AS896" s="40">
        <f t="shared" si="393"/>
        <v>0</v>
      </c>
    </row>
    <row r="897" spans="2:45" ht="14.4" customHeight="1" x14ac:dyDescent="0.25">
      <c r="B897" s="56" t="s">
        <v>45</v>
      </c>
      <c r="C897" s="57" t="s">
        <v>25</v>
      </c>
      <c r="D897" s="58" t="s">
        <v>31</v>
      </c>
      <c r="E897" s="62">
        <v>7.139999999999997E-3</v>
      </c>
      <c r="F897" s="65">
        <f t="shared" si="394"/>
        <v>-4.9420425026306445</v>
      </c>
      <c r="S897" s="40">
        <f t="shared" si="367"/>
        <v>0</v>
      </c>
      <c r="T897" s="40">
        <f t="shared" si="368"/>
        <v>0</v>
      </c>
      <c r="U897" s="40">
        <f t="shared" si="369"/>
        <v>0</v>
      </c>
      <c r="V897" s="40">
        <f t="shared" si="370"/>
        <v>1</v>
      </c>
      <c r="W897" s="40">
        <f t="shared" si="371"/>
        <v>0</v>
      </c>
      <c r="X897" s="40">
        <f t="shared" si="372"/>
        <v>0</v>
      </c>
      <c r="Y897" s="40">
        <f t="shared" si="373"/>
        <v>0</v>
      </c>
      <c r="Z897" s="40">
        <f t="shared" si="374"/>
        <v>0</v>
      </c>
      <c r="AA897" s="40">
        <f t="shared" si="375"/>
        <v>0</v>
      </c>
      <c r="AB897" s="40">
        <f t="shared" si="376"/>
        <v>0</v>
      </c>
      <c r="AC897" s="40">
        <f t="shared" si="377"/>
        <v>0</v>
      </c>
      <c r="AD897" s="40">
        <f t="shared" si="378"/>
        <v>0</v>
      </c>
      <c r="AE897" s="40">
        <f t="shared" si="379"/>
        <v>0</v>
      </c>
      <c r="AF897" s="40">
        <f t="shared" si="380"/>
        <v>1</v>
      </c>
      <c r="AG897" s="40">
        <f t="shared" si="381"/>
        <v>0</v>
      </c>
      <c r="AH897" s="40">
        <f t="shared" si="382"/>
        <v>0</v>
      </c>
      <c r="AI897" s="40">
        <f t="shared" si="383"/>
        <v>0</v>
      </c>
      <c r="AJ897" s="40">
        <f t="shared" si="384"/>
        <v>0</v>
      </c>
      <c r="AK897" s="40">
        <f t="shared" si="385"/>
        <v>0</v>
      </c>
      <c r="AL897" s="40">
        <f t="shared" si="386"/>
        <v>0</v>
      </c>
      <c r="AM897" s="40">
        <f t="shared" si="387"/>
        <v>0</v>
      </c>
      <c r="AN897" s="40">
        <f t="shared" si="388"/>
        <v>0</v>
      </c>
      <c r="AO897" s="40">
        <f t="shared" si="389"/>
        <v>1</v>
      </c>
      <c r="AP897" s="40">
        <f t="shared" si="390"/>
        <v>0</v>
      </c>
      <c r="AQ897" s="40">
        <f t="shared" si="391"/>
        <v>0</v>
      </c>
      <c r="AR897" s="40">
        <f t="shared" si="392"/>
        <v>0</v>
      </c>
      <c r="AS897" s="40">
        <f t="shared" si="393"/>
        <v>0</v>
      </c>
    </row>
    <row r="898" spans="2:45" ht="14.4" customHeight="1" x14ac:dyDescent="0.25">
      <c r="B898" s="56" t="s">
        <v>45</v>
      </c>
      <c r="C898" s="57" t="s">
        <v>26</v>
      </c>
      <c r="D898" s="58" t="s">
        <v>31</v>
      </c>
      <c r="E898" s="62">
        <v>2.6200000000000012E-3</v>
      </c>
      <c r="F898" s="65">
        <f t="shared" si="394"/>
        <v>-5.9445809612091312</v>
      </c>
      <c r="S898" s="40">
        <f t="shared" si="367"/>
        <v>0</v>
      </c>
      <c r="T898" s="40">
        <f t="shared" si="368"/>
        <v>0</v>
      </c>
      <c r="U898" s="40">
        <f t="shared" si="369"/>
        <v>0</v>
      </c>
      <c r="V898" s="40">
        <f t="shared" si="370"/>
        <v>1</v>
      </c>
      <c r="W898" s="40">
        <f t="shared" si="371"/>
        <v>0</v>
      </c>
      <c r="X898" s="40">
        <f t="shared" si="372"/>
        <v>0</v>
      </c>
      <c r="Y898" s="40">
        <f t="shared" si="373"/>
        <v>0</v>
      </c>
      <c r="Z898" s="40">
        <f t="shared" si="374"/>
        <v>0</v>
      </c>
      <c r="AA898" s="40">
        <f t="shared" si="375"/>
        <v>0</v>
      </c>
      <c r="AB898" s="40">
        <f t="shared" si="376"/>
        <v>0</v>
      </c>
      <c r="AC898" s="40">
        <f t="shared" si="377"/>
        <v>0</v>
      </c>
      <c r="AD898" s="40">
        <f t="shared" si="378"/>
        <v>0</v>
      </c>
      <c r="AE898" s="40">
        <f t="shared" si="379"/>
        <v>1</v>
      </c>
      <c r="AF898" s="40">
        <f t="shared" si="380"/>
        <v>0</v>
      </c>
      <c r="AG898" s="40">
        <f t="shared" si="381"/>
        <v>0</v>
      </c>
      <c r="AH898" s="40">
        <f t="shared" si="382"/>
        <v>0</v>
      </c>
      <c r="AI898" s="40">
        <f t="shared" si="383"/>
        <v>0</v>
      </c>
      <c r="AJ898" s="40">
        <f t="shared" si="384"/>
        <v>0</v>
      </c>
      <c r="AK898" s="40">
        <f t="shared" si="385"/>
        <v>0</v>
      </c>
      <c r="AL898" s="40">
        <f t="shared" si="386"/>
        <v>0</v>
      </c>
      <c r="AM898" s="40">
        <f t="shared" si="387"/>
        <v>1</v>
      </c>
      <c r="AN898" s="40">
        <f t="shared" si="388"/>
        <v>0</v>
      </c>
      <c r="AO898" s="40">
        <f t="shared" si="389"/>
        <v>0</v>
      </c>
      <c r="AP898" s="40">
        <f t="shared" si="390"/>
        <v>0</v>
      </c>
      <c r="AQ898" s="40">
        <f t="shared" si="391"/>
        <v>0</v>
      </c>
      <c r="AR898" s="40">
        <f t="shared" si="392"/>
        <v>0</v>
      </c>
      <c r="AS898" s="40">
        <f t="shared" si="393"/>
        <v>0</v>
      </c>
    </row>
    <row r="899" spans="2:45" ht="14.4" customHeight="1" x14ac:dyDescent="0.25">
      <c r="B899" s="56" t="s">
        <v>45</v>
      </c>
      <c r="C899" s="57" t="s">
        <v>34</v>
      </c>
      <c r="D899" s="58" t="s">
        <v>35</v>
      </c>
      <c r="E899" s="62">
        <v>1.0210000000000004E-2</v>
      </c>
      <c r="F899" s="65">
        <f t="shared" si="394"/>
        <v>-4.5843876468055624</v>
      </c>
      <c r="S899" s="40">
        <f t="shared" si="367"/>
        <v>0</v>
      </c>
      <c r="T899" s="40">
        <f t="shared" si="368"/>
        <v>0</v>
      </c>
      <c r="U899" s="40">
        <f t="shared" si="369"/>
        <v>0</v>
      </c>
      <c r="V899" s="40">
        <f t="shared" si="370"/>
        <v>1</v>
      </c>
      <c r="W899" s="40">
        <f t="shared" si="371"/>
        <v>0</v>
      </c>
      <c r="X899" s="40">
        <f t="shared" si="372"/>
        <v>0</v>
      </c>
      <c r="Y899" s="40">
        <f t="shared" si="373"/>
        <v>0</v>
      </c>
      <c r="Z899" s="40">
        <f t="shared" si="374"/>
        <v>0</v>
      </c>
      <c r="AA899" s="40">
        <f t="shared" si="375"/>
        <v>0</v>
      </c>
      <c r="AB899" s="40">
        <f t="shared" si="376"/>
        <v>0</v>
      </c>
      <c r="AC899" s="40">
        <f t="shared" si="377"/>
        <v>0</v>
      </c>
      <c r="AD899" s="40">
        <f t="shared" si="378"/>
        <v>0</v>
      </c>
      <c r="AE899" s="40">
        <f t="shared" si="379"/>
        <v>0</v>
      </c>
      <c r="AF899" s="40">
        <f t="shared" si="380"/>
        <v>1</v>
      </c>
      <c r="AG899" s="40">
        <f t="shared" si="381"/>
        <v>0</v>
      </c>
      <c r="AH899" s="40">
        <f t="shared" si="382"/>
        <v>0</v>
      </c>
      <c r="AI899" s="40">
        <f t="shared" si="383"/>
        <v>0</v>
      </c>
      <c r="AJ899" s="40">
        <f t="shared" si="384"/>
        <v>0</v>
      </c>
      <c r="AK899" s="40">
        <f t="shared" si="385"/>
        <v>0</v>
      </c>
      <c r="AL899" s="40">
        <f t="shared" si="386"/>
        <v>0</v>
      </c>
      <c r="AM899" s="40">
        <f t="shared" si="387"/>
        <v>0</v>
      </c>
      <c r="AN899" s="40">
        <f t="shared" si="388"/>
        <v>0</v>
      </c>
      <c r="AO899" s="40">
        <f t="shared" si="389"/>
        <v>1</v>
      </c>
      <c r="AP899" s="40">
        <f t="shared" si="390"/>
        <v>0</v>
      </c>
      <c r="AQ899" s="40">
        <f t="shared" si="391"/>
        <v>0</v>
      </c>
      <c r="AR899" s="40">
        <f t="shared" si="392"/>
        <v>0</v>
      </c>
      <c r="AS899" s="40">
        <f t="shared" si="393"/>
        <v>0</v>
      </c>
    </row>
    <row r="900" spans="2:45" ht="14.4" customHeight="1" x14ac:dyDescent="0.25">
      <c r="B900" s="56" t="s">
        <v>45</v>
      </c>
      <c r="C900" s="57" t="s">
        <v>26</v>
      </c>
      <c r="D900" s="58" t="s">
        <v>31</v>
      </c>
      <c r="E900" s="62">
        <v>3.5400000000000015E-3</v>
      </c>
      <c r="F900" s="65">
        <f t="shared" si="394"/>
        <v>-5.6436285518364535</v>
      </c>
      <c r="S900" s="40">
        <f t="shared" si="367"/>
        <v>0</v>
      </c>
      <c r="T900" s="40">
        <f t="shared" si="368"/>
        <v>0</v>
      </c>
      <c r="U900" s="40">
        <f t="shared" si="369"/>
        <v>0</v>
      </c>
      <c r="V900" s="40">
        <f t="shared" si="370"/>
        <v>1</v>
      </c>
      <c r="W900" s="40">
        <f t="shared" si="371"/>
        <v>0</v>
      </c>
      <c r="X900" s="40">
        <f t="shared" si="372"/>
        <v>0</v>
      </c>
      <c r="Y900" s="40">
        <f t="shared" si="373"/>
        <v>0</v>
      </c>
      <c r="Z900" s="40">
        <f t="shared" si="374"/>
        <v>0</v>
      </c>
      <c r="AA900" s="40">
        <f t="shared" si="375"/>
        <v>0</v>
      </c>
      <c r="AB900" s="40">
        <f t="shared" si="376"/>
        <v>1</v>
      </c>
      <c r="AC900" s="40">
        <f t="shared" si="377"/>
        <v>0</v>
      </c>
      <c r="AD900" s="40">
        <f t="shared" si="378"/>
        <v>0</v>
      </c>
      <c r="AE900" s="40">
        <f t="shared" si="379"/>
        <v>0</v>
      </c>
      <c r="AF900" s="40">
        <f t="shared" si="380"/>
        <v>0</v>
      </c>
      <c r="AG900" s="40">
        <f t="shared" si="381"/>
        <v>0</v>
      </c>
      <c r="AH900" s="40">
        <f t="shared" si="382"/>
        <v>0</v>
      </c>
      <c r="AI900" s="40">
        <f t="shared" si="383"/>
        <v>0</v>
      </c>
      <c r="AJ900" s="40">
        <f t="shared" si="384"/>
        <v>0</v>
      </c>
      <c r="AK900" s="40">
        <f t="shared" si="385"/>
        <v>0</v>
      </c>
      <c r="AL900" s="40">
        <f t="shared" si="386"/>
        <v>0</v>
      </c>
      <c r="AM900" s="40">
        <f t="shared" si="387"/>
        <v>0</v>
      </c>
      <c r="AN900" s="40">
        <f t="shared" si="388"/>
        <v>0</v>
      </c>
      <c r="AO900" s="40">
        <f t="shared" si="389"/>
        <v>0</v>
      </c>
      <c r="AP900" s="40">
        <f t="shared" si="390"/>
        <v>0</v>
      </c>
      <c r="AQ900" s="40">
        <f t="shared" si="391"/>
        <v>0</v>
      </c>
      <c r="AR900" s="40">
        <f t="shared" si="392"/>
        <v>0</v>
      </c>
      <c r="AS900" s="40">
        <f t="shared" si="393"/>
        <v>1</v>
      </c>
    </row>
    <row r="901" spans="2:45" ht="14.4" customHeight="1" x14ac:dyDescent="0.25">
      <c r="B901" s="56" t="s">
        <v>45</v>
      </c>
      <c r="C901" s="57" t="s">
        <v>25</v>
      </c>
      <c r="D901" s="58" t="s">
        <v>22</v>
      </c>
      <c r="E901" s="62">
        <v>6.3699999999999981E-3</v>
      </c>
      <c r="F901" s="65">
        <f t="shared" si="394"/>
        <v>-5.0561558093980654</v>
      </c>
      <c r="S901" s="40">
        <f t="shared" si="367"/>
        <v>0</v>
      </c>
      <c r="T901" s="40">
        <f t="shared" si="368"/>
        <v>0</v>
      </c>
      <c r="U901" s="40">
        <f t="shared" si="369"/>
        <v>0</v>
      </c>
      <c r="V901" s="40">
        <f t="shared" si="370"/>
        <v>1</v>
      </c>
      <c r="W901" s="40">
        <f t="shared" si="371"/>
        <v>0</v>
      </c>
      <c r="X901" s="40">
        <f t="shared" si="372"/>
        <v>0</v>
      </c>
      <c r="Y901" s="40">
        <f t="shared" si="373"/>
        <v>0</v>
      </c>
      <c r="Z901" s="40">
        <f t="shared" si="374"/>
        <v>0</v>
      </c>
      <c r="AA901" s="40">
        <f t="shared" si="375"/>
        <v>0</v>
      </c>
      <c r="AB901" s="40">
        <f t="shared" si="376"/>
        <v>0</v>
      </c>
      <c r="AC901" s="40">
        <f t="shared" si="377"/>
        <v>0</v>
      </c>
      <c r="AD901" s="40">
        <f t="shared" si="378"/>
        <v>0</v>
      </c>
      <c r="AE901" s="40">
        <f t="shared" si="379"/>
        <v>0</v>
      </c>
      <c r="AF901" s="40">
        <f t="shared" si="380"/>
        <v>1</v>
      </c>
      <c r="AG901" s="40">
        <f t="shared" si="381"/>
        <v>0</v>
      </c>
      <c r="AH901" s="40">
        <f t="shared" si="382"/>
        <v>0</v>
      </c>
      <c r="AI901" s="40">
        <f t="shared" si="383"/>
        <v>1</v>
      </c>
      <c r="AJ901" s="40">
        <f t="shared" si="384"/>
        <v>0</v>
      </c>
      <c r="AK901" s="40">
        <f t="shared" si="385"/>
        <v>0</v>
      </c>
      <c r="AL901" s="40">
        <f t="shared" si="386"/>
        <v>0</v>
      </c>
      <c r="AM901" s="40">
        <f t="shared" si="387"/>
        <v>0</v>
      </c>
      <c r="AN901" s="40">
        <f t="shared" si="388"/>
        <v>0</v>
      </c>
      <c r="AO901" s="40">
        <f t="shared" si="389"/>
        <v>0</v>
      </c>
      <c r="AP901" s="40">
        <f t="shared" si="390"/>
        <v>0</v>
      </c>
      <c r="AQ901" s="40">
        <f t="shared" si="391"/>
        <v>0</v>
      </c>
      <c r="AR901" s="40">
        <f t="shared" si="392"/>
        <v>0</v>
      </c>
      <c r="AS901" s="40">
        <f t="shared" si="393"/>
        <v>0</v>
      </c>
    </row>
    <row r="902" spans="2:45" ht="14.4" customHeight="1" x14ac:dyDescent="0.25">
      <c r="B902" s="56" t="s">
        <v>45</v>
      </c>
      <c r="C902" s="57" t="s">
        <v>26</v>
      </c>
      <c r="D902" s="58" t="s">
        <v>28</v>
      </c>
      <c r="E902" s="62">
        <v>6.2900000000000013E-3</v>
      </c>
      <c r="F902" s="65">
        <f t="shared" si="394"/>
        <v>-5.0687942082697877</v>
      </c>
      <c r="S902" s="40">
        <f t="shared" si="367"/>
        <v>0</v>
      </c>
      <c r="T902" s="40">
        <f t="shared" si="368"/>
        <v>0</v>
      </c>
      <c r="U902" s="40">
        <f t="shared" si="369"/>
        <v>0</v>
      </c>
      <c r="V902" s="40">
        <f t="shared" si="370"/>
        <v>1</v>
      </c>
      <c r="W902" s="40">
        <f t="shared" si="371"/>
        <v>0</v>
      </c>
      <c r="X902" s="40">
        <f t="shared" si="372"/>
        <v>0</v>
      </c>
      <c r="Y902" s="40">
        <f t="shared" si="373"/>
        <v>0</v>
      </c>
      <c r="Z902" s="40">
        <f t="shared" si="374"/>
        <v>0</v>
      </c>
      <c r="AA902" s="40">
        <f t="shared" si="375"/>
        <v>0</v>
      </c>
      <c r="AB902" s="40">
        <f t="shared" si="376"/>
        <v>0</v>
      </c>
      <c r="AC902" s="40">
        <f t="shared" si="377"/>
        <v>0</v>
      </c>
      <c r="AD902" s="40">
        <f t="shared" si="378"/>
        <v>0</v>
      </c>
      <c r="AE902" s="40">
        <f t="shared" si="379"/>
        <v>0</v>
      </c>
      <c r="AF902" s="40">
        <f t="shared" si="380"/>
        <v>1</v>
      </c>
      <c r="AG902" s="40">
        <f t="shared" si="381"/>
        <v>0</v>
      </c>
      <c r="AH902" s="40">
        <f t="shared" si="382"/>
        <v>0</v>
      </c>
      <c r="AI902" s="40">
        <f t="shared" si="383"/>
        <v>0</v>
      </c>
      <c r="AJ902" s="40">
        <f t="shared" si="384"/>
        <v>0</v>
      </c>
      <c r="AK902" s="40">
        <f t="shared" si="385"/>
        <v>0</v>
      </c>
      <c r="AL902" s="40">
        <f t="shared" si="386"/>
        <v>1</v>
      </c>
      <c r="AM902" s="40">
        <f t="shared" si="387"/>
        <v>0</v>
      </c>
      <c r="AN902" s="40">
        <f t="shared" si="388"/>
        <v>0</v>
      </c>
      <c r="AO902" s="40">
        <f t="shared" si="389"/>
        <v>0</v>
      </c>
      <c r="AP902" s="40">
        <f t="shared" si="390"/>
        <v>0</v>
      </c>
      <c r="AQ902" s="40">
        <f t="shared" si="391"/>
        <v>0</v>
      </c>
      <c r="AR902" s="40">
        <f t="shared" si="392"/>
        <v>0</v>
      </c>
      <c r="AS902" s="40">
        <f t="shared" si="393"/>
        <v>0</v>
      </c>
    </row>
    <row r="903" spans="2:45" ht="14.4" customHeight="1" x14ac:dyDescent="0.25">
      <c r="B903" s="56" t="s">
        <v>45</v>
      </c>
      <c r="C903" s="57" t="s">
        <v>26</v>
      </c>
      <c r="D903" s="58" t="s">
        <v>24</v>
      </c>
      <c r="E903" s="62">
        <v>8.2400000000000008E-3</v>
      </c>
      <c r="F903" s="65">
        <f t="shared" si="394"/>
        <v>-4.7987549350607566</v>
      </c>
      <c r="S903" s="40">
        <f t="shared" si="367"/>
        <v>0</v>
      </c>
      <c r="T903" s="40">
        <f t="shared" si="368"/>
        <v>0</v>
      </c>
      <c r="U903" s="40">
        <f t="shared" si="369"/>
        <v>0</v>
      </c>
      <c r="V903" s="40">
        <f t="shared" si="370"/>
        <v>1</v>
      </c>
      <c r="W903" s="40">
        <f t="shared" si="371"/>
        <v>0</v>
      </c>
      <c r="X903" s="40">
        <f t="shared" si="372"/>
        <v>0</v>
      </c>
      <c r="Y903" s="40">
        <f t="shared" si="373"/>
        <v>0</v>
      </c>
      <c r="Z903" s="40">
        <f t="shared" si="374"/>
        <v>0</v>
      </c>
      <c r="AA903" s="40">
        <f t="shared" si="375"/>
        <v>0</v>
      </c>
      <c r="AB903" s="40">
        <f t="shared" si="376"/>
        <v>1</v>
      </c>
      <c r="AC903" s="40">
        <f t="shared" si="377"/>
        <v>0</v>
      </c>
      <c r="AD903" s="40">
        <f t="shared" si="378"/>
        <v>0</v>
      </c>
      <c r="AE903" s="40">
        <f t="shared" si="379"/>
        <v>0</v>
      </c>
      <c r="AF903" s="40">
        <f t="shared" si="380"/>
        <v>0</v>
      </c>
      <c r="AG903" s="40">
        <f t="shared" si="381"/>
        <v>0</v>
      </c>
      <c r="AH903" s="40">
        <f t="shared" si="382"/>
        <v>1</v>
      </c>
      <c r="AI903" s="40">
        <f t="shared" si="383"/>
        <v>0</v>
      </c>
      <c r="AJ903" s="40">
        <f t="shared" si="384"/>
        <v>0</v>
      </c>
      <c r="AK903" s="40">
        <f t="shared" si="385"/>
        <v>0</v>
      </c>
      <c r="AL903" s="40">
        <f t="shared" si="386"/>
        <v>0</v>
      </c>
      <c r="AM903" s="40">
        <f t="shared" si="387"/>
        <v>0</v>
      </c>
      <c r="AN903" s="40">
        <f t="shared" si="388"/>
        <v>0</v>
      </c>
      <c r="AO903" s="40">
        <f t="shared" si="389"/>
        <v>0</v>
      </c>
      <c r="AP903" s="40">
        <f t="shared" si="390"/>
        <v>0</v>
      </c>
      <c r="AQ903" s="40">
        <f t="shared" si="391"/>
        <v>0</v>
      </c>
      <c r="AR903" s="40">
        <f t="shared" si="392"/>
        <v>0</v>
      </c>
      <c r="AS903" s="40">
        <f t="shared" si="393"/>
        <v>0</v>
      </c>
    </row>
    <row r="904" spans="2:45" ht="14.4" customHeight="1" x14ac:dyDescent="0.25">
      <c r="B904" s="56" t="s">
        <v>45</v>
      </c>
      <c r="C904" s="57" t="s">
        <v>25</v>
      </c>
      <c r="D904" s="58" t="s">
        <v>27</v>
      </c>
      <c r="E904" s="62">
        <v>4.4000000000000011E-3</v>
      </c>
      <c r="F904" s="65">
        <f t="shared" si="394"/>
        <v>-5.4261507380579213</v>
      </c>
      <c r="S904" s="40">
        <f t="shared" si="367"/>
        <v>0</v>
      </c>
      <c r="T904" s="40">
        <f t="shared" si="368"/>
        <v>0</v>
      </c>
      <c r="U904" s="40">
        <f t="shared" si="369"/>
        <v>0</v>
      </c>
      <c r="V904" s="40">
        <f t="shared" si="370"/>
        <v>1</v>
      </c>
      <c r="W904" s="40">
        <f t="shared" si="371"/>
        <v>0</v>
      </c>
      <c r="X904" s="40">
        <f t="shared" si="372"/>
        <v>0</v>
      </c>
      <c r="Y904" s="40">
        <f t="shared" si="373"/>
        <v>0</v>
      </c>
      <c r="Z904" s="40">
        <f t="shared" si="374"/>
        <v>0</v>
      </c>
      <c r="AA904" s="40">
        <f t="shared" si="375"/>
        <v>0</v>
      </c>
      <c r="AB904" s="40">
        <f t="shared" si="376"/>
        <v>1</v>
      </c>
      <c r="AC904" s="40">
        <f t="shared" si="377"/>
        <v>0</v>
      </c>
      <c r="AD904" s="40">
        <f t="shared" si="378"/>
        <v>0</v>
      </c>
      <c r="AE904" s="40">
        <f t="shared" si="379"/>
        <v>0</v>
      </c>
      <c r="AF904" s="40">
        <f t="shared" si="380"/>
        <v>0</v>
      </c>
      <c r="AG904" s="40">
        <f t="shared" si="381"/>
        <v>0</v>
      </c>
      <c r="AH904" s="40">
        <f t="shared" si="382"/>
        <v>0</v>
      </c>
      <c r="AI904" s="40">
        <f t="shared" si="383"/>
        <v>1</v>
      </c>
      <c r="AJ904" s="40">
        <f t="shared" si="384"/>
        <v>0</v>
      </c>
      <c r="AK904" s="40">
        <f t="shared" si="385"/>
        <v>0</v>
      </c>
      <c r="AL904" s="40">
        <f t="shared" si="386"/>
        <v>0</v>
      </c>
      <c r="AM904" s="40">
        <f t="shared" si="387"/>
        <v>0</v>
      </c>
      <c r="AN904" s="40">
        <f t="shared" si="388"/>
        <v>0</v>
      </c>
      <c r="AO904" s="40">
        <f t="shared" si="389"/>
        <v>0</v>
      </c>
      <c r="AP904" s="40">
        <f t="shared" si="390"/>
        <v>0</v>
      </c>
      <c r="AQ904" s="40">
        <f t="shared" si="391"/>
        <v>0</v>
      </c>
      <c r="AR904" s="40">
        <f t="shared" si="392"/>
        <v>0</v>
      </c>
      <c r="AS904" s="40">
        <f t="shared" si="393"/>
        <v>0</v>
      </c>
    </row>
    <row r="905" spans="2:45" ht="14.4" customHeight="1" x14ac:dyDescent="0.25">
      <c r="B905" s="56" t="s">
        <v>45</v>
      </c>
      <c r="C905" s="57" t="s">
        <v>25</v>
      </c>
      <c r="D905" s="58" t="s">
        <v>28</v>
      </c>
      <c r="E905" s="62">
        <v>1.2679999999999995E-2</v>
      </c>
      <c r="F905" s="65">
        <f t="shared" si="394"/>
        <v>-4.3677293299730575</v>
      </c>
      <c r="S905" s="40">
        <f t="shared" si="367"/>
        <v>0</v>
      </c>
      <c r="T905" s="40">
        <f t="shared" si="368"/>
        <v>0</v>
      </c>
      <c r="U905" s="40">
        <f t="shared" si="369"/>
        <v>0</v>
      </c>
      <c r="V905" s="40">
        <f t="shared" si="370"/>
        <v>1</v>
      </c>
      <c r="W905" s="40">
        <f t="shared" si="371"/>
        <v>0</v>
      </c>
      <c r="X905" s="40">
        <f t="shared" si="372"/>
        <v>0</v>
      </c>
      <c r="Y905" s="40">
        <f t="shared" si="373"/>
        <v>0</v>
      </c>
      <c r="Z905" s="40">
        <f t="shared" si="374"/>
        <v>0</v>
      </c>
      <c r="AA905" s="40">
        <f t="shared" si="375"/>
        <v>0</v>
      </c>
      <c r="AB905" s="40">
        <f t="shared" si="376"/>
        <v>0</v>
      </c>
      <c r="AC905" s="40">
        <f t="shared" si="377"/>
        <v>0</v>
      </c>
      <c r="AD905" s="40">
        <f t="shared" si="378"/>
        <v>0</v>
      </c>
      <c r="AE905" s="40">
        <f t="shared" si="379"/>
        <v>0</v>
      </c>
      <c r="AF905" s="40">
        <f t="shared" si="380"/>
        <v>1</v>
      </c>
      <c r="AG905" s="40">
        <f t="shared" si="381"/>
        <v>0</v>
      </c>
      <c r="AH905" s="40">
        <f t="shared" si="382"/>
        <v>0</v>
      </c>
      <c r="AI905" s="40">
        <f t="shared" si="383"/>
        <v>0</v>
      </c>
      <c r="AJ905" s="40">
        <f t="shared" si="384"/>
        <v>0</v>
      </c>
      <c r="AK905" s="40">
        <f t="shared" si="385"/>
        <v>1</v>
      </c>
      <c r="AL905" s="40">
        <f t="shared" si="386"/>
        <v>0</v>
      </c>
      <c r="AM905" s="40">
        <f t="shared" si="387"/>
        <v>0</v>
      </c>
      <c r="AN905" s="40">
        <f t="shared" si="388"/>
        <v>0</v>
      </c>
      <c r="AO905" s="40">
        <f t="shared" si="389"/>
        <v>0</v>
      </c>
      <c r="AP905" s="40">
        <f t="shared" si="390"/>
        <v>0</v>
      </c>
      <c r="AQ905" s="40">
        <f t="shared" si="391"/>
        <v>0</v>
      </c>
      <c r="AR905" s="40">
        <f t="shared" si="392"/>
        <v>0</v>
      </c>
      <c r="AS905" s="40">
        <f t="shared" si="393"/>
        <v>0</v>
      </c>
    </row>
    <row r="906" spans="2:45" ht="14.4" customHeight="1" x14ac:dyDescent="0.25">
      <c r="B906" s="56" t="s">
        <v>45</v>
      </c>
      <c r="C906" s="57" t="s">
        <v>26</v>
      </c>
      <c r="D906" s="58" t="s">
        <v>32</v>
      </c>
      <c r="E906" s="62">
        <v>6.9700000000000005E-3</v>
      </c>
      <c r="F906" s="65">
        <f t="shared" si="394"/>
        <v>-4.9661400542097045</v>
      </c>
      <c r="S906" s="40">
        <f t="shared" ref="S906:S969" si="395">IF($B907=S$9,1,0)</f>
        <v>0</v>
      </c>
      <c r="T906" s="40">
        <f t="shared" ref="T906:T969" si="396">IF($B907=T$9,1,0)</f>
        <v>0</v>
      </c>
      <c r="U906" s="40">
        <f t="shared" ref="U906:U969" si="397">IF($B907=U$9,1,0)</f>
        <v>0</v>
      </c>
      <c r="V906" s="40">
        <f t="shared" ref="V906:V969" si="398">IF($B907=V$9,1,0)</f>
        <v>1</v>
      </c>
      <c r="W906" s="40">
        <f t="shared" ref="W906:W969" si="399">IF($B907=W$9,1,0)</f>
        <v>0</v>
      </c>
      <c r="X906" s="40">
        <f t="shared" ref="X906:X969" si="400">IF($B907=X$9,1,0)</f>
        <v>0</v>
      </c>
      <c r="Y906" s="40">
        <f t="shared" ref="Y906:Y969" si="401">IF($B907=Y$9,1,0)</f>
        <v>0</v>
      </c>
      <c r="Z906" s="40">
        <f t="shared" ref="Z906:Z969" si="402">IF($C907=Z$9,1,0)</f>
        <v>0</v>
      </c>
      <c r="AA906" s="40">
        <f t="shared" ref="AA906:AA969" si="403">IF($C907=AA$9,1,0)</f>
        <v>0</v>
      </c>
      <c r="AB906" s="40">
        <f t="shared" ref="AB906:AB969" si="404">IF($C907=AB$9,1,0)</f>
        <v>0</v>
      </c>
      <c r="AC906" s="40">
        <f t="shared" ref="AC906:AC969" si="405">IF($C907=AC$9,1,0)</f>
        <v>0</v>
      </c>
      <c r="AD906" s="40">
        <f t="shared" ref="AD906:AD969" si="406">IF($C907=AD$9,1,0)</f>
        <v>0</v>
      </c>
      <c r="AE906" s="40">
        <f t="shared" ref="AE906:AE969" si="407">IF($C907=AE$9,1,0)</f>
        <v>0</v>
      </c>
      <c r="AF906" s="40">
        <f t="shared" ref="AF906:AF969" si="408">IF($C907=AF$9,1,0)</f>
        <v>1</v>
      </c>
      <c r="AG906" s="40">
        <f t="shared" ref="AG906:AG969" si="409">IF($C907=AG$9,1,0)</f>
        <v>0</v>
      </c>
      <c r="AH906" s="40">
        <f t="shared" ref="AH906:AH969" si="410">IF($D907=AH$9,1,0)</f>
        <v>0</v>
      </c>
      <c r="AI906" s="40">
        <f t="shared" ref="AI906:AI969" si="411">IF($D907=AI$9,1,0)</f>
        <v>0</v>
      </c>
      <c r="AJ906" s="40">
        <f t="shared" ref="AJ906:AJ969" si="412">IF($D907=AJ$9,1,0)</f>
        <v>0</v>
      </c>
      <c r="AK906" s="40">
        <f t="shared" ref="AK906:AK969" si="413">IF($D907=AK$9,1,0)</f>
        <v>0</v>
      </c>
      <c r="AL906" s="40">
        <f t="shared" ref="AL906:AL969" si="414">IF($D907=AL$9,1,0)</f>
        <v>1</v>
      </c>
      <c r="AM906" s="40">
        <f t="shared" ref="AM906:AM969" si="415">IF($D907=AM$9,1,0)</f>
        <v>0</v>
      </c>
      <c r="AN906" s="40">
        <f t="shared" ref="AN906:AN969" si="416">IF($D907=AN$9,1,0)</f>
        <v>0</v>
      </c>
      <c r="AO906" s="40">
        <f t="shared" ref="AO906:AO969" si="417">IF($D907=AO$9,1,0)</f>
        <v>0</v>
      </c>
      <c r="AP906" s="40">
        <f t="shared" ref="AP906:AP969" si="418">IF($D907=AP$9,1,0)</f>
        <v>0</v>
      </c>
      <c r="AQ906" s="40">
        <f t="shared" ref="AQ906:AQ969" si="419">IF($D907=AQ$9,1,0)</f>
        <v>0</v>
      </c>
      <c r="AR906" s="40">
        <f t="shared" ref="AR906:AR969" si="420">IF($D907=AR$9,1,0)</f>
        <v>0</v>
      </c>
      <c r="AS906" s="40">
        <f t="shared" ref="AS906:AS969" si="421">IF($D907=AS$9,1,0)</f>
        <v>0</v>
      </c>
    </row>
    <row r="907" spans="2:45" ht="14.4" customHeight="1" x14ac:dyDescent="0.25">
      <c r="B907" s="56" t="s">
        <v>45</v>
      </c>
      <c r="C907" s="57" t="s">
        <v>26</v>
      </c>
      <c r="D907" s="58" t="s">
        <v>24</v>
      </c>
      <c r="E907" s="62">
        <v>8.490000000000001E-3</v>
      </c>
      <c r="F907" s="65">
        <f t="shared" si="394"/>
        <v>-4.7688662786588809</v>
      </c>
      <c r="S907" s="40">
        <f t="shared" si="395"/>
        <v>0</v>
      </c>
      <c r="T907" s="40">
        <f t="shared" si="396"/>
        <v>0</v>
      </c>
      <c r="U907" s="40">
        <f t="shared" si="397"/>
        <v>0</v>
      </c>
      <c r="V907" s="40">
        <f t="shared" si="398"/>
        <v>1</v>
      </c>
      <c r="W907" s="40">
        <f t="shared" si="399"/>
        <v>0</v>
      </c>
      <c r="X907" s="40">
        <f t="shared" si="400"/>
        <v>0</v>
      </c>
      <c r="Y907" s="40">
        <f t="shared" si="401"/>
        <v>0</v>
      </c>
      <c r="Z907" s="40">
        <f t="shared" si="402"/>
        <v>0</v>
      </c>
      <c r="AA907" s="40">
        <f t="shared" si="403"/>
        <v>0</v>
      </c>
      <c r="AB907" s="40">
        <f t="shared" si="404"/>
        <v>0</v>
      </c>
      <c r="AC907" s="40">
        <f t="shared" si="405"/>
        <v>0</v>
      </c>
      <c r="AD907" s="40">
        <f t="shared" si="406"/>
        <v>0</v>
      </c>
      <c r="AE907" s="40">
        <f t="shared" si="407"/>
        <v>0</v>
      </c>
      <c r="AF907" s="40">
        <f t="shared" si="408"/>
        <v>1</v>
      </c>
      <c r="AG907" s="40">
        <f t="shared" si="409"/>
        <v>0</v>
      </c>
      <c r="AH907" s="40">
        <f t="shared" si="410"/>
        <v>0</v>
      </c>
      <c r="AI907" s="40">
        <f t="shared" si="411"/>
        <v>0</v>
      </c>
      <c r="AJ907" s="40">
        <f t="shared" si="412"/>
        <v>0</v>
      </c>
      <c r="AK907" s="40">
        <f t="shared" si="413"/>
        <v>0</v>
      </c>
      <c r="AL907" s="40">
        <f t="shared" si="414"/>
        <v>0</v>
      </c>
      <c r="AM907" s="40">
        <f t="shared" si="415"/>
        <v>0</v>
      </c>
      <c r="AN907" s="40">
        <f t="shared" si="416"/>
        <v>0</v>
      </c>
      <c r="AO907" s="40">
        <f t="shared" si="417"/>
        <v>0</v>
      </c>
      <c r="AP907" s="40">
        <f t="shared" si="418"/>
        <v>0</v>
      </c>
      <c r="AQ907" s="40">
        <f t="shared" si="419"/>
        <v>0</v>
      </c>
      <c r="AR907" s="40">
        <f t="shared" si="420"/>
        <v>1</v>
      </c>
      <c r="AS907" s="40">
        <f t="shared" si="421"/>
        <v>0</v>
      </c>
    </row>
    <row r="908" spans="2:45" ht="14.4" customHeight="1" x14ac:dyDescent="0.25">
      <c r="B908" s="56" t="s">
        <v>45</v>
      </c>
      <c r="C908" s="57" t="s">
        <v>26</v>
      </c>
      <c r="D908" s="58" t="s">
        <v>33</v>
      </c>
      <c r="E908" s="62">
        <v>5.7499999999999999E-3</v>
      </c>
      <c r="F908" s="65">
        <f t="shared" ref="F908:F971" si="422">LN(E908)</f>
        <v>-5.1585554241728779</v>
      </c>
      <c r="S908" s="40">
        <f t="shared" si="395"/>
        <v>0</v>
      </c>
      <c r="T908" s="40">
        <f t="shared" si="396"/>
        <v>0</v>
      </c>
      <c r="U908" s="40">
        <f t="shared" si="397"/>
        <v>0</v>
      </c>
      <c r="V908" s="40">
        <f t="shared" si="398"/>
        <v>1</v>
      </c>
      <c r="W908" s="40">
        <f t="shared" si="399"/>
        <v>0</v>
      </c>
      <c r="X908" s="40">
        <f t="shared" si="400"/>
        <v>0</v>
      </c>
      <c r="Y908" s="40">
        <f t="shared" si="401"/>
        <v>0</v>
      </c>
      <c r="Z908" s="40">
        <f t="shared" si="402"/>
        <v>0</v>
      </c>
      <c r="AA908" s="40">
        <f t="shared" si="403"/>
        <v>0</v>
      </c>
      <c r="AB908" s="40">
        <f t="shared" si="404"/>
        <v>0</v>
      </c>
      <c r="AC908" s="40">
        <f t="shared" si="405"/>
        <v>0</v>
      </c>
      <c r="AD908" s="40">
        <f t="shared" si="406"/>
        <v>0</v>
      </c>
      <c r="AE908" s="40">
        <f t="shared" si="407"/>
        <v>0</v>
      </c>
      <c r="AF908" s="40">
        <f t="shared" si="408"/>
        <v>1</v>
      </c>
      <c r="AG908" s="40">
        <f t="shared" si="409"/>
        <v>0</v>
      </c>
      <c r="AH908" s="40">
        <f t="shared" si="410"/>
        <v>0</v>
      </c>
      <c r="AI908" s="40">
        <f t="shared" si="411"/>
        <v>0</v>
      </c>
      <c r="AJ908" s="40">
        <f t="shared" si="412"/>
        <v>1</v>
      </c>
      <c r="AK908" s="40">
        <f t="shared" si="413"/>
        <v>0</v>
      </c>
      <c r="AL908" s="40">
        <f t="shared" si="414"/>
        <v>0</v>
      </c>
      <c r="AM908" s="40">
        <f t="shared" si="415"/>
        <v>0</v>
      </c>
      <c r="AN908" s="40">
        <f t="shared" si="416"/>
        <v>0</v>
      </c>
      <c r="AO908" s="40">
        <f t="shared" si="417"/>
        <v>0</v>
      </c>
      <c r="AP908" s="40">
        <f t="shared" si="418"/>
        <v>0</v>
      </c>
      <c r="AQ908" s="40">
        <f t="shared" si="419"/>
        <v>0</v>
      </c>
      <c r="AR908" s="40">
        <f t="shared" si="420"/>
        <v>0</v>
      </c>
      <c r="AS908" s="40">
        <f t="shared" si="421"/>
        <v>0</v>
      </c>
    </row>
    <row r="909" spans="2:45" ht="14.4" customHeight="1" x14ac:dyDescent="0.25">
      <c r="B909" s="56" t="s">
        <v>45</v>
      </c>
      <c r="C909" s="57" t="s">
        <v>26</v>
      </c>
      <c r="D909" s="58" t="s">
        <v>37</v>
      </c>
      <c r="E909" s="62">
        <v>7.700000000000002E-3</v>
      </c>
      <c r="F909" s="65">
        <f t="shared" si="422"/>
        <v>-4.8665349501224986</v>
      </c>
      <c r="S909" s="40">
        <f t="shared" si="395"/>
        <v>0</v>
      </c>
      <c r="T909" s="40">
        <f t="shared" si="396"/>
        <v>0</v>
      </c>
      <c r="U909" s="40">
        <f t="shared" si="397"/>
        <v>0</v>
      </c>
      <c r="V909" s="40">
        <f t="shared" si="398"/>
        <v>1</v>
      </c>
      <c r="W909" s="40">
        <f t="shared" si="399"/>
        <v>0</v>
      </c>
      <c r="X909" s="40">
        <f t="shared" si="400"/>
        <v>0</v>
      </c>
      <c r="Y909" s="40">
        <f t="shared" si="401"/>
        <v>0</v>
      </c>
      <c r="Z909" s="40">
        <f t="shared" si="402"/>
        <v>0</v>
      </c>
      <c r="AA909" s="40">
        <f t="shared" si="403"/>
        <v>0</v>
      </c>
      <c r="AB909" s="40">
        <f t="shared" si="404"/>
        <v>1</v>
      </c>
      <c r="AC909" s="40">
        <f t="shared" si="405"/>
        <v>0</v>
      </c>
      <c r="AD909" s="40">
        <f t="shared" si="406"/>
        <v>0</v>
      </c>
      <c r="AE909" s="40">
        <f t="shared" si="407"/>
        <v>0</v>
      </c>
      <c r="AF909" s="40">
        <f t="shared" si="408"/>
        <v>0</v>
      </c>
      <c r="AG909" s="40">
        <f t="shared" si="409"/>
        <v>0</v>
      </c>
      <c r="AH909" s="40">
        <f t="shared" si="410"/>
        <v>0</v>
      </c>
      <c r="AI909" s="40">
        <f t="shared" si="411"/>
        <v>0</v>
      </c>
      <c r="AJ909" s="40">
        <f t="shared" si="412"/>
        <v>0</v>
      </c>
      <c r="AK909" s="40">
        <f t="shared" si="413"/>
        <v>0</v>
      </c>
      <c r="AL909" s="40">
        <f t="shared" si="414"/>
        <v>0</v>
      </c>
      <c r="AM909" s="40">
        <f t="shared" si="415"/>
        <v>0</v>
      </c>
      <c r="AN909" s="40">
        <f t="shared" si="416"/>
        <v>0</v>
      </c>
      <c r="AO909" s="40">
        <f t="shared" si="417"/>
        <v>0</v>
      </c>
      <c r="AP909" s="40">
        <f t="shared" si="418"/>
        <v>0</v>
      </c>
      <c r="AQ909" s="40">
        <f t="shared" si="419"/>
        <v>0</v>
      </c>
      <c r="AR909" s="40">
        <f t="shared" si="420"/>
        <v>0</v>
      </c>
      <c r="AS909" s="40">
        <f t="shared" si="421"/>
        <v>1</v>
      </c>
    </row>
    <row r="910" spans="2:45" ht="14.4" customHeight="1" x14ac:dyDescent="0.25">
      <c r="B910" s="56" t="s">
        <v>45</v>
      </c>
      <c r="C910" s="57" t="s">
        <v>25</v>
      </c>
      <c r="D910" s="58" t="s">
        <v>22</v>
      </c>
      <c r="E910" s="62">
        <v>3.4099999999999998E-3</v>
      </c>
      <c r="F910" s="65">
        <f t="shared" si="422"/>
        <v>-5.6810429876867117</v>
      </c>
      <c r="S910" s="40">
        <f t="shared" si="395"/>
        <v>0</v>
      </c>
      <c r="T910" s="40">
        <f t="shared" si="396"/>
        <v>0</v>
      </c>
      <c r="U910" s="40">
        <f t="shared" si="397"/>
        <v>0</v>
      </c>
      <c r="V910" s="40">
        <f t="shared" si="398"/>
        <v>1</v>
      </c>
      <c r="W910" s="40">
        <f t="shared" si="399"/>
        <v>0</v>
      </c>
      <c r="X910" s="40">
        <f t="shared" si="400"/>
        <v>0</v>
      </c>
      <c r="Y910" s="40">
        <f t="shared" si="401"/>
        <v>0</v>
      </c>
      <c r="Z910" s="40">
        <f t="shared" si="402"/>
        <v>0</v>
      </c>
      <c r="AA910" s="40">
        <f t="shared" si="403"/>
        <v>0</v>
      </c>
      <c r="AB910" s="40">
        <f t="shared" si="404"/>
        <v>1</v>
      </c>
      <c r="AC910" s="40">
        <f t="shared" si="405"/>
        <v>0</v>
      </c>
      <c r="AD910" s="40">
        <f t="shared" si="406"/>
        <v>0</v>
      </c>
      <c r="AE910" s="40">
        <f t="shared" si="407"/>
        <v>0</v>
      </c>
      <c r="AF910" s="40">
        <f t="shared" si="408"/>
        <v>0</v>
      </c>
      <c r="AG910" s="40">
        <f t="shared" si="409"/>
        <v>0</v>
      </c>
      <c r="AH910" s="40">
        <f t="shared" si="410"/>
        <v>0</v>
      </c>
      <c r="AI910" s="40">
        <f t="shared" si="411"/>
        <v>0</v>
      </c>
      <c r="AJ910" s="40">
        <f t="shared" si="412"/>
        <v>0</v>
      </c>
      <c r="AK910" s="40">
        <f t="shared" si="413"/>
        <v>0</v>
      </c>
      <c r="AL910" s="40">
        <f t="shared" si="414"/>
        <v>0</v>
      </c>
      <c r="AM910" s="40">
        <f t="shared" si="415"/>
        <v>0</v>
      </c>
      <c r="AN910" s="40">
        <f t="shared" si="416"/>
        <v>0</v>
      </c>
      <c r="AO910" s="40">
        <f t="shared" si="417"/>
        <v>0</v>
      </c>
      <c r="AP910" s="40">
        <f t="shared" si="418"/>
        <v>0</v>
      </c>
      <c r="AQ910" s="40">
        <f t="shared" si="419"/>
        <v>0</v>
      </c>
      <c r="AR910" s="40">
        <f t="shared" si="420"/>
        <v>1</v>
      </c>
      <c r="AS910" s="40">
        <f t="shared" si="421"/>
        <v>0</v>
      </c>
    </row>
    <row r="911" spans="2:45" ht="14.4" customHeight="1" x14ac:dyDescent="0.25">
      <c r="B911" s="56" t="s">
        <v>45</v>
      </c>
      <c r="C911" s="57" t="s">
        <v>25</v>
      </c>
      <c r="D911" s="58" t="s">
        <v>33</v>
      </c>
      <c r="E911" s="62">
        <v>6.1899999999999993E-3</v>
      </c>
      <c r="F911" s="65">
        <f t="shared" si="422"/>
        <v>-5.0848201922856324</v>
      </c>
      <c r="S911" s="40">
        <f t="shared" si="395"/>
        <v>0</v>
      </c>
      <c r="T911" s="40">
        <f t="shared" si="396"/>
        <v>0</v>
      </c>
      <c r="U911" s="40">
        <f t="shared" si="397"/>
        <v>0</v>
      </c>
      <c r="V911" s="40">
        <f t="shared" si="398"/>
        <v>1</v>
      </c>
      <c r="W911" s="40">
        <f t="shared" si="399"/>
        <v>0</v>
      </c>
      <c r="X911" s="40">
        <f t="shared" si="400"/>
        <v>0</v>
      </c>
      <c r="Y911" s="40">
        <f t="shared" si="401"/>
        <v>0</v>
      </c>
      <c r="Z911" s="40">
        <f t="shared" si="402"/>
        <v>0</v>
      </c>
      <c r="AA911" s="40">
        <f t="shared" si="403"/>
        <v>0</v>
      </c>
      <c r="AB911" s="40">
        <f t="shared" si="404"/>
        <v>1</v>
      </c>
      <c r="AC911" s="40">
        <f t="shared" si="405"/>
        <v>0</v>
      </c>
      <c r="AD911" s="40">
        <f t="shared" si="406"/>
        <v>0</v>
      </c>
      <c r="AE911" s="40">
        <f t="shared" si="407"/>
        <v>0</v>
      </c>
      <c r="AF911" s="40">
        <f t="shared" si="408"/>
        <v>0</v>
      </c>
      <c r="AG911" s="40">
        <f t="shared" si="409"/>
        <v>0</v>
      </c>
      <c r="AH911" s="40">
        <f t="shared" si="410"/>
        <v>0</v>
      </c>
      <c r="AI911" s="40">
        <f t="shared" si="411"/>
        <v>1</v>
      </c>
      <c r="AJ911" s="40">
        <f t="shared" si="412"/>
        <v>0</v>
      </c>
      <c r="AK911" s="40">
        <f t="shared" si="413"/>
        <v>0</v>
      </c>
      <c r="AL911" s="40">
        <f t="shared" si="414"/>
        <v>0</v>
      </c>
      <c r="AM911" s="40">
        <f t="shared" si="415"/>
        <v>0</v>
      </c>
      <c r="AN911" s="40">
        <f t="shared" si="416"/>
        <v>0</v>
      </c>
      <c r="AO911" s="40">
        <f t="shared" si="417"/>
        <v>0</v>
      </c>
      <c r="AP911" s="40">
        <f t="shared" si="418"/>
        <v>0</v>
      </c>
      <c r="AQ911" s="40">
        <f t="shared" si="419"/>
        <v>0</v>
      </c>
      <c r="AR911" s="40">
        <f t="shared" si="420"/>
        <v>0</v>
      </c>
      <c r="AS911" s="40">
        <f t="shared" si="421"/>
        <v>0</v>
      </c>
    </row>
    <row r="912" spans="2:45" ht="14.4" customHeight="1" x14ac:dyDescent="0.25">
      <c r="B912" s="56" t="s">
        <v>45</v>
      </c>
      <c r="C912" s="57" t="s">
        <v>25</v>
      </c>
      <c r="D912" s="58" t="s">
        <v>28</v>
      </c>
      <c r="E912" s="62">
        <v>8.9400000000000018E-3</v>
      </c>
      <c r="F912" s="65">
        <f t="shared" si="422"/>
        <v>-4.717219689796714</v>
      </c>
      <c r="S912" s="40">
        <f t="shared" si="395"/>
        <v>0</v>
      </c>
      <c r="T912" s="40">
        <f t="shared" si="396"/>
        <v>0</v>
      </c>
      <c r="U912" s="40">
        <f t="shared" si="397"/>
        <v>0</v>
      </c>
      <c r="V912" s="40">
        <f t="shared" si="398"/>
        <v>1</v>
      </c>
      <c r="W912" s="40">
        <f t="shared" si="399"/>
        <v>0</v>
      </c>
      <c r="X912" s="40">
        <f t="shared" si="400"/>
        <v>0</v>
      </c>
      <c r="Y912" s="40">
        <f t="shared" si="401"/>
        <v>0</v>
      </c>
      <c r="Z912" s="40">
        <f t="shared" si="402"/>
        <v>0</v>
      </c>
      <c r="AA912" s="40">
        <f t="shared" si="403"/>
        <v>0</v>
      </c>
      <c r="AB912" s="40">
        <f t="shared" si="404"/>
        <v>1</v>
      </c>
      <c r="AC912" s="40">
        <f t="shared" si="405"/>
        <v>0</v>
      </c>
      <c r="AD912" s="40">
        <f t="shared" si="406"/>
        <v>0</v>
      </c>
      <c r="AE912" s="40">
        <f t="shared" si="407"/>
        <v>0</v>
      </c>
      <c r="AF912" s="40">
        <f t="shared" si="408"/>
        <v>0</v>
      </c>
      <c r="AG912" s="40">
        <f t="shared" si="409"/>
        <v>0</v>
      </c>
      <c r="AH912" s="40">
        <f t="shared" si="410"/>
        <v>0</v>
      </c>
      <c r="AI912" s="40">
        <f t="shared" si="411"/>
        <v>0</v>
      </c>
      <c r="AJ912" s="40">
        <f t="shared" si="412"/>
        <v>0</v>
      </c>
      <c r="AK912" s="40">
        <f t="shared" si="413"/>
        <v>0</v>
      </c>
      <c r="AL912" s="40">
        <f t="shared" si="414"/>
        <v>0</v>
      </c>
      <c r="AM912" s="40">
        <f t="shared" si="415"/>
        <v>0</v>
      </c>
      <c r="AN912" s="40">
        <f t="shared" si="416"/>
        <v>0</v>
      </c>
      <c r="AO912" s="40">
        <f t="shared" si="417"/>
        <v>1</v>
      </c>
      <c r="AP912" s="40">
        <f t="shared" si="418"/>
        <v>0</v>
      </c>
      <c r="AQ912" s="40">
        <f t="shared" si="419"/>
        <v>0</v>
      </c>
      <c r="AR912" s="40">
        <f t="shared" si="420"/>
        <v>0</v>
      </c>
      <c r="AS912" s="40">
        <f t="shared" si="421"/>
        <v>0</v>
      </c>
    </row>
    <row r="913" spans="2:45" ht="14.4" customHeight="1" x14ac:dyDescent="0.25">
      <c r="B913" s="56" t="s">
        <v>45</v>
      </c>
      <c r="C913" s="57" t="s">
        <v>25</v>
      </c>
      <c r="D913" s="58" t="s">
        <v>31</v>
      </c>
      <c r="E913" s="62">
        <v>5.3799999999999994E-3</v>
      </c>
      <c r="F913" s="65">
        <f t="shared" si="422"/>
        <v>-5.2250669048084442</v>
      </c>
      <c r="S913" s="40">
        <f t="shared" si="395"/>
        <v>0</v>
      </c>
      <c r="T913" s="40">
        <f t="shared" si="396"/>
        <v>0</v>
      </c>
      <c r="U913" s="40">
        <f t="shared" si="397"/>
        <v>0</v>
      </c>
      <c r="V913" s="40">
        <f t="shared" si="398"/>
        <v>1</v>
      </c>
      <c r="W913" s="40">
        <f t="shared" si="399"/>
        <v>0</v>
      </c>
      <c r="X913" s="40">
        <f t="shared" si="400"/>
        <v>0</v>
      </c>
      <c r="Y913" s="40">
        <f t="shared" si="401"/>
        <v>0</v>
      </c>
      <c r="Z913" s="40">
        <f t="shared" si="402"/>
        <v>0</v>
      </c>
      <c r="AA913" s="40">
        <f t="shared" si="403"/>
        <v>0</v>
      </c>
      <c r="AB913" s="40">
        <f t="shared" si="404"/>
        <v>0</v>
      </c>
      <c r="AC913" s="40">
        <f t="shared" si="405"/>
        <v>0</v>
      </c>
      <c r="AD913" s="40">
        <f t="shared" si="406"/>
        <v>0</v>
      </c>
      <c r="AE913" s="40">
        <f t="shared" si="407"/>
        <v>0</v>
      </c>
      <c r="AF913" s="40">
        <f t="shared" si="408"/>
        <v>1</v>
      </c>
      <c r="AG913" s="40">
        <f t="shared" si="409"/>
        <v>0</v>
      </c>
      <c r="AH913" s="40">
        <f t="shared" si="410"/>
        <v>0</v>
      </c>
      <c r="AI913" s="40">
        <f t="shared" si="411"/>
        <v>0</v>
      </c>
      <c r="AJ913" s="40">
        <f t="shared" si="412"/>
        <v>0</v>
      </c>
      <c r="AK913" s="40">
        <f t="shared" si="413"/>
        <v>0</v>
      </c>
      <c r="AL913" s="40">
        <f t="shared" si="414"/>
        <v>1</v>
      </c>
      <c r="AM913" s="40">
        <f t="shared" si="415"/>
        <v>0</v>
      </c>
      <c r="AN913" s="40">
        <f t="shared" si="416"/>
        <v>0</v>
      </c>
      <c r="AO913" s="40">
        <f t="shared" si="417"/>
        <v>0</v>
      </c>
      <c r="AP913" s="40">
        <f t="shared" si="418"/>
        <v>0</v>
      </c>
      <c r="AQ913" s="40">
        <f t="shared" si="419"/>
        <v>0</v>
      </c>
      <c r="AR913" s="40">
        <f t="shared" si="420"/>
        <v>0</v>
      </c>
      <c r="AS913" s="40">
        <f t="shared" si="421"/>
        <v>0</v>
      </c>
    </row>
    <row r="914" spans="2:45" ht="14.4" customHeight="1" x14ac:dyDescent="0.25">
      <c r="B914" s="56" t="s">
        <v>45</v>
      </c>
      <c r="C914" s="57" t="s">
        <v>26</v>
      </c>
      <c r="D914" s="58" t="s">
        <v>24</v>
      </c>
      <c r="E914" s="62">
        <v>9.2900000000000031E-3</v>
      </c>
      <c r="F914" s="65">
        <f t="shared" si="422"/>
        <v>-4.6788167261563895</v>
      </c>
      <c r="S914" s="40">
        <f t="shared" si="395"/>
        <v>0</v>
      </c>
      <c r="T914" s="40">
        <f t="shared" si="396"/>
        <v>0</v>
      </c>
      <c r="U914" s="40">
        <f t="shared" si="397"/>
        <v>0</v>
      </c>
      <c r="V914" s="40">
        <f t="shared" si="398"/>
        <v>1</v>
      </c>
      <c r="W914" s="40">
        <f t="shared" si="399"/>
        <v>0</v>
      </c>
      <c r="X914" s="40">
        <f t="shared" si="400"/>
        <v>0</v>
      </c>
      <c r="Y914" s="40">
        <f t="shared" si="401"/>
        <v>0</v>
      </c>
      <c r="Z914" s="40">
        <f t="shared" si="402"/>
        <v>0</v>
      </c>
      <c r="AA914" s="40">
        <f t="shared" si="403"/>
        <v>0</v>
      </c>
      <c r="AB914" s="40">
        <f t="shared" si="404"/>
        <v>0</v>
      </c>
      <c r="AC914" s="40">
        <f t="shared" si="405"/>
        <v>0</v>
      </c>
      <c r="AD914" s="40">
        <f t="shared" si="406"/>
        <v>0</v>
      </c>
      <c r="AE914" s="40">
        <f t="shared" si="407"/>
        <v>0</v>
      </c>
      <c r="AF914" s="40">
        <f t="shared" si="408"/>
        <v>1</v>
      </c>
      <c r="AG914" s="40">
        <f t="shared" si="409"/>
        <v>0</v>
      </c>
      <c r="AH914" s="40">
        <f t="shared" si="410"/>
        <v>0</v>
      </c>
      <c r="AI914" s="40">
        <f t="shared" si="411"/>
        <v>0</v>
      </c>
      <c r="AJ914" s="40">
        <f t="shared" si="412"/>
        <v>0</v>
      </c>
      <c r="AK914" s="40">
        <f t="shared" si="413"/>
        <v>0</v>
      </c>
      <c r="AL914" s="40">
        <f t="shared" si="414"/>
        <v>0</v>
      </c>
      <c r="AM914" s="40">
        <f t="shared" si="415"/>
        <v>0</v>
      </c>
      <c r="AN914" s="40">
        <f t="shared" si="416"/>
        <v>0</v>
      </c>
      <c r="AO914" s="40">
        <f t="shared" si="417"/>
        <v>1</v>
      </c>
      <c r="AP914" s="40">
        <f t="shared" si="418"/>
        <v>0</v>
      </c>
      <c r="AQ914" s="40">
        <f t="shared" si="419"/>
        <v>0</v>
      </c>
      <c r="AR914" s="40">
        <f t="shared" si="420"/>
        <v>0</v>
      </c>
      <c r="AS914" s="40">
        <f t="shared" si="421"/>
        <v>0</v>
      </c>
    </row>
    <row r="915" spans="2:45" ht="14.4" customHeight="1" x14ac:dyDescent="0.25">
      <c r="B915" s="56" t="s">
        <v>45</v>
      </c>
      <c r="C915" s="57" t="s">
        <v>26</v>
      </c>
      <c r="D915" s="58" t="s">
        <v>31</v>
      </c>
      <c r="E915" s="62">
        <v>5.7499999999999999E-3</v>
      </c>
      <c r="F915" s="65">
        <f t="shared" si="422"/>
        <v>-5.1585554241728779</v>
      </c>
      <c r="S915" s="40">
        <f t="shared" si="395"/>
        <v>0</v>
      </c>
      <c r="T915" s="40">
        <f t="shared" si="396"/>
        <v>0</v>
      </c>
      <c r="U915" s="40">
        <f t="shared" si="397"/>
        <v>0</v>
      </c>
      <c r="V915" s="40">
        <f t="shared" si="398"/>
        <v>1</v>
      </c>
      <c r="W915" s="40">
        <f t="shared" si="399"/>
        <v>0</v>
      </c>
      <c r="X915" s="40">
        <f t="shared" si="400"/>
        <v>0</v>
      </c>
      <c r="Y915" s="40">
        <f t="shared" si="401"/>
        <v>0</v>
      </c>
      <c r="Z915" s="40">
        <f t="shared" si="402"/>
        <v>0</v>
      </c>
      <c r="AA915" s="40">
        <f t="shared" si="403"/>
        <v>0</v>
      </c>
      <c r="AB915" s="40">
        <f t="shared" si="404"/>
        <v>0</v>
      </c>
      <c r="AC915" s="40">
        <f t="shared" si="405"/>
        <v>0</v>
      </c>
      <c r="AD915" s="40">
        <f t="shared" si="406"/>
        <v>0</v>
      </c>
      <c r="AE915" s="40">
        <f t="shared" si="407"/>
        <v>0</v>
      </c>
      <c r="AF915" s="40">
        <f t="shared" si="408"/>
        <v>1</v>
      </c>
      <c r="AG915" s="40">
        <f t="shared" si="409"/>
        <v>0</v>
      </c>
      <c r="AH915" s="40">
        <f t="shared" si="410"/>
        <v>0</v>
      </c>
      <c r="AI915" s="40">
        <f t="shared" si="411"/>
        <v>0</v>
      </c>
      <c r="AJ915" s="40">
        <f t="shared" si="412"/>
        <v>0</v>
      </c>
      <c r="AK915" s="40">
        <f t="shared" si="413"/>
        <v>0</v>
      </c>
      <c r="AL915" s="40">
        <f t="shared" si="414"/>
        <v>0</v>
      </c>
      <c r="AM915" s="40">
        <f t="shared" si="415"/>
        <v>0</v>
      </c>
      <c r="AN915" s="40">
        <f t="shared" si="416"/>
        <v>0</v>
      </c>
      <c r="AO915" s="40">
        <f t="shared" si="417"/>
        <v>0</v>
      </c>
      <c r="AP915" s="40">
        <f t="shared" si="418"/>
        <v>0</v>
      </c>
      <c r="AQ915" s="40">
        <f t="shared" si="419"/>
        <v>0</v>
      </c>
      <c r="AR915" s="40">
        <f t="shared" si="420"/>
        <v>0</v>
      </c>
      <c r="AS915" s="40">
        <f t="shared" si="421"/>
        <v>1</v>
      </c>
    </row>
    <row r="916" spans="2:45" ht="14.4" customHeight="1" x14ac:dyDescent="0.25">
      <c r="B916" s="56" t="s">
        <v>45</v>
      </c>
      <c r="C916" s="57" t="s">
        <v>26</v>
      </c>
      <c r="D916" s="58" t="s">
        <v>22</v>
      </c>
      <c r="E916" s="62">
        <v>7.8799999999999999E-3</v>
      </c>
      <c r="F916" s="65">
        <f t="shared" si="422"/>
        <v>-4.8434273751123493</v>
      </c>
      <c r="S916" s="40">
        <f t="shared" si="395"/>
        <v>0</v>
      </c>
      <c r="T916" s="40">
        <f t="shared" si="396"/>
        <v>0</v>
      </c>
      <c r="U916" s="40">
        <f t="shared" si="397"/>
        <v>0</v>
      </c>
      <c r="V916" s="40">
        <f t="shared" si="398"/>
        <v>1</v>
      </c>
      <c r="W916" s="40">
        <f t="shared" si="399"/>
        <v>0</v>
      </c>
      <c r="X916" s="40">
        <f t="shared" si="400"/>
        <v>0</v>
      </c>
      <c r="Y916" s="40">
        <f t="shared" si="401"/>
        <v>0</v>
      </c>
      <c r="Z916" s="40">
        <f t="shared" si="402"/>
        <v>0</v>
      </c>
      <c r="AA916" s="40">
        <f t="shared" si="403"/>
        <v>0</v>
      </c>
      <c r="AB916" s="40">
        <f t="shared" si="404"/>
        <v>0</v>
      </c>
      <c r="AC916" s="40">
        <f t="shared" si="405"/>
        <v>0</v>
      </c>
      <c r="AD916" s="40">
        <f t="shared" si="406"/>
        <v>0</v>
      </c>
      <c r="AE916" s="40">
        <f t="shared" si="407"/>
        <v>0</v>
      </c>
      <c r="AF916" s="40">
        <f t="shared" si="408"/>
        <v>1</v>
      </c>
      <c r="AG916" s="40">
        <f t="shared" si="409"/>
        <v>0</v>
      </c>
      <c r="AH916" s="40">
        <f t="shared" si="410"/>
        <v>0</v>
      </c>
      <c r="AI916" s="40">
        <f t="shared" si="411"/>
        <v>0</v>
      </c>
      <c r="AJ916" s="40">
        <f t="shared" si="412"/>
        <v>0</v>
      </c>
      <c r="AK916" s="40">
        <f t="shared" si="413"/>
        <v>0</v>
      </c>
      <c r="AL916" s="40">
        <f t="shared" si="414"/>
        <v>0</v>
      </c>
      <c r="AM916" s="40">
        <f t="shared" si="415"/>
        <v>0</v>
      </c>
      <c r="AN916" s="40">
        <f t="shared" si="416"/>
        <v>0</v>
      </c>
      <c r="AO916" s="40">
        <f t="shared" si="417"/>
        <v>1</v>
      </c>
      <c r="AP916" s="40">
        <f t="shared" si="418"/>
        <v>0</v>
      </c>
      <c r="AQ916" s="40">
        <f t="shared" si="419"/>
        <v>0</v>
      </c>
      <c r="AR916" s="40">
        <f t="shared" si="420"/>
        <v>0</v>
      </c>
      <c r="AS916" s="40">
        <f t="shared" si="421"/>
        <v>0</v>
      </c>
    </row>
    <row r="917" spans="2:45" ht="14.4" customHeight="1" x14ac:dyDescent="0.25">
      <c r="B917" s="56" t="s">
        <v>45</v>
      </c>
      <c r="C917" s="57" t="s">
        <v>26</v>
      </c>
      <c r="D917" s="58" t="s">
        <v>31</v>
      </c>
      <c r="E917" s="62">
        <v>5.0500000000000007E-3</v>
      </c>
      <c r="F917" s="65">
        <f t="shared" si="422"/>
        <v>-5.2883670356948684</v>
      </c>
      <c r="S917" s="40">
        <f t="shared" si="395"/>
        <v>0</v>
      </c>
      <c r="T917" s="40">
        <f t="shared" si="396"/>
        <v>0</v>
      </c>
      <c r="U917" s="40">
        <f t="shared" si="397"/>
        <v>0</v>
      </c>
      <c r="V917" s="40">
        <f t="shared" si="398"/>
        <v>1</v>
      </c>
      <c r="W917" s="40">
        <f t="shared" si="399"/>
        <v>0</v>
      </c>
      <c r="X917" s="40">
        <f t="shared" si="400"/>
        <v>0</v>
      </c>
      <c r="Y917" s="40">
        <f t="shared" si="401"/>
        <v>0</v>
      </c>
      <c r="Z917" s="40">
        <f t="shared" si="402"/>
        <v>0</v>
      </c>
      <c r="AA917" s="40">
        <f t="shared" si="403"/>
        <v>0</v>
      </c>
      <c r="AB917" s="40">
        <f t="shared" si="404"/>
        <v>0</v>
      </c>
      <c r="AC917" s="40">
        <f t="shared" si="405"/>
        <v>0</v>
      </c>
      <c r="AD917" s="40">
        <f t="shared" si="406"/>
        <v>0</v>
      </c>
      <c r="AE917" s="40">
        <f t="shared" si="407"/>
        <v>0</v>
      </c>
      <c r="AF917" s="40">
        <f t="shared" si="408"/>
        <v>1</v>
      </c>
      <c r="AG917" s="40">
        <f t="shared" si="409"/>
        <v>0</v>
      </c>
      <c r="AH917" s="40">
        <f t="shared" si="410"/>
        <v>0</v>
      </c>
      <c r="AI917" s="40">
        <f t="shared" si="411"/>
        <v>0</v>
      </c>
      <c r="AJ917" s="40">
        <f t="shared" si="412"/>
        <v>0</v>
      </c>
      <c r="AK917" s="40">
        <f t="shared" si="413"/>
        <v>0</v>
      </c>
      <c r="AL917" s="40">
        <f t="shared" si="414"/>
        <v>1</v>
      </c>
      <c r="AM917" s="40">
        <f t="shared" si="415"/>
        <v>0</v>
      </c>
      <c r="AN917" s="40">
        <f t="shared" si="416"/>
        <v>0</v>
      </c>
      <c r="AO917" s="40">
        <f t="shared" si="417"/>
        <v>0</v>
      </c>
      <c r="AP917" s="40">
        <f t="shared" si="418"/>
        <v>0</v>
      </c>
      <c r="AQ917" s="40">
        <f t="shared" si="419"/>
        <v>0</v>
      </c>
      <c r="AR917" s="40">
        <f t="shared" si="420"/>
        <v>0</v>
      </c>
      <c r="AS917" s="40">
        <f t="shared" si="421"/>
        <v>0</v>
      </c>
    </row>
    <row r="918" spans="2:45" ht="14.4" customHeight="1" x14ac:dyDescent="0.25">
      <c r="B918" s="56" t="s">
        <v>45</v>
      </c>
      <c r="C918" s="57" t="s">
        <v>26</v>
      </c>
      <c r="D918" s="58" t="s">
        <v>24</v>
      </c>
      <c r="E918" s="62">
        <v>9.5099999999999976E-3</v>
      </c>
      <c r="F918" s="65">
        <f t="shared" si="422"/>
        <v>-4.6554114024248383</v>
      </c>
      <c r="S918" s="40">
        <f t="shared" si="395"/>
        <v>0</v>
      </c>
      <c r="T918" s="40">
        <f t="shared" si="396"/>
        <v>0</v>
      </c>
      <c r="U918" s="40">
        <f t="shared" si="397"/>
        <v>0</v>
      </c>
      <c r="V918" s="40">
        <f t="shared" si="398"/>
        <v>1</v>
      </c>
      <c r="W918" s="40">
        <f t="shared" si="399"/>
        <v>0</v>
      </c>
      <c r="X918" s="40">
        <f t="shared" si="400"/>
        <v>0</v>
      </c>
      <c r="Y918" s="40">
        <f t="shared" si="401"/>
        <v>0</v>
      </c>
      <c r="Z918" s="40">
        <f t="shared" si="402"/>
        <v>0</v>
      </c>
      <c r="AA918" s="40">
        <f t="shared" si="403"/>
        <v>0</v>
      </c>
      <c r="AB918" s="40">
        <f t="shared" si="404"/>
        <v>0</v>
      </c>
      <c r="AC918" s="40">
        <f t="shared" si="405"/>
        <v>0</v>
      </c>
      <c r="AD918" s="40">
        <f t="shared" si="406"/>
        <v>0</v>
      </c>
      <c r="AE918" s="40">
        <f t="shared" si="407"/>
        <v>0</v>
      </c>
      <c r="AF918" s="40">
        <f t="shared" si="408"/>
        <v>1</v>
      </c>
      <c r="AG918" s="40">
        <f t="shared" si="409"/>
        <v>0</v>
      </c>
      <c r="AH918" s="40">
        <f t="shared" si="410"/>
        <v>0</v>
      </c>
      <c r="AI918" s="40">
        <f t="shared" si="411"/>
        <v>0</v>
      </c>
      <c r="AJ918" s="40">
        <f t="shared" si="412"/>
        <v>0</v>
      </c>
      <c r="AK918" s="40">
        <f t="shared" si="413"/>
        <v>0</v>
      </c>
      <c r="AL918" s="40">
        <f t="shared" si="414"/>
        <v>1</v>
      </c>
      <c r="AM918" s="40">
        <f t="shared" si="415"/>
        <v>0</v>
      </c>
      <c r="AN918" s="40">
        <f t="shared" si="416"/>
        <v>0</v>
      </c>
      <c r="AO918" s="40">
        <f t="shared" si="417"/>
        <v>0</v>
      </c>
      <c r="AP918" s="40">
        <f t="shared" si="418"/>
        <v>0</v>
      </c>
      <c r="AQ918" s="40">
        <f t="shared" si="419"/>
        <v>0</v>
      </c>
      <c r="AR918" s="40">
        <f t="shared" si="420"/>
        <v>0</v>
      </c>
      <c r="AS918" s="40">
        <f t="shared" si="421"/>
        <v>0</v>
      </c>
    </row>
    <row r="919" spans="2:45" ht="14.4" customHeight="1" x14ac:dyDescent="0.25">
      <c r="B919" s="56" t="s">
        <v>45</v>
      </c>
      <c r="C919" s="57" t="s">
        <v>26</v>
      </c>
      <c r="D919" s="58" t="s">
        <v>24</v>
      </c>
      <c r="E919" s="62">
        <v>1.1189999999999995E-2</v>
      </c>
      <c r="F919" s="65">
        <f t="shared" si="422"/>
        <v>-4.4927347566583036</v>
      </c>
      <c r="S919" s="40">
        <f t="shared" si="395"/>
        <v>0</v>
      </c>
      <c r="T919" s="40">
        <f t="shared" si="396"/>
        <v>0</v>
      </c>
      <c r="U919" s="40">
        <f t="shared" si="397"/>
        <v>0</v>
      </c>
      <c r="V919" s="40">
        <f t="shared" si="398"/>
        <v>1</v>
      </c>
      <c r="W919" s="40">
        <f t="shared" si="399"/>
        <v>0</v>
      </c>
      <c r="X919" s="40">
        <f t="shared" si="400"/>
        <v>0</v>
      </c>
      <c r="Y919" s="40">
        <f t="shared" si="401"/>
        <v>0</v>
      </c>
      <c r="Z919" s="40">
        <f t="shared" si="402"/>
        <v>0</v>
      </c>
      <c r="AA919" s="40">
        <f t="shared" si="403"/>
        <v>0</v>
      </c>
      <c r="AB919" s="40">
        <f t="shared" si="404"/>
        <v>0</v>
      </c>
      <c r="AC919" s="40">
        <f t="shared" si="405"/>
        <v>0</v>
      </c>
      <c r="AD919" s="40">
        <f t="shared" si="406"/>
        <v>0</v>
      </c>
      <c r="AE919" s="40">
        <f t="shared" si="407"/>
        <v>0</v>
      </c>
      <c r="AF919" s="40">
        <f t="shared" si="408"/>
        <v>1</v>
      </c>
      <c r="AG919" s="40">
        <f t="shared" si="409"/>
        <v>0</v>
      </c>
      <c r="AH919" s="40">
        <f t="shared" si="410"/>
        <v>0</v>
      </c>
      <c r="AI919" s="40">
        <f t="shared" si="411"/>
        <v>0</v>
      </c>
      <c r="AJ919" s="40">
        <f t="shared" si="412"/>
        <v>0</v>
      </c>
      <c r="AK919" s="40">
        <f t="shared" si="413"/>
        <v>0</v>
      </c>
      <c r="AL919" s="40">
        <f t="shared" si="414"/>
        <v>0</v>
      </c>
      <c r="AM919" s="40">
        <f t="shared" si="415"/>
        <v>0</v>
      </c>
      <c r="AN919" s="40">
        <f t="shared" si="416"/>
        <v>0</v>
      </c>
      <c r="AO919" s="40">
        <f t="shared" si="417"/>
        <v>1</v>
      </c>
      <c r="AP919" s="40">
        <f t="shared" si="418"/>
        <v>0</v>
      </c>
      <c r="AQ919" s="40">
        <f t="shared" si="419"/>
        <v>0</v>
      </c>
      <c r="AR919" s="40">
        <f t="shared" si="420"/>
        <v>0</v>
      </c>
      <c r="AS919" s="40">
        <f t="shared" si="421"/>
        <v>0</v>
      </c>
    </row>
    <row r="920" spans="2:45" ht="14.4" customHeight="1" x14ac:dyDescent="0.25">
      <c r="B920" s="56" t="s">
        <v>45</v>
      </c>
      <c r="C920" s="57" t="s">
        <v>26</v>
      </c>
      <c r="D920" s="58" t="s">
        <v>31</v>
      </c>
      <c r="E920" s="62">
        <v>2.2800000000000003E-3</v>
      </c>
      <c r="F920" s="65">
        <f t="shared" si="422"/>
        <v>-6.0835798360157876</v>
      </c>
      <c r="S920" s="40">
        <f t="shared" si="395"/>
        <v>0</v>
      </c>
      <c r="T920" s="40">
        <f t="shared" si="396"/>
        <v>0</v>
      </c>
      <c r="U920" s="40">
        <f t="shared" si="397"/>
        <v>0</v>
      </c>
      <c r="V920" s="40">
        <f t="shared" si="398"/>
        <v>1</v>
      </c>
      <c r="W920" s="40">
        <f t="shared" si="399"/>
        <v>0</v>
      </c>
      <c r="X920" s="40">
        <f t="shared" si="400"/>
        <v>0</v>
      </c>
      <c r="Y920" s="40">
        <f t="shared" si="401"/>
        <v>0</v>
      </c>
      <c r="Z920" s="40">
        <f t="shared" si="402"/>
        <v>0</v>
      </c>
      <c r="AA920" s="40">
        <f t="shared" si="403"/>
        <v>0</v>
      </c>
      <c r="AB920" s="40">
        <f t="shared" si="404"/>
        <v>0</v>
      </c>
      <c r="AC920" s="40">
        <f t="shared" si="405"/>
        <v>0</v>
      </c>
      <c r="AD920" s="40">
        <f t="shared" si="406"/>
        <v>0</v>
      </c>
      <c r="AE920" s="40">
        <f t="shared" si="407"/>
        <v>0</v>
      </c>
      <c r="AF920" s="40">
        <f t="shared" si="408"/>
        <v>1</v>
      </c>
      <c r="AG920" s="40">
        <f t="shared" si="409"/>
        <v>0</v>
      </c>
      <c r="AH920" s="40">
        <f t="shared" si="410"/>
        <v>1</v>
      </c>
      <c r="AI920" s="40">
        <f t="shared" si="411"/>
        <v>0</v>
      </c>
      <c r="AJ920" s="40">
        <f t="shared" si="412"/>
        <v>0</v>
      </c>
      <c r="AK920" s="40">
        <f t="shared" si="413"/>
        <v>0</v>
      </c>
      <c r="AL920" s="40">
        <f t="shared" si="414"/>
        <v>0</v>
      </c>
      <c r="AM920" s="40">
        <f t="shared" si="415"/>
        <v>0</v>
      </c>
      <c r="AN920" s="40">
        <f t="shared" si="416"/>
        <v>0</v>
      </c>
      <c r="AO920" s="40">
        <f t="shared" si="417"/>
        <v>0</v>
      </c>
      <c r="AP920" s="40">
        <f t="shared" si="418"/>
        <v>0</v>
      </c>
      <c r="AQ920" s="40">
        <f t="shared" si="419"/>
        <v>0</v>
      </c>
      <c r="AR920" s="40">
        <f t="shared" si="420"/>
        <v>0</v>
      </c>
      <c r="AS920" s="40">
        <f t="shared" si="421"/>
        <v>0</v>
      </c>
    </row>
    <row r="921" spans="2:45" ht="14.4" customHeight="1" x14ac:dyDescent="0.25">
      <c r="B921" s="56" t="s">
        <v>45</v>
      </c>
      <c r="C921" s="57" t="s">
        <v>26</v>
      </c>
      <c r="D921" s="58" t="s">
        <v>27</v>
      </c>
      <c r="E921" s="62">
        <v>5.1599999999999988E-3</v>
      </c>
      <c r="F921" s="65">
        <f t="shared" si="422"/>
        <v>-5.2668186994886659</v>
      </c>
      <c r="S921" s="40">
        <f t="shared" si="395"/>
        <v>0</v>
      </c>
      <c r="T921" s="40">
        <f t="shared" si="396"/>
        <v>0</v>
      </c>
      <c r="U921" s="40">
        <f t="shared" si="397"/>
        <v>0</v>
      </c>
      <c r="V921" s="40">
        <f t="shared" si="398"/>
        <v>1</v>
      </c>
      <c r="W921" s="40">
        <f t="shared" si="399"/>
        <v>0</v>
      </c>
      <c r="X921" s="40">
        <f t="shared" si="400"/>
        <v>0</v>
      </c>
      <c r="Y921" s="40">
        <f t="shared" si="401"/>
        <v>0</v>
      </c>
      <c r="Z921" s="40">
        <f t="shared" si="402"/>
        <v>1</v>
      </c>
      <c r="AA921" s="40">
        <f t="shared" si="403"/>
        <v>0</v>
      </c>
      <c r="AB921" s="40">
        <f t="shared" si="404"/>
        <v>0</v>
      </c>
      <c r="AC921" s="40">
        <f t="shared" si="405"/>
        <v>0</v>
      </c>
      <c r="AD921" s="40">
        <f t="shared" si="406"/>
        <v>0</v>
      </c>
      <c r="AE921" s="40">
        <f t="shared" si="407"/>
        <v>0</v>
      </c>
      <c r="AF921" s="40">
        <f t="shared" si="408"/>
        <v>0</v>
      </c>
      <c r="AG921" s="40">
        <f t="shared" si="409"/>
        <v>0</v>
      </c>
      <c r="AH921" s="40">
        <f t="shared" si="410"/>
        <v>0</v>
      </c>
      <c r="AI921" s="40">
        <f t="shared" si="411"/>
        <v>0</v>
      </c>
      <c r="AJ921" s="40">
        <f t="shared" si="412"/>
        <v>0</v>
      </c>
      <c r="AK921" s="40">
        <f t="shared" si="413"/>
        <v>0</v>
      </c>
      <c r="AL921" s="40">
        <f t="shared" si="414"/>
        <v>0</v>
      </c>
      <c r="AM921" s="40">
        <f t="shared" si="415"/>
        <v>0</v>
      </c>
      <c r="AN921" s="40">
        <f t="shared" si="416"/>
        <v>0</v>
      </c>
      <c r="AO921" s="40">
        <f t="shared" si="417"/>
        <v>1</v>
      </c>
      <c r="AP921" s="40">
        <f t="shared" si="418"/>
        <v>0</v>
      </c>
      <c r="AQ921" s="40">
        <f t="shared" si="419"/>
        <v>0</v>
      </c>
      <c r="AR921" s="40">
        <f t="shared" si="420"/>
        <v>0</v>
      </c>
      <c r="AS921" s="40">
        <f t="shared" si="421"/>
        <v>0</v>
      </c>
    </row>
    <row r="922" spans="2:45" ht="14.4" customHeight="1" x14ac:dyDescent="0.25">
      <c r="B922" s="56" t="s">
        <v>45</v>
      </c>
      <c r="C922" s="57" t="s">
        <v>36</v>
      </c>
      <c r="D922" s="58" t="s">
        <v>31</v>
      </c>
      <c r="E922" s="62">
        <v>8.8999999999999982E-3</v>
      </c>
      <c r="F922" s="65">
        <f t="shared" si="422"/>
        <v>-4.7217040022440431</v>
      </c>
      <c r="S922" s="40">
        <f t="shared" si="395"/>
        <v>0</v>
      </c>
      <c r="T922" s="40">
        <f t="shared" si="396"/>
        <v>0</v>
      </c>
      <c r="U922" s="40">
        <f t="shared" si="397"/>
        <v>0</v>
      </c>
      <c r="V922" s="40">
        <f t="shared" si="398"/>
        <v>1</v>
      </c>
      <c r="W922" s="40">
        <f t="shared" si="399"/>
        <v>0</v>
      </c>
      <c r="X922" s="40">
        <f t="shared" si="400"/>
        <v>0</v>
      </c>
      <c r="Y922" s="40">
        <f t="shared" si="401"/>
        <v>0</v>
      </c>
      <c r="Z922" s="40">
        <f t="shared" si="402"/>
        <v>0</v>
      </c>
      <c r="AA922" s="40">
        <f t="shared" si="403"/>
        <v>0</v>
      </c>
      <c r="AB922" s="40">
        <f t="shared" si="404"/>
        <v>0</v>
      </c>
      <c r="AC922" s="40">
        <f t="shared" si="405"/>
        <v>0</v>
      </c>
      <c r="AD922" s="40">
        <f t="shared" si="406"/>
        <v>0</v>
      </c>
      <c r="AE922" s="40">
        <f t="shared" si="407"/>
        <v>0</v>
      </c>
      <c r="AF922" s="40">
        <f t="shared" si="408"/>
        <v>1</v>
      </c>
      <c r="AG922" s="40">
        <f t="shared" si="409"/>
        <v>0</v>
      </c>
      <c r="AH922" s="40">
        <f t="shared" si="410"/>
        <v>0</v>
      </c>
      <c r="AI922" s="40">
        <f t="shared" si="411"/>
        <v>1</v>
      </c>
      <c r="AJ922" s="40">
        <f t="shared" si="412"/>
        <v>0</v>
      </c>
      <c r="AK922" s="40">
        <f t="shared" si="413"/>
        <v>0</v>
      </c>
      <c r="AL922" s="40">
        <f t="shared" si="414"/>
        <v>0</v>
      </c>
      <c r="AM922" s="40">
        <f t="shared" si="415"/>
        <v>0</v>
      </c>
      <c r="AN922" s="40">
        <f t="shared" si="416"/>
        <v>0</v>
      </c>
      <c r="AO922" s="40">
        <f t="shared" si="417"/>
        <v>0</v>
      </c>
      <c r="AP922" s="40">
        <f t="shared" si="418"/>
        <v>0</v>
      </c>
      <c r="AQ922" s="40">
        <f t="shared" si="419"/>
        <v>0</v>
      </c>
      <c r="AR922" s="40">
        <f t="shared" si="420"/>
        <v>0</v>
      </c>
      <c r="AS922" s="40">
        <f t="shared" si="421"/>
        <v>0</v>
      </c>
    </row>
    <row r="923" spans="2:45" ht="14.4" customHeight="1" x14ac:dyDescent="0.25">
      <c r="B923" s="56" t="s">
        <v>45</v>
      </c>
      <c r="C923" s="57" t="s">
        <v>26</v>
      </c>
      <c r="D923" s="58" t="s">
        <v>28</v>
      </c>
      <c r="E923" s="62">
        <v>1.055E-2</v>
      </c>
      <c r="F923" s="65">
        <f t="shared" si="422"/>
        <v>-4.5516294190600615</v>
      </c>
      <c r="S923" s="40">
        <f t="shared" si="395"/>
        <v>0</v>
      </c>
      <c r="T923" s="40">
        <f t="shared" si="396"/>
        <v>0</v>
      </c>
      <c r="U923" s="40">
        <f t="shared" si="397"/>
        <v>0</v>
      </c>
      <c r="V923" s="40">
        <f t="shared" si="398"/>
        <v>1</v>
      </c>
      <c r="W923" s="40">
        <f t="shared" si="399"/>
        <v>0</v>
      </c>
      <c r="X923" s="40">
        <f t="shared" si="400"/>
        <v>0</v>
      </c>
      <c r="Y923" s="40">
        <f t="shared" si="401"/>
        <v>0</v>
      </c>
      <c r="Z923" s="40">
        <f t="shared" si="402"/>
        <v>0</v>
      </c>
      <c r="AA923" s="40">
        <f t="shared" si="403"/>
        <v>0</v>
      </c>
      <c r="AB923" s="40">
        <f t="shared" si="404"/>
        <v>0</v>
      </c>
      <c r="AC923" s="40">
        <f t="shared" si="405"/>
        <v>0</v>
      </c>
      <c r="AD923" s="40">
        <f t="shared" si="406"/>
        <v>0</v>
      </c>
      <c r="AE923" s="40">
        <f t="shared" si="407"/>
        <v>0</v>
      </c>
      <c r="AF923" s="40">
        <f t="shared" si="408"/>
        <v>1</v>
      </c>
      <c r="AG923" s="40">
        <f t="shared" si="409"/>
        <v>0</v>
      </c>
      <c r="AH923" s="40">
        <f t="shared" si="410"/>
        <v>0</v>
      </c>
      <c r="AI923" s="40">
        <f t="shared" si="411"/>
        <v>0</v>
      </c>
      <c r="AJ923" s="40">
        <f t="shared" si="412"/>
        <v>0</v>
      </c>
      <c r="AK923" s="40">
        <f t="shared" si="413"/>
        <v>1</v>
      </c>
      <c r="AL923" s="40">
        <f t="shared" si="414"/>
        <v>0</v>
      </c>
      <c r="AM923" s="40">
        <f t="shared" si="415"/>
        <v>0</v>
      </c>
      <c r="AN923" s="40">
        <f t="shared" si="416"/>
        <v>0</v>
      </c>
      <c r="AO923" s="40">
        <f t="shared" si="417"/>
        <v>0</v>
      </c>
      <c r="AP923" s="40">
        <f t="shared" si="418"/>
        <v>0</v>
      </c>
      <c r="AQ923" s="40">
        <f t="shared" si="419"/>
        <v>0</v>
      </c>
      <c r="AR923" s="40">
        <f t="shared" si="420"/>
        <v>0</v>
      </c>
      <c r="AS923" s="40">
        <f t="shared" si="421"/>
        <v>0</v>
      </c>
    </row>
    <row r="924" spans="2:45" ht="14.4" customHeight="1" x14ac:dyDescent="0.25">
      <c r="B924" s="56" t="s">
        <v>45</v>
      </c>
      <c r="C924" s="57" t="s">
        <v>26</v>
      </c>
      <c r="D924" s="58" t="s">
        <v>32</v>
      </c>
      <c r="E924" s="62">
        <v>8.1300000000000018E-3</v>
      </c>
      <c r="F924" s="65">
        <f t="shared" si="422"/>
        <v>-4.8121943554224176</v>
      </c>
      <c r="S924" s="40">
        <f t="shared" si="395"/>
        <v>0</v>
      </c>
      <c r="T924" s="40">
        <f t="shared" si="396"/>
        <v>0</v>
      </c>
      <c r="U924" s="40">
        <f t="shared" si="397"/>
        <v>0</v>
      </c>
      <c r="V924" s="40">
        <f t="shared" si="398"/>
        <v>1</v>
      </c>
      <c r="W924" s="40">
        <f t="shared" si="399"/>
        <v>0</v>
      </c>
      <c r="X924" s="40">
        <f t="shared" si="400"/>
        <v>0</v>
      </c>
      <c r="Y924" s="40">
        <f t="shared" si="401"/>
        <v>0</v>
      </c>
      <c r="Z924" s="40">
        <f t="shared" si="402"/>
        <v>0</v>
      </c>
      <c r="AA924" s="40">
        <f t="shared" si="403"/>
        <v>0</v>
      </c>
      <c r="AB924" s="40">
        <f t="shared" si="404"/>
        <v>0</v>
      </c>
      <c r="AC924" s="40">
        <f t="shared" si="405"/>
        <v>0</v>
      </c>
      <c r="AD924" s="40">
        <f t="shared" si="406"/>
        <v>0</v>
      </c>
      <c r="AE924" s="40">
        <f t="shared" si="407"/>
        <v>0</v>
      </c>
      <c r="AF924" s="40">
        <f t="shared" si="408"/>
        <v>1</v>
      </c>
      <c r="AG924" s="40">
        <f t="shared" si="409"/>
        <v>0</v>
      </c>
      <c r="AH924" s="40">
        <f t="shared" si="410"/>
        <v>0</v>
      </c>
      <c r="AI924" s="40">
        <f t="shared" si="411"/>
        <v>0</v>
      </c>
      <c r="AJ924" s="40">
        <f t="shared" si="412"/>
        <v>0</v>
      </c>
      <c r="AK924" s="40">
        <f t="shared" si="413"/>
        <v>1</v>
      </c>
      <c r="AL924" s="40">
        <f t="shared" si="414"/>
        <v>0</v>
      </c>
      <c r="AM924" s="40">
        <f t="shared" si="415"/>
        <v>0</v>
      </c>
      <c r="AN924" s="40">
        <f t="shared" si="416"/>
        <v>0</v>
      </c>
      <c r="AO924" s="40">
        <f t="shared" si="417"/>
        <v>0</v>
      </c>
      <c r="AP924" s="40">
        <f t="shared" si="418"/>
        <v>0</v>
      </c>
      <c r="AQ924" s="40">
        <f t="shared" si="419"/>
        <v>0</v>
      </c>
      <c r="AR924" s="40">
        <f t="shared" si="420"/>
        <v>0</v>
      </c>
      <c r="AS924" s="40">
        <f t="shared" si="421"/>
        <v>0</v>
      </c>
    </row>
    <row r="925" spans="2:45" ht="14.4" customHeight="1" x14ac:dyDescent="0.25">
      <c r="B925" s="56" t="s">
        <v>45</v>
      </c>
      <c r="C925" s="57" t="s">
        <v>26</v>
      </c>
      <c r="D925" s="58" t="s">
        <v>32</v>
      </c>
      <c r="E925" s="62">
        <v>1.3420000000000001E-2</v>
      </c>
      <c r="F925" s="65">
        <f t="shared" si="422"/>
        <v>-4.3110091474386012</v>
      </c>
      <c r="S925" s="40">
        <f t="shared" si="395"/>
        <v>0</v>
      </c>
      <c r="T925" s="40">
        <f t="shared" si="396"/>
        <v>0</v>
      </c>
      <c r="U925" s="40">
        <f t="shared" si="397"/>
        <v>0</v>
      </c>
      <c r="V925" s="40">
        <f t="shared" si="398"/>
        <v>1</v>
      </c>
      <c r="W925" s="40">
        <f t="shared" si="399"/>
        <v>0</v>
      </c>
      <c r="X925" s="40">
        <f t="shared" si="400"/>
        <v>0</v>
      </c>
      <c r="Y925" s="40">
        <f t="shared" si="401"/>
        <v>0</v>
      </c>
      <c r="Z925" s="40">
        <f t="shared" si="402"/>
        <v>0</v>
      </c>
      <c r="AA925" s="40">
        <f t="shared" si="403"/>
        <v>0</v>
      </c>
      <c r="AB925" s="40">
        <f t="shared" si="404"/>
        <v>1</v>
      </c>
      <c r="AC925" s="40">
        <f t="shared" si="405"/>
        <v>0</v>
      </c>
      <c r="AD925" s="40">
        <f t="shared" si="406"/>
        <v>0</v>
      </c>
      <c r="AE925" s="40">
        <f t="shared" si="407"/>
        <v>0</v>
      </c>
      <c r="AF925" s="40">
        <f t="shared" si="408"/>
        <v>0</v>
      </c>
      <c r="AG925" s="40">
        <f t="shared" si="409"/>
        <v>0</v>
      </c>
      <c r="AH925" s="40">
        <f t="shared" si="410"/>
        <v>0</v>
      </c>
      <c r="AI925" s="40">
        <f t="shared" si="411"/>
        <v>0</v>
      </c>
      <c r="AJ925" s="40">
        <f t="shared" si="412"/>
        <v>1</v>
      </c>
      <c r="AK925" s="40">
        <f t="shared" si="413"/>
        <v>0</v>
      </c>
      <c r="AL925" s="40">
        <f t="shared" si="414"/>
        <v>0</v>
      </c>
      <c r="AM925" s="40">
        <f t="shared" si="415"/>
        <v>0</v>
      </c>
      <c r="AN925" s="40">
        <f t="shared" si="416"/>
        <v>0</v>
      </c>
      <c r="AO925" s="40">
        <f t="shared" si="417"/>
        <v>0</v>
      </c>
      <c r="AP925" s="40">
        <f t="shared" si="418"/>
        <v>0</v>
      </c>
      <c r="AQ925" s="40">
        <f t="shared" si="419"/>
        <v>0</v>
      </c>
      <c r="AR925" s="40">
        <f t="shared" si="420"/>
        <v>0</v>
      </c>
      <c r="AS925" s="40">
        <f t="shared" si="421"/>
        <v>0</v>
      </c>
    </row>
    <row r="926" spans="2:45" ht="14.4" customHeight="1" x14ac:dyDescent="0.25">
      <c r="B926" s="56" t="s">
        <v>45</v>
      </c>
      <c r="C926" s="57" t="s">
        <v>25</v>
      </c>
      <c r="D926" s="58" t="s">
        <v>37</v>
      </c>
      <c r="E926" s="62">
        <v>2.0400000000000006E-3</v>
      </c>
      <c r="F926" s="65">
        <f t="shared" si="422"/>
        <v>-6.1948054711260117</v>
      </c>
      <c r="S926" s="40">
        <f t="shared" si="395"/>
        <v>0</v>
      </c>
      <c r="T926" s="40">
        <f t="shared" si="396"/>
        <v>0</v>
      </c>
      <c r="U926" s="40">
        <f t="shared" si="397"/>
        <v>0</v>
      </c>
      <c r="V926" s="40">
        <f t="shared" si="398"/>
        <v>1</v>
      </c>
      <c r="W926" s="40">
        <f t="shared" si="399"/>
        <v>0</v>
      </c>
      <c r="X926" s="40">
        <f t="shared" si="400"/>
        <v>0</v>
      </c>
      <c r="Y926" s="40">
        <f t="shared" si="401"/>
        <v>0</v>
      </c>
      <c r="Z926" s="40">
        <f t="shared" si="402"/>
        <v>0</v>
      </c>
      <c r="AA926" s="40">
        <f t="shared" si="403"/>
        <v>0</v>
      </c>
      <c r="AB926" s="40">
        <f t="shared" si="404"/>
        <v>0</v>
      </c>
      <c r="AC926" s="40">
        <f t="shared" si="405"/>
        <v>0</v>
      </c>
      <c r="AD926" s="40">
        <f t="shared" si="406"/>
        <v>0</v>
      </c>
      <c r="AE926" s="40">
        <f t="shared" si="407"/>
        <v>0</v>
      </c>
      <c r="AF926" s="40">
        <f t="shared" si="408"/>
        <v>0</v>
      </c>
      <c r="AG926" s="40">
        <f t="shared" si="409"/>
        <v>1</v>
      </c>
      <c r="AH926" s="40">
        <f t="shared" si="410"/>
        <v>0</v>
      </c>
      <c r="AI926" s="40">
        <f t="shared" si="411"/>
        <v>0</v>
      </c>
      <c r="AJ926" s="40">
        <f t="shared" si="412"/>
        <v>0</v>
      </c>
      <c r="AK926" s="40">
        <f t="shared" si="413"/>
        <v>1</v>
      </c>
      <c r="AL926" s="40">
        <f t="shared" si="414"/>
        <v>0</v>
      </c>
      <c r="AM926" s="40">
        <f t="shared" si="415"/>
        <v>0</v>
      </c>
      <c r="AN926" s="40">
        <f t="shared" si="416"/>
        <v>0</v>
      </c>
      <c r="AO926" s="40">
        <f t="shared" si="417"/>
        <v>0</v>
      </c>
      <c r="AP926" s="40">
        <f t="shared" si="418"/>
        <v>0</v>
      </c>
      <c r="AQ926" s="40">
        <f t="shared" si="419"/>
        <v>0</v>
      </c>
      <c r="AR926" s="40">
        <f t="shared" si="420"/>
        <v>0</v>
      </c>
      <c r="AS926" s="40">
        <f t="shared" si="421"/>
        <v>0</v>
      </c>
    </row>
    <row r="927" spans="2:45" ht="14.4" customHeight="1" x14ac:dyDescent="0.25">
      <c r="B927" s="56" t="s">
        <v>45</v>
      </c>
      <c r="C927" s="57" t="s">
        <v>38</v>
      </c>
      <c r="D927" s="58" t="s">
        <v>32</v>
      </c>
      <c r="E927" s="62">
        <v>7.2400000000000025E-3</v>
      </c>
      <c r="F927" s="65">
        <f t="shared" si="422"/>
        <v>-4.9281340725845117</v>
      </c>
      <c r="S927" s="40">
        <f t="shared" si="395"/>
        <v>0</v>
      </c>
      <c r="T927" s="40">
        <f t="shared" si="396"/>
        <v>0</v>
      </c>
      <c r="U927" s="40">
        <f t="shared" si="397"/>
        <v>0</v>
      </c>
      <c r="V927" s="40">
        <f t="shared" si="398"/>
        <v>1</v>
      </c>
      <c r="W927" s="40">
        <f t="shared" si="399"/>
        <v>0</v>
      </c>
      <c r="X927" s="40">
        <f t="shared" si="400"/>
        <v>0</v>
      </c>
      <c r="Y927" s="40">
        <f t="shared" si="401"/>
        <v>0</v>
      </c>
      <c r="Z927" s="40">
        <f t="shared" si="402"/>
        <v>0</v>
      </c>
      <c r="AA927" s="40">
        <f t="shared" si="403"/>
        <v>0</v>
      </c>
      <c r="AB927" s="40">
        <f t="shared" si="404"/>
        <v>0</v>
      </c>
      <c r="AC927" s="40">
        <f t="shared" si="405"/>
        <v>0</v>
      </c>
      <c r="AD927" s="40">
        <f t="shared" si="406"/>
        <v>0</v>
      </c>
      <c r="AE927" s="40">
        <f t="shared" si="407"/>
        <v>0</v>
      </c>
      <c r="AF927" s="40">
        <f t="shared" si="408"/>
        <v>1</v>
      </c>
      <c r="AG927" s="40">
        <f t="shared" si="409"/>
        <v>0</v>
      </c>
      <c r="AH927" s="40">
        <f t="shared" si="410"/>
        <v>0</v>
      </c>
      <c r="AI927" s="40">
        <f t="shared" si="411"/>
        <v>0</v>
      </c>
      <c r="AJ927" s="40">
        <f t="shared" si="412"/>
        <v>0</v>
      </c>
      <c r="AK927" s="40">
        <f t="shared" si="413"/>
        <v>0</v>
      </c>
      <c r="AL927" s="40">
        <f t="shared" si="414"/>
        <v>0</v>
      </c>
      <c r="AM927" s="40">
        <f t="shared" si="415"/>
        <v>0</v>
      </c>
      <c r="AN927" s="40">
        <f t="shared" si="416"/>
        <v>0</v>
      </c>
      <c r="AO927" s="40">
        <f t="shared" si="417"/>
        <v>0</v>
      </c>
      <c r="AP927" s="40">
        <f t="shared" si="418"/>
        <v>0</v>
      </c>
      <c r="AQ927" s="40">
        <f t="shared" si="419"/>
        <v>0</v>
      </c>
      <c r="AR927" s="40">
        <f t="shared" si="420"/>
        <v>0</v>
      </c>
      <c r="AS927" s="40">
        <f t="shared" si="421"/>
        <v>1</v>
      </c>
    </row>
    <row r="928" spans="2:45" ht="14.4" customHeight="1" x14ac:dyDescent="0.25">
      <c r="B928" s="56" t="s">
        <v>45</v>
      </c>
      <c r="C928" s="57" t="s">
        <v>26</v>
      </c>
      <c r="D928" s="58" t="s">
        <v>22</v>
      </c>
      <c r="E928" s="62">
        <v>1.0930000000000002E-2</v>
      </c>
      <c r="F928" s="65">
        <f t="shared" si="422"/>
        <v>-4.5162439767936897</v>
      </c>
      <c r="S928" s="40">
        <f t="shared" si="395"/>
        <v>0</v>
      </c>
      <c r="T928" s="40">
        <f t="shared" si="396"/>
        <v>0</v>
      </c>
      <c r="U928" s="40">
        <f t="shared" si="397"/>
        <v>0</v>
      </c>
      <c r="V928" s="40">
        <f t="shared" si="398"/>
        <v>1</v>
      </c>
      <c r="W928" s="40">
        <f t="shared" si="399"/>
        <v>0</v>
      </c>
      <c r="X928" s="40">
        <f t="shared" si="400"/>
        <v>0</v>
      </c>
      <c r="Y928" s="40">
        <f t="shared" si="401"/>
        <v>0</v>
      </c>
      <c r="Z928" s="40">
        <f t="shared" si="402"/>
        <v>0</v>
      </c>
      <c r="AA928" s="40">
        <f t="shared" si="403"/>
        <v>0</v>
      </c>
      <c r="AB928" s="40">
        <f t="shared" si="404"/>
        <v>0</v>
      </c>
      <c r="AC928" s="40">
        <f t="shared" si="405"/>
        <v>0</v>
      </c>
      <c r="AD928" s="40">
        <f t="shared" si="406"/>
        <v>0</v>
      </c>
      <c r="AE928" s="40">
        <f t="shared" si="407"/>
        <v>0</v>
      </c>
      <c r="AF928" s="40">
        <f t="shared" si="408"/>
        <v>1</v>
      </c>
      <c r="AG928" s="40">
        <f t="shared" si="409"/>
        <v>0</v>
      </c>
      <c r="AH928" s="40">
        <f t="shared" si="410"/>
        <v>0</v>
      </c>
      <c r="AI928" s="40">
        <f t="shared" si="411"/>
        <v>1</v>
      </c>
      <c r="AJ928" s="40">
        <f t="shared" si="412"/>
        <v>0</v>
      </c>
      <c r="AK928" s="40">
        <f t="shared" si="413"/>
        <v>0</v>
      </c>
      <c r="AL928" s="40">
        <f t="shared" si="414"/>
        <v>0</v>
      </c>
      <c r="AM928" s="40">
        <f t="shared" si="415"/>
        <v>0</v>
      </c>
      <c r="AN928" s="40">
        <f t="shared" si="416"/>
        <v>0</v>
      </c>
      <c r="AO928" s="40">
        <f t="shared" si="417"/>
        <v>0</v>
      </c>
      <c r="AP928" s="40">
        <f t="shared" si="418"/>
        <v>0</v>
      </c>
      <c r="AQ928" s="40">
        <f t="shared" si="419"/>
        <v>0</v>
      </c>
      <c r="AR928" s="40">
        <f t="shared" si="420"/>
        <v>0</v>
      </c>
      <c r="AS928" s="40">
        <f t="shared" si="421"/>
        <v>0</v>
      </c>
    </row>
    <row r="929" spans="2:45" ht="14.4" customHeight="1" x14ac:dyDescent="0.25">
      <c r="B929" s="56" t="s">
        <v>45</v>
      </c>
      <c r="C929" s="57" t="s">
        <v>26</v>
      </c>
      <c r="D929" s="58" t="s">
        <v>28</v>
      </c>
      <c r="E929" s="62">
        <v>4.5100000000000001E-3</v>
      </c>
      <c r="F929" s="65">
        <f t="shared" si="422"/>
        <v>-5.40145812546755</v>
      </c>
      <c r="S929" s="40">
        <f t="shared" si="395"/>
        <v>0</v>
      </c>
      <c r="T929" s="40">
        <f t="shared" si="396"/>
        <v>0</v>
      </c>
      <c r="U929" s="40">
        <f t="shared" si="397"/>
        <v>0</v>
      </c>
      <c r="V929" s="40">
        <f t="shared" si="398"/>
        <v>1</v>
      </c>
      <c r="W929" s="40">
        <f t="shared" si="399"/>
        <v>0</v>
      </c>
      <c r="X929" s="40">
        <f t="shared" si="400"/>
        <v>0</v>
      </c>
      <c r="Y929" s="40">
        <f t="shared" si="401"/>
        <v>0</v>
      </c>
      <c r="Z929" s="40">
        <f t="shared" si="402"/>
        <v>0</v>
      </c>
      <c r="AA929" s="40">
        <f t="shared" si="403"/>
        <v>0</v>
      </c>
      <c r="AB929" s="40">
        <f t="shared" si="404"/>
        <v>1</v>
      </c>
      <c r="AC929" s="40">
        <f t="shared" si="405"/>
        <v>0</v>
      </c>
      <c r="AD929" s="40">
        <f t="shared" si="406"/>
        <v>0</v>
      </c>
      <c r="AE929" s="40">
        <f t="shared" si="407"/>
        <v>0</v>
      </c>
      <c r="AF929" s="40">
        <f t="shared" si="408"/>
        <v>0</v>
      </c>
      <c r="AG929" s="40">
        <f t="shared" si="409"/>
        <v>0</v>
      </c>
      <c r="AH929" s="40">
        <f t="shared" si="410"/>
        <v>0</v>
      </c>
      <c r="AI929" s="40">
        <f t="shared" si="411"/>
        <v>0</v>
      </c>
      <c r="AJ929" s="40">
        <f t="shared" si="412"/>
        <v>0</v>
      </c>
      <c r="AK929" s="40">
        <f t="shared" si="413"/>
        <v>0</v>
      </c>
      <c r="AL929" s="40">
        <f t="shared" si="414"/>
        <v>1</v>
      </c>
      <c r="AM929" s="40">
        <f t="shared" si="415"/>
        <v>0</v>
      </c>
      <c r="AN929" s="40">
        <f t="shared" si="416"/>
        <v>0</v>
      </c>
      <c r="AO929" s="40">
        <f t="shared" si="417"/>
        <v>0</v>
      </c>
      <c r="AP929" s="40">
        <f t="shared" si="418"/>
        <v>0</v>
      </c>
      <c r="AQ929" s="40">
        <f t="shared" si="419"/>
        <v>0</v>
      </c>
      <c r="AR929" s="40">
        <f t="shared" si="420"/>
        <v>0</v>
      </c>
      <c r="AS929" s="40">
        <f t="shared" si="421"/>
        <v>0</v>
      </c>
    </row>
    <row r="930" spans="2:45" ht="14.4" customHeight="1" x14ac:dyDescent="0.25">
      <c r="B930" s="56" t="s">
        <v>45</v>
      </c>
      <c r="C930" s="57" t="s">
        <v>25</v>
      </c>
      <c r="D930" s="58" t="s">
        <v>24</v>
      </c>
      <c r="E930" s="62">
        <v>7.7800000000000031E-3</v>
      </c>
      <c r="F930" s="65">
        <f t="shared" si="422"/>
        <v>-4.8561989407918364</v>
      </c>
      <c r="S930" s="40">
        <f t="shared" si="395"/>
        <v>0</v>
      </c>
      <c r="T930" s="40">
        <f t="shared" si="396"/>
        <v>0</v>
      </c>
      <c r="U930" s="40">
        <f t="shared" si="397"/>
        <v>0</v>
      </c>
      <c r="V930" s="40">
        <f t="shared" si="398"/>
        <v>1</v>
      </c>
      <c r="W930" s="40">
        <f t="shared" si="399"/>
        <v>0</v>
      </c>
      <c r="X930" s="40">
        <f t="shared" si="400"/>
        <v>0</v>
      </c>
      <c r="Y930" s="40">
        <f t="shared" si="401"/>
        <v>0</v>
      </c>
      <c r="Z930" s="40">
        <f t="shared" si="402"/>
        <v>0</v>
      </c>
      <c r="AA930" s="40">
        <f t="shared" si="403"/>
        <v>0</v>
      </c>
      <c r="AB930" s="40">
        <f t="shared" si="404"/>
        <v>1</v>
      </c>
      <c r="AC930" s="40">
        <f t="shared" si="405"/>
        <v>0</v>
      </c>
      <c r="AD930" s="40">
        <f t="shared" si="406"/>
        <v>0</v>
      </c>
      <c r="AE930" s="40">
        <f t="shared" si="407"/>
        <v>0</v>
      </c>
      <c r="AF930" s="40">
        <f t="shared" si="408"/>
        <v>0</v>
      </c>
      <c r="AG930" s="40">
        <f t="shared" si="409"/>
        <v>0</v>
      </c>
      <c r="AH930" s="40">
        <f t="shared" si="410"/>
        <v>0</v>
      </c>
      <c r="AI930" s="40">
        <f t="shared" si="411"/>
        <v>1</v>
      </c>
      <c r="AJ930" s="40">
        <f t="shared" si="412"/>
        <v>0</v>
      </c>
      <c r="AK930" s="40">
        <f t="shared" si="413"/>
        <v>0</v>
      </c>
      <c r="AL930" s="40">
        <f t="shared" si="414"/>
        <v>0</v>
      </c>
      <c r="AM930" s="40">
        <f t="shared" si="415"/>
        <v>0</v>
      </c>
      <c r="AN930" s="40">
        <f t="shared" si="416"/>
        <v>0</v>
      </c>
      <c r="AO930" s="40">
        <f t="shared" si="417"/>
        <v>0</v>
      </c>
      <c r="AP930" s="40">
        <f t="shared" si="418"/>
        <v>0</v>
      </c>
      <c r="AQ930" s="40">
        <f t="shared" si="419"/>
        <v>0</v>
      </c>
      <c r="AR930" s="40">
        <f t="shared" si="420"/>
        <v>0</v>
      </c>
      <c r="AS930" s="40">
        <f t="shared" si="421"/>
        <v>0</v>
      </c>
    </row>
    <row r="931" spans="2:45" ht="14.4" customHeight="1" x14ac:dyDescent="0.25">
      <c r="B931" s="56" t="s">
        <v>45</v>
      </c>
      <c r="C931" s="57" t="s">
        <v>25</v>
      </c>
      <c r="D931" s="58" t="s">
        <v>28</v>
      </c>
      <c r="E931" s="62">
        <v>4.7400000000000012E-3</v>
      </c>
      <c r="F931" s="65">
        <f t="shared" si="422"/>
        <v>-5.3517181432751517</v>
      </c>
      <c r="S931" s="40">
        <f t="shared" si="395"/>
        <v>0</v>
      </c>
      <c r="T931" s="40">
        <f t="shared" si="396"/>
        <v>0</v>
      </c>
      <c r="U931" s="40">
        <f t="shared" si="397"/>
        <v>0</v>
      </c>
      <c r="V931" s="40">
        <f t="shared" si="398"/>
        <v>1</v>
      </c>
      <c r="W931" s="40">
        <f t="shared" si="399"/>
        <v>0</v>
      </c>
      <c r="X931" s="40">
        <f t="shared" si="400"/>
        <v>0</v>
      </c>
      <c r="Y931" s="40">
        <f t="shared" si="401"/>
        <v>0</v>
      </c>
      <c r="Z931" s="40">
        <f t="shared" si="402"/>
        <v>0</v>
      </c>
      <c r="AA931" s="40">
        <f t="shared" si="403"/>
        <v>0</v>
      </c>
      <c r="AB931" s="40">
        <f t="shared" si="404"/>
        <v>1</v>
      </c>
      <c r="AC931" s="40">
        <f t="shared" si="405"/>
        <v>0</v>
      </c>
      <c r="AD931" s="40">
        <f t="shared" si="406"/>
        <v>0</v>
      </c>
      <c r="AE931" s="40">
        <f t="shared" si="407"/>
        <v>0</v>
      </c>
      <c r="AF931" s="40">
        <f t="shared" si="408"/>
        <v>0</v>
      </c>
      <c r="AG931" s="40">
        <f t="shared" si="409"/>
        <v>0</v>
      </c>
      <c r="AH931" s="40">
        <f t="shared" si="410"/>
        <v>0</v>
      </c>
      <c r="AI931" s="40">
        <f t="shared" si="411"/>
        <v>0</v>
      </c>
      <c r="AJ931" s="40">
        <f t="shared" si="412"/>
        <v>0</v>
      </c>
      <c r="AK931" s="40">
        <f t="shared" si="413"/>
        <v>0</v>
      </c>
      <c r="AL931" s="40">
        <f t="shared" si="414"/>
        <v>0</v>
      </c>
      <c r="AM931" s="40">
        <f t="shared" si="415"/>
        <v>0</v>
      </c>
      <c r="AN931" s="40">
        <f t="shared" si="416"/>
        <v>0</v>
      </c>
      <c r="AO931" s="40">
        <f t="shared" si="417"/>
        <v>0</v>
      </c>
      <c r="AP931" s="40">
        <f t="shared" si="418"/>
        <v>0</v>
      </c>
      <c r="AQ931" s="40">
        <f t="shared" si="419"/>
        <v>0</v>
      </c>
      <c r="AR931" s="40">
        <f t="shared" si="420"/>
        <v>0</v>
      </c>
      <c r="AS931" s="40">
        <f t="shared" si="421"/>
        <v>1</v>
      </c>
    </row>
    <row r="932" spans="2:45" ht="14.4" customHeight="1" x14ac:dyDescent="0.25">
      <c r="B932" s="56" t="s">
        <v>45</v>
      </c>
      <c r="C932" s="57" t="s">
        <v>25</v>
      </c>
      <c r="D932" s="58" t="s">
        <v>22</v>
      </c>
      <c r="E932" s="62">
        <v>5.6600000000000001E-3</v>
      </c>
      <c r="F932" s="65">
        <f t="shared" si="422"/>
        <v>-5.1743313867670455</v>
      </c>
      <c r="S932" s="40">
        <f t="shared" si="395"/>
        <v>0</v>
      </c>
      <c r="T932" s="40">
        <f t="shared" si="396"/>
        <v>0</v>
      </c>
      <c r="U932" s="40">
        <f t="shared" si="397"/>
        <v>0</v>
      </c>
      <c r="V932" s="40">
        <f t="shared" si="398"/>
        <v>1</v>
      </c>
      <c r="W932" s="40">
        <f t="shared" si="399"/>
        <v>0</v>
      </c>
      <c r="X932" s="40">
        <f t="shared" si="400"/>
        <v>0</v>
      </c>
      <c r="Y932" s="40">
        <f t="shared" si="401"/>
        <v>0</v>
      </c>
      <c r="Z932" s="40">
        <f t="shared" si="402"/>
        <v>0</v>
      </c>
      <c r="AA932" s="40">
        <f t="shared" si="403"/>
        <v>0</v>
      </c>
      <c r="AB932" s="40">
        <f t="shared" si="404"/>
        <v>1</v>
      </c>
      <c r="AC932" s="40">
        <f t="shared" si="405"/>
        <v>0</v>
      </c>
      <c r="AD932" s="40">
        <f t="shared" si="406"/>
        <v>0</v>
      </c>
      <c r="AE932" s="40">
        <f t="shared" si="407"/>
        <v>0</v>
      </c>
      <c r="AF932" s="40">
        <f t="shared" si="408"/>
        <v>0</v>
      </c>
      <c r="AG932" s="40">
        <f t="shared" si="409"/>
        <v>0</v>
      </c>
      <c r="AH932" s="40">
        <f t="shared" si="410"/>
        <v>0</v>
      </c>
      <c r="AI932" s="40">
        <f t="shared" si="411"/>
        <v>0</v>
      </c>
      <c r="AJ932" s="40">
        <f t="shared" si="412"/>
        <v>1</v>
      </c>
      <c r="AK932" s="40">
        <f t="shared" si="413"/>
        <v>0</v>
      </c>
      <c r="AL932" s="40">
        <f t="shared" si="414"/>
        <v>0</v>
      </c>
      <c r="AM932" s="40">
        <f t="shared" si="415"/>
        <v>0</v>
      </c>
      <c r="AN932" s="40">
        <f t="shared" si="416"/>
        <v>0</v>
      </c>
      <c r="AO932" s="40">
        <f t="shared" si="417"/>
        <v>0</v>
      </c>
      <c r="AP932" s="40">
        <f t="shared" si="418"/>
        <v>0</v>
      </c>
      <c r="AQ932" s="40">
        <f t="shared" si="419"/>
        <v>0</v>
      </c>
      <c r="AR932" s="40">
        <f t="shared" si="420"/>
        <v>0</v>
      </c>
      <c r="AS932" s="40">
        <f t="shared" si="421"/>
        <v>0</v>
      </c>
    </row>
    <row r="933" spans="2:45" ht="14.4" customHeight="1" x14ac:dyDescent="0.25">
      <c r="B933" s="56" t="s">
        <v>45</v>
      </c>
      <c r="C933" s="57" t="s">
        <v>25</v>
      </c>
      <c r="D933" s="58" t="s">
        <v>37</v>
      </c>
      <c r="E933" s="62">
        <v>2.1400000000000008E-3</v>
      </c>
      <c r="F933" s="65">
        <f t="shared" si="422"/>
        <v>-6.1469494499483766</v>
      </c>
      <c r="S933" s="40">
        <f t="shared" si="395"/>
        <v>0</v>
      </c>
      <c r="T933" s="40">
        <f t="shared" si="396"/>
        <v>0</v>
      </c>
      <c r="U933" s="40">
        <f t="shared" si="397"/>
        <v>0</v>
      </c>
      <c r="V933" s="40">
        <f t="shared" si="398"/>
        <v>1</v>
      </c>
      <c r="W933" s="40">
        <f t="shared" si="399"/>
        <v>0</v>
      </c>
      <c r="X933" s="40">
        <f t="shared" si="400"/>
        <v>0</v>
      </c>
      <c r="Y933" s="40">
        <f t="shared" si="401"/>
        <v>0</v>
      </c>
      <c r="Z933" s="40">
        <f t="shared" si="402"/>
        <v>0</v>
      </c>
      <c r="AA933" s="40">
        <f t="shared" si="403"/>
        <v>0</v>
      </c>
      <c r="AB933" s="40">
        <f t="shared" si="404"/>
        <v>1</v>
      </c>
      <c r="AC933" s="40">
        <f t="shared" si="405"/>
        <v>0</v>
      </c>
      <c r="AD933" s="40">
        <f t="shared" si="406"/>
        <v>0</v>
      </c>
      <c r="AE933" s="40">
        <f t="shared" si="407"/>
        <v>0</v>
      </c>
      <c r="AF933" s="40">
        <f t="shared" si="408"/>
        <v>0</v>
      </c>
      <c r="AG933" s="40">
        <f t="shared" si="409"/>
        <v>0</v>
      </c>
      <c r="AH933" s="40">
        <f t="shared" si="410"/>
        <v>0</v>
      </c>
      <c r="AI933" s="40">
        <f t="shared" si="411"/>
        <v>0</v>
      </c>
      <c r="AJ933" s="40">
        <f t="shared" si="412"/>
        <v>1</v>
      </c>
      <c r="AK933" s="40">
        <f t="shared" si="413"/>
        <v>0</v>
      </c>
      <c r="AL933" s="40">
        <f t="shared" si="414"/>
        <v>0</v>
      </c>
      <c r="AM933" s="40">
        <f t="shared" si="415"/>
        <v>0</v>
      </c>
      <c r="AN933" s="40">
        <f t="shared" si="416"/>
        <v>0</v>
      </c>
      <c r="AO933" s="40">
        <f t="shared" si="417"/>
        <v>0</v>
      </c>
      <c r="AP933" s="40">
        <f t="shared" si="418"/>
        <v>0</v>
      </c>
      <c r="AQ933" s="40">
        <f t="shared" si="419"/>
        <v>0</v>
      </c>
      <c r="AR933" s="40">
        <f t="shared" si="420"/>
        <v>0</v>
      </c>
      <c r="AS933" s="40">
        <f t="shared" si="421"/>
        <v>0</v>
      </c>
    </row>
    <row r="934" spans="2:45" ht="14.4" customHeight="1" x14ac:dyDescent="0.25">
      <c r="B934" s="56" t="s">
        <v>45</v>
      </c>
      <c r="C934" s="57" t="s">
        <v>25</v>
      </c>
      <c r="D934" s="58" t="s">
        <v>37</v>
      </c>
      <c r="E934" s="62">
        <v>1.2489999999999996E-2</v>
      </c>
      <c r="F934" s="65">
        <f t="shared" si="422"/>
        <v>-4.382826954844651</v>
      </c>
      <c r="S934" s="40">
        <f t="shared" si="395"/>
        <v>0</v>
      </c>
      <c r="T934" s="40">
        <f t="shared" si="396"/>
        <v>0</v>
      </c>
      <c r="U934" s="40">
        <f t="shared" si="397"/>
        <v>0</v>
      </c>
      <c r="V934" s="40">
        <f t="shared" si="398"/>
        <v>1</v>
      </c>
      <c r="W934" s="40">
        <f t="shared" si="399"/>
        <v>0</v>
      </c>
      <c r="X934" s="40">
        <f t="shared" si="400"/>
        <v>0</v>
      </c>
      <c r="Y934" s="40">
        <f t="shared" si="401"/>
        <v>0</v>
      </c>
      <c r="Z934" s="40">
        <f t="shared" si="402"/>
        <v>0</v>
      </c>
      <c r="AA934" s="40">
        <f t="shared" si="403"/>
        <v>0</v>
      </c>
      <c r="AB934" s="40">
        <f t="shared" si="404"/>
        <v>1</v>
      </c>
      <c r="AC934" s="40">
        <f t="shared" si="405"/>
        <v>0</v>
      </c>
      <c r="AD934" s="40">
        <f t="shared" si="406"/>
        <v>0</v>
      </c>
      <c r="AE934" s="40">
        <f t="shared" si="407"/>
        <v>0</v>
      </c>
      <c r="AF934" s="40">
        <f t="shared" si="408"/>
        <v>0</v>
      </c>
      <c r="AG934" s="40">
        <f t="shared" si="409"/>
        <v>0</v>
      </c>
      <c r="AH934" s="40">
        <f t="shared" si="410"/>
        <v>0</v>
      </c>
      <c r="AI934" s="40">
        <f t="shared" si="411"/>
        <v>0</v>
      </c>
      <c r="AJ934" s="40">
        <f t="shared" si="412"/>
        <v>0</v>
      </c>
      <c r="AK934" s="40">
        <f t="shared" si="413"/>
        <v>0</v>
      </c>
      <c r="AL934" s="40">
        <f t="shared" si="414"/>
        <v>0</v>
      </c>
      <c r="AM934" s="40">
        <f t="shared" si="415"/>
        <v>0</v>
      </c>
      <c r="AN934" s="40">
        <f t="shared" si="416"/>
        <v>0</v>
      </c>
      <c r="AO934" s="40">
        <f t="shared" si="417"/>
        <v>1</v>
      </c>
      <c r="AP934" s="40">
        <f t="shared" si="418"/>
        <v>0</v>
      </c>
      <c r="AQ934" s="40">
        <f t="shared" si="419"/>
        <v>0</v>
      </c>
      <c r="AR934" s="40">
        <f t="shared" si="420"/>
        <v>0</v>
      </c>
      <c r="AS934" s="40">
        <f t="shared" si="421"/>
        <v>0</v>
      </c>
    </row>
    <row r="935" spans="2:45" ht="14.4" customHeight="1" x14ac:dyDescent="0.25">
      <c r="B935" s="56" t="s">
        <v>45</v>
      </c>
      <c r="C935" s="57" t="s">
        <v>25</v>
      </c>
      <c r="D935" s="58" t="s">
        <v>31</v>
      </c>
      <c r="E935" s="62">
        <v>2.6200000000000012E-3</v>
      </c>
      <c r="F935" s="65">
        <f t="shared" si="422"/>
        <v>-5.9445809612091312</v>
      </c>
      <c r="S935" s="40">
        <f t="shared" si="395"/>
        <v>0</v>
      </c>
      <c r="T935" s="40">
        <f t="shared" si="396"/>
        <v>0</v>
      </c>
      <c r="U935" s="40">
        <f t="shared" si="397"/>
        <v>0</v>
      </c>
      <c r="V935" s="40">
        <f t="shared" si="398"/>
        <v>1</v>
      </c>
      <c r="W935" s="40">
        <f t="shared" si="399"/>
        <v>0</v>
      </c>
      <c r="X935" s="40">
        <f t="shared" si="400"/>
        <v>0</v>
      </c>
      <c r="Y935" s="40">
        <f t="shared" si="401"/>
        <v>0</v>
      </c>
      <c r="Z935" s="40">
        <f t="shared" si="402"/>
        <v>0</v>
      </c>
      <c r="AA935" s="40">
        <f t="shared" si="403"/>
        <v>0</v>
      </c>
      <c r="AB935" s="40">
        <f t="shared" si="404"/>
        <v>1</v>
      </c>
      <c r="AC935" s="40">
        <f t="shared" si="405"/>
        <v>0</v>
      </c>
      <c r="AD935" s="40">
        <f t="shared" si="406"/>
        <v>0</v>
      </c>
      <c r="AE935" s="40">
        <f t="shared" si="407"/>
        <v>0</v>
      </c>
      <c r="AF935" s="40">
        <f t="shared" si="408"/>
        <v>0</v>
      </c>
      <c r="AG935" s="40">
        <f t="shared" si="409"/>
        <v>0</v>
      </c>
      <c r="AH935" s="40">
        <f t="shared" si="410"/>
        <v>0</v>
      </c>
      <c r="AI935" s="40">
        <f t="shared" si="411"/>
        <v>0</v>
      </c>
      <c r="AJ935" s="40">
        <f t="shared" si="412"/>
        <v>0</v>
      </c>
      <c r="AK935" s="40">
        <f t="shared" si="413"/>
        <v>0</v>
      </c>
      <c r="AL935" s="40">
        <f t="shared" si="414"/>
        <v>0</v>
      </c>
      <c r="AM935" s="40">
        <f t="shared" si="415"/>
        <v>0</v>
      </c>
      <c r="AN935" s="40">
        <f t="shared" si="416"/>
        <v>0</v>
      </c>
      <c r="AO935" s="40">
        <f t="shared" si="417"/>
        <v>0</v>
      </c>
      <c r="AP935" s="40">
        <f t="shared" si="418"/>
        <v>0</v>
      </c>
      <c r="AQ935" s="40">
        <f t="shared" si="419"/>
        <v>0</v>
      </c>
      <c r="AR935" s="40">
        <f t="shared" si="420"/>
        <v>0</v>
      </c>
      <c r="AS935" s="40">
        <f t="shared" si="421"/>
        <v>1</v>
      </c>
    </row>
    <row r="936" spans="2:45" ht="14.4" customHeight="1" x14ac:dyDescent="0.25">
      <c r="B936" s="56" t="s">
        <v>45</v>
      </c>
      <c r="C936" s="57" t="s">
        <v>25</v>
      </c>
      <c r="D936" s="58" t="s">
        <v>22</v>
      </c>
      <c r="E936" s="62">
        <v>2.8899999999999998E-3</v>
      </c>
      <c r="F936" s="65">
        <f t="shared" si="422"/>
        <v>-5.8464987768577963</v>
      </c>
      <c r="S936" s="40">
        <f t="shared" si="395"/>
        <v>0</v>
      </c>
      <c r="T936" s="40">
        <f t="shared" si="396"/>
        <v>0</v>
      </c>
      <c r="U936" s="40">
        <f t="shared" si="397"/>
        <v>0</v>
      </c>
      <c r="V936" s="40">
        <f t="shared" si="398"/>
        <v>1</v>
      </c>
      <c r="W936" s="40">
        <f t="shared" si="399"/>
        <v>0</v>
      </c>
      <c r="X936" s="40">
        <f t="shared" si="400"/>
        <v>0</v>
      </c>
      <c r="Y936" s="40">
        <f t="shared" si="401"/>
        <v>0</v>
      </c>
      <c r="Z936" s="40">
        <f t="shared" si="402"/>
        <v>0</v>
      </c>
      <c r="AA936" s="40">
        <f t="shared" si="403"/>
        <v>0</v>
      </c>
      <c r="AB936" s="40">
        <f t="shared" si="404"/>
        <v>1</v>
      </c>
      <c r="AC936" s="40">
        <f t="shared" si="405"/>
        <v>0</v>
      </c>
      <c r="AD936" s="40">
        <f t="shared" si="406"/>
        <v>0</v>
      </c>
      <c r="AE936" s="40">
        <f t="shared" si="407"/>
        <v>0</v>
      </c>
      <c r="AF936" s="40">
        <f t="shared" si="408"/>
        <v>0</v>
      </c>
      <c r="AG936" s="40">
        <f t="shared" si="409"/>
        <v>0</v>
      </c>
      <c r="AH936" s="40">
        <f t="shared" si="410"/>
        <v>0</v>
      </c>
      <c r="AI936" s="40">
        <f t="shared" si="411"/>
        <v>0</v>
      </c>
      <c r="AJ936" s="40">
        <f t="shared" si="412"/>
        <v>0</v>
      </c>
      <c r="AK936" s="40">
        <f t="shared" si="413"/>
        <v>0</v>
      </c>
      <c r="AL936" s="40">
        <f t="shared" si="414"/>
        <v>0</v>
      </c>
      <c r="AM936" s="40">
        <f t="shared" si="415"/>
        <v>0</v>
      </c>
      <c r="AN936" s="40">
        <f t="shared" si="416"/>
        <v>1</v>
      </c>
      <c r="AO936" s="40">
        <f t="shared" si="417"/>
        <v>0</v>
      </c>
      <c r="AP936" s="40">
        <f t="shared" si="418"/>
        <v>0</v>
      </c>
      <c r="AQ936" s="40">
        <f t="shared" si="419"/>
        <v>0</v>
      </c>
      <c r="AR936" s="40">
        <f t="shared" si="420"/>
        <v>0</v>
      </c>
      <c r="AS936" s="40">
        <f t="shared" si="421"/>
        <v>0</v>
      </c>
    </row>
    <row r="937" spans="2:45" ht="14.4" customHeight="1" x14ac:dyDescent="0.25">
      <c r="B937" s="56" t="s">
        <v>45</v>
      </c>
      <c r="C937" s="57" t="s">
        <v>25</v>
      </c>
      <c r="D937" s="58" t="s">
        <v>29</v>
      </c>
      <c r="E937" s="62">
        <v>5.77E-3</v>
      </c>
      <c r="F937" s="65">
        <f t="shared" si="422"/>
        <v>-5.1550831984621288</v>
      </c>
      <c r="S937" s="40">
        <f t="shared" si="395"/>
        <v>0</v>
      </c>
      <c r="T937" s="40">
        <f t="shared" si="396"/>
        <v>0</v>
      </c>
      <c r="U937" s="40">
        <f t="shared" si="397"/>
        <v>0</v>
      </c>
      <c r="V937" s="40">
        <f t="shared" si="398"/>
        <v>1</v>
      </c>
      <c r="W937" s="40">
        <f t="shared" si="399"/>
        <v>0</v>
      </c>
      <c r="X937" s="40">
        <f t="shared" si="400"/>
        <v>0</v>
      </c>
      <c r="Y937" s="40">
        <f t="shared" si="401"/>
        <v>0</v>
      </c>
      <c r="Z937" s="40">
        <f t="shared" si="402"/>
        <v>0</v>
      </c>
      <c r="AA937" s="40">
        <f t="shared" si="403"/>
        <v>0</v>
      </c>
      <c r="AB937" s="40">
        <f t="shared" si="404"/>
        <v>1</v>
      </c>
      <c r="AC937" s="40">
        <f t="shared" si="405"/>
        <v>0</v>
      </c>
      <c r="AD937" s="40">
        <f t="shared" si="406"/>
        <v>0</v>
      </c>
      <c r="AE937" s="40">
        <f t="shared" si="407"/>
        <v>0</v>
      </c>
      <c r="AF937" s="40">
        <f t="shared" si="408"/>
        <v>0</v>
      </c>
      <c r="AG937" s="40">
        <f t="shared" si="409"/>
        <v>0</v>
      </c>
      <c r="AH937" s="40">
        <f t="shared" si="410"/>
        <v>0</v>
      </c>
      <c r="AI937" s="40">
        <f t="shared" si="411"/>
        <v>0</v>
      </c>
      <c r="AJ937" s="40">
        <f t="shared" si="412"/>
        <v>0</v>
      </c>
      <c r="AK937" s="40">
        <f t="shared" si="413"/>
        <v>0</v>
      </c>
      <c r="AL937" s="40">
        <f t="shared" si="414"/>
        <v>1</v>
      </c>
      <c r="AM937" s="40">
        <f t="shared" si="415"/>
        <v>0</v>
      </c>
      <c r="AN937" s="40">
        <f t="shared" si="416"/>
        <v>0</v>
      </c>
      <c r="AO937" s="40">
        <f t="shared" si="417"/>
        <v>0</v>
      </c>
      <c r="AP937" s="40">
        <f t="shared" si="418"/>
        <v>0</v>
      </c>
      <c r="AQ937" s="40">
        <f t="shared" si="419"/>
        <v>0</v>
      </c>
      <c r="AR937" s="40">
        <f t="shared" si="420"/>
        <v>0</v>
      </c>
      <c r="AS937" s="40">
        <f t="shared" si="421"/>
        <v>0</v>
      </c>
    </row>
    <row r="938" spans="2:45" ht="14.4" customHeight="1" x14ac:dyDescent="0.25">
      <c r="B938" s="56" t="s">
        <v>45</v>
      </c>
      <c r="C938" s="57" t="s">
        <v>25</v>
      </c>
      <c r="D938" s="58" t="s">
        <v>24</v>
      </c>
      <c r="E938" s="62">
        <v>1.4979999999999995E-2</v>
      </c>
      <c r="F938" s="65">
        <f t="shared" si="422"/>
        <v>-4.201039300893064</v>
      </c>
      <c r="S938" s="40">
        <f t="shared" si="395"/>
        <v>0</v>
      </c>
      <c r="T938" s="40">
        <f t="shared" si="396"/>
        <v>0</v>
      </c>
      <c r="U938" s="40">
        <f t="shared" si="397"/>
        <v>0</v>
      </c>
      <c r="V938" s="40">
        <f t="shared" si="398"/>
        <v>1</v>
      </c>
      <c r="W938" s="40">
        <f t="shared" si="399"/>
        <v>0</v>
      </c>
      <c r="X938" s="40">
        <f t="shared" si="400"/>
        <v>0</v>
      </c>
      <c r="Y938" s="40">
        <f t="shared" si="401"/>
        <v>0</v>
      </c>
      <c r="Z938" s="40">
        <f t="shared" si="402"/>
        <v>0</v>
      </c>
      <c r="AA938" s="40">
        <f t="shared" si="403"/>
        <v>0</v>
      </c>
      <c r="AB938" s="40">
        <f t="shared" si="404"/>
        <v>1</v>
      </c>
      <c r="AC938" s="40">
        <f t="shared" si="405"/>
        <v>0</v>
      </c>
      <c r="AD938" s="40">
        <f t="shared" si="406"/>
        <v>0</v>
      </c>
      <c r="AE938" s="40">
        <f t="shared" si="407"/>
        <v>0</v>
      </c>
      <c r="AF938" s="40">
        <f t="shared" si="408"/>
        <v>0</v>
      </c>
      <c r="AG938" s="40">
        <f t="shared" si="409"/>
        <v>0</v>
      </c>
      <c r="AH938" s="40">
        <f t="shared" si="410"/>
        <v>0</v>
      </c>
      <c r="AI938" s="40">
        <f t="shared" si="411"/>
        <v>0</v>
      </c>
      <c r="AJ938" s="40">
        <f t="shared" si="412"/>
        <v>0</v>
      </c>
      <c r="AK938" s="40">
        <f t="shared" si="413"/>
        <v>0</v>
      </c>
      <c r="AL938" s="40">
        <f t="shared" si="414"/>
        <v>0</v>
      </c>
      <c r="AM938" s="40">
        <f t="shared" si="415"/>
        <v>0</v>
      </c>
      <c r="AN938" s="40">
        <f t="shared" si="416"/>
        <v>0</v>
      </c>
      <c r="AO938" s="40">
        <f t="shared" si="417"/>
        <v>1</v>
      </c>
      <c r="AP938" s="40">
        <f t="shared" si="418"/>
        <v>0</v>
      </c>
      <c r="AQ938" s="40">
        <f t="shared" si="419"/>
        <v>0</v>
      </c>
      <c r="AR938" s="40">
        <f t="shared" si="420"/>
        <v>0</v>
      </c>
      <c r="AS938" s="40">
        <f t="shared" si="421"/>
        <v>0</v>
      </c>
    </row>
    <row r="939" spans="2:45" ht="14.4" customHeight="1" x14ac:dyDescent="0.25">
      <c r="B939" s="56" t="s">
        <v>45</v>
      </c>
      <c r="C939" s="57" t="s">
        <v>25</v>
      </c>
      <c r="D939" s="58" t="s">
        <v>31</v>
      </c>
      <c r="E939" s="62">
        <v>7.7800000000000031E-3</v>
      </c>
      <c r="F939" s="65">
        <f t="shared" si="422"/>
        <v>-4.8561989407918364</v>
      </c>
      <c r="S939" s="40">
        <f t="shared" si="395"/>
        <v>0</v>
      </c>
      <c r="T939" s="40">
        <f t="shared" si="396"/>
        <v>0</v>
      </c>
      <c r="U939" s="40">
        <f t="shared" si="397"/>
        <v>0</v>
      </c>
      <c r="V939" s="40">
        <f t="shared" si="398"/>
        <v>1</v>
      </c>
      <c r="W939" s="40">
        <f t="shared" si="399"/>
        <v>0</v>
      </c>
      <c r="X939" s="40">
        <f t="shared" si="400"/>
        <v>0</v>
      </c>
      <c r="Y939" s="40">
        <f t="shared" si="401"/>
        <v>0</v>
      </c>
      <c r="Z939" s="40">
        <f t="shared" si="402"/>
        <v>0</v>
      </c>
      <c r="AA939" s="40">
        <f t="shared" si="403"/>
        <v>0</v>
      </c>
      <c r="AB939" s="40">
        <f t="shared" si="404"/>
        <v>1</v>
      </c>
      <c r="AC939" s="40">
        <f t="shared" si="405"/>
        <v>0</v>
      </c>
      <c r="AD939" s="40">
        <f t="shared" si="406"/>
        <v>0</v>
      </c>
      <c r="AE939" s="40">
        <f t="shared" si="407"/>
        <v>0</v>
      </c>
      <c r="AF939" s="40">
        <f t="shared" si="408"/>
        <v>0</v>
      </c>
      <c r="AG939" s="40">
        <f t="shared" si="409"/>
        <v>0</v>
      </c>
      <c r="AH939" s="40">
        <f t="shared" si="410"/>
        <v>0</v>
      </c>
      <c r="AI939" s="40">
        <f t="shared" si="411"/>
        <v>0</v>
      </c>
      <c r="AJ939" s="40">
        <f t="shared" si="412"/>
        <v>0</v>
      </c>
      <c r="AK939" s="40">
        <f t="shared" si="413"/>
        <v>0</v>
      </c>
      <c r="AL939" s="40">
        <f t="shared" si="414"/>
        <v>0</v>
      </c>
      <c r="AM939" s="40">
        <f t="shared" si="415"/>
        <v>0</v>
      </c>
      <c r="AN939" s="40">
        <f t="shared" si="416"/>
        <v>0</v>
      </c>
      <c r="AO939" s="40">
        <f t="shared" si="417"/>
        <v>1</v>
      </c>
      <c r="AP939" s="40">
        <f t="shared" si="418"/>
        <v>0</v>
      </c>
      <c r="AQ939" s="40">
        <f t="shared" si="419"/>
        <v>0</v>
      </c>
      <c r="AR939" s="40">
        <f t="shared" si="420"/>
        <v>0</v>
      </c>
      <c r="AS939" s="40">
        <f t="shared" si="421"/>
        <v>0</v>
      </c>
    </row>
    <row r="940" spans="2:45" ht="14.4" customHeight="1" x14ac:dyDescent="0.25">
      <c r="B940" s="56" t="s">
        <v>45</v>
      </c>
      <c r="C940" s="57" t="s">
        <v>25</v>
      </c>
      <c r="D940" s="58" t="s">
        <v>31</v>
      </c>
      <c r="E940" s="62">
        <v>6.579999999999999E-3</v>
      </c>
      <c r="F940" s="65">
        <f t="shared" si="422"/>
        <v>-5.0237205336449113</v>
      </c>
      <c r="S940" s="40">
        <f t="shared" si="395"/>
        <v>0</v>
      </c>
      <c r="T940" s="40">
        <f t="shared" si="396"/>
        <v>0</v>
      </c>
      <c r="U940" s="40">
        <f t="shared" si="397"/>
        <v>0</v>
      </c>
      <c r="V940" s="40">
        <f t="shared" si="398"/>
        <v>1</v>
      </c>
      <c r="W940" s="40">
        <f t="shared" si="399"/>
        <v>0</v>
      </c>
      <c r="X940" s="40">
        <f t="shared" si="400"/>
        <v>0</v>
      </c>
      <c r="Y940" s="40">
        <f t="shared" si="401"/>
        <v>0</v>
      </c>
      <c r="Z940" s="40">
        <f t="shared" si="402"/>
        <v>0</v>
      </c>
      <c r="AA940" s="40">
        <f t="shared" si="403"/>
        <v>0</v>
      </c>
      <c r="AB940" s="40">
        <f t="shared" si="404"/>
        <v>1</v>
      </c>
      <c r="AC940" s="40">
        <f t="shared" si="405"/>
        <v>0</v>
      </c>
      <c r="AD940" s="40">
        <f t="shared" si="406"/>
        <v>0</v>
      </c>
      <c r="AE940" s="40">
        <f t="shared" si="407"/>
        <v>0</v>
      </c>
      <c r="AF940" s="40">
        <f t="shared" si="408"/>
        <v>0</v>
      </c>
      <c r="AG940" s="40">
        <f t="shared" si="409"/>
        <v>0</v>
      </c>
      <c r="AH940" s="40">
        <f t="shared" si="410"/>
        <v>0</v>
      </c>
      <c r="AI940" s="40">
        <f t="shared" si="411"/>
        <v>0</v>
      </c>
      <c r="AJ940" s="40">
        <f t="shared" si="412"/>
        <v>0</v>
      </c>
      <c r="AK940" s="40">
        <f t="shared" si="413"/>
        <v>0</v>
      </c>
      <c r="AL940" s="40">
        <f t="shared" si="414"/>
        <v>0</v>
      </c>
      <c r="AM940" s="40">
        <f t="shared" si="415"/>
        <v>0</v>
      </c>
      <c r="AN940" s="40">
        <f t="shared" si="416"/>
        <v>0</v>
      </c>
      <c r="AO940" s="40">
        <f t="shared" si="417"/>
        <v>0</v>
      </c>
      <c r="AP940" s="40">
        <f t="shared" si="418"/>
        <v>0</v>
      </c>
      <c r="AQ940" s="40">
        <f t="shared" si="419"/>
        <v>0</v>
      </c>
      <c r="AR940" s="40">
        <f t="shared" si="420"/>
        <v>0</v>
      </c>
      <c r="AS940" s="40">
        <f t="shared" si="421"/>
        <v>1</v>
      </c>
    </row>
    <row r="941" spans="2:45" ht="14.4" customHeight="1" x14ac:dyDescent="0.25">
      <c r="B941" s="56" t="s">
        <v>45</v>
      </c>
      <c r="C941" s="57" t="s">
        <v>25</v>
      </c>
      <c r="D941" s="58" t="s">
        <v>22</v>
      </c>
      <c r="E941" s="62">
        <v>2.4200000000000003E-3</v>
      </c>
      <c r="F941" s="65">
        <f t="shared" si="422"/>
        <v>-6.0239877388135419</v>
      </c>
      <c r="S941" s="40">
        <f t="shared" si="395"/>
        <v>0</v>
      </c>
      <c r="T941" s="40">
        <f t="shared" si="396"/>
        <v>0</v>
      </c>
      <c r="U941" s="40">
        <f t="shared" si="397"/>
        <v>0</v>
      </c>
      <c r="V941" s="40">
        <f t="shared" si="398"/>
        <v>1</v>
      </c>
      <c r="W941" s="40">
        <f t="shared" si="399"/>
        <v>0</v>
      </c>
      <c r="X941" s="40">
        <f t="shared" si="400"/>
        <v>0</v>
      </c>
      <c r="Y941" s="40">
        <f t="shared" si="401"/>
        <v>0</v>
      </c>
      <c r="Z941" s="40">
        <f t="shared" si="402"/>
        <v>0</v>
      </c>
      <c r="AA941" s="40">
        <f t="shared" si="403"/>
        <v>0</v>
      </c>
      <c r="AB941" s="40">
        <f t="shared" si="404"/>
        <v>1</v>
      </c>
      <c r="AC941" s="40">
        <f t="shared" si="405"/>
        <v>0</v>
      </c>
      <c r="AD941" s="40">
        <f t="shared" si="406"/>
        <v>0</v>
      </c>
      <c r="AE941" s="40">
        <f t="shared" si="407"/>
        <v>0</v>
      </c>
      <c r="AF941" s="40">
        <f t="shared" si="408"/>
        <v>0</v>
      </c>
      <c r="AG941" s="40">
        <f t="shared" si="409"/>
        <v>0</v>
      </c>
      <c r="AH941" s="40">
        <f t="shared" si="410"/>
        <v>1</v>
      </c>
      <c r="AI941" s="40">
        <f t="shared" si="411"/>
        <v>0</v>
      </c>
      <c r="AJ941" s="40">
        <f t="shared" si="412"/>
        <v>0</v>
      </c>
      <c r="AK941" s="40">
        <f t="shared" si="413"/>
        <v>0</v>
      </c>
      <c r="AL941" s="40">
        <f t="shared" si="414"/>
        <v>0</v>
      </c>
      <c r="AM941" s="40">
        <f t="shared" si="415"/>
        <v>0</v>
      </c>
      <c r="AN941" s="40">
        <f t="shared" si="416"/>
        <v>0</v>
      </c>
      <c r="AO941" s="40">
        <f t="shared" si="417"/>
        <v>0</v>
      </c>
      <c r="AP941" s="40">
        <f t="shared" si="418"/>
        <v>0</v>
      </c>
      <c r="AQ941" s="40">
        <f t="shared" si="419"/>
        <v>0</v>
      </c>
      <c r="AR941" s="40">
        <f t="shared" si="420"/>
        <v>0</v>
      </c>
      <c r="AS941" s="40">
        <f t="shared" si="421"/>
        <v>0</v>
      </c>
    </row>
    <row r="942" spans="2:45" ht="14.4" customHeight="1" x14ac:dyDescent="0.25">
      <c r="B942" s="56" t="s">
        <v>45</v>
      </c>
      <c r="C942" s="57" t="s">
        <v>25</v>
      </c>
      <c r="D942" s="58" t="s">
        <v>27</v>
      </c>
      <c r="E942" s="62">
        <v>6.9299999999999987E-3</v>
      </c>
      <c r="F942" s="65">
        <f t="shared" si="422"/>
        <v>-4.9718954657803254</v>
      </c>
      <c r="S942" s="40">
        <f t="shared" si="395"/>
        <v>0</v>
      </c>
      <c r="T942" s="40">
        <f t="shared" si="396"/>
        <v>0</v>
      </c>
      <c r="U942" s="40">
        <f t="shared" si="397"/>
        <v>0</v>
      </c>
      <c r="V942" s="40">
        <f t="shared" si="398"/>
        <v>1</v>
      </c>
      <c r="W942" s="40">
        <f t="shared" si="399"/>
        <v>0</v>
      </c>
      <c r="X942" s="40">
        <f t="shared" si="400"/>
        <v>0</v>
      </c>
      <c r="Y942" s="40">
        <f t="shared" si="401"/>
        <v>0</v>
      </c>
      <c r="Z942" s="40">
        <f t="shared" si="402"/>
        <v>0</v>
      </c>
      <c r="AA942" s="40">
        <f t="shared" si="403"/>
        <v>0</v>
      </c>
      <c r="AB942" s="40">
        <f t="shared" si="404"/>
        <v>1</v>
      </c>
      <c r="AC942" s="40">
        <f t="shared" si="405"/>
        <v>0</v>
      </c>
      <c r="AD942" s="40">
        <f t="shared" si="406"/>
        <v>0</v>
      </c>
      <c r="AE942" s="40">
        <f t="shared" si="407"/>
        <v>0</v>
      </c>
      <c r="AF942" s="40">
        <f t="shared" si="408"/>
        <v>0</v>
      </c>
      <c r="AG942" s="40">
        <f t="shared" si="409"/>
        <v>0</v>
      </c>
      <c r="AH942" s="40">
        <f t="shared" si="410"/>
        <v>0</v>
      </c>
      <c r="AI942" s="40">
        <f t="shared" si="411"/>
        <v>0</v>
      </c>
      <c r="AJ942" s="40">
        <f t="shared" si="412"/>
        <v>0</v>
      </c>
      <c r="AK942" s="40">
        <f t="shared" si="413"/>
        <v>0</v>
      </c>
      <c r="AL942" s="40">
        <f t="shared" si="414"/>
        <v>0</v>
      </c>
      <c r="AM942" s="40">
        <f t="shared" si="415"/>
        <v>0</v>
      </c>
      <c r="AN942" s="40">
        <f t="shared" si="416"/>
        <v>0</v>
      </c>
      <c r="AO942" s="40">
        <f t="shared" si="417"/>
        <v>1</v>
      </c>
      <c r="AP942" s="40">
        <f t="shared" si="418"/>
        <v>0</v>
      </c>
      <c r="AQ942" s="40">
        <f t="shared" si="419"/>
        <v>0</v>
      </c>
      <c r="AR942" s="40">
        <f t="shared" si="420"/>
        <v>0</v>
      </c>
      <c r="AS942" s="40">
        <f t="shared" si="421"/>
        <v>0</v>
      </c>
    </row>
    <row r="943" spans="2:45" ht="14.4" customHeight="1" x14ac:dyDescent="0.25">
      <c r="B943" s="56" t="s">
        <v>45</v>
      </c>
      <c r="C943" s="57" t="s">
        <v>25</v>
      </c>
      <c r="D943" s="58" t="s">
        <v>31</v>
      </c>
      <c r="E943" s="62">
        <v>1.1290000000000005E-2</v>
      </c>
      <c r="F943" s="65">
        <f t="shared" si="422"/>
        <v>-4.483837900820566</v>
      </c>
      <c r="S943" s="40">
        <f t="shared" si="395"/>
        <v>0</v>
      </c>
      <c r="T943" s="40">
        <f t="shared" si="396"/>
        <v>0</v>
      </c>
      <c r="U943" s="40">
        <f t="shared" si="397"/>
        <v>0</v>
      </c>
      <c r="V943" s="40">
        <f t="shared" si="398"/>
        <v>1</v>
      </c>
      <c r="W943" s="40">
        <f t="shared" si="399"/>
        <v>0</v>
      </c>
      <c r="X943" s="40">
        <f t="shared" si="400"/>
        <v>0</v>
      </c>
      <c r="Y943" s="40">
        <f t="shared" si="401"/>
        <v>0</v>
      </c>
      <c r="Z943" s="40">
        <f t="shared" si="402"/>
        <v>0</v>
      </c>
      <c r="AA943" s="40">
        <f t="shared" si="403"/>
        <v>0</v>
      </c>
      <c r="AB943" s="40">
        <f t="shared" si="404"/>
        <v>1</v>
      </c>
      <c r="AC943" s="40">
        <f t="shared" si="405"/>
        <v>0</v>
      </c>
      <c r="AD943" s="40">
        <f t="shared" si="406"/>
        <v>0</v>
      </c>
      <c r="AE943" s="40">
        <f t="shared" si="407"/>
        <v>0</v>
      </c>
      <c r="AF943" s="40">
        <f t="shared" si="408"/>
        <v>0</v>
      </c>
      <c r="AG943" s="40">
        <f t="shared" si="409"/>
        <v>0</v>
      </c>
      <c r="AH943" s="40">
        <f t="shared" si="410"/>
        <v>0</v>
      </c>
      <c r="AI943" s="40">
        <f t="shared" si="411"/>
        <v>1</v>
      </c>
      <c r="AJ943" s="40">
        <f t="shared" si="412"/>
        <v>0</v>
      </c>
      <c r="AK943" s="40">
        <f t="shared" si="413"/>
        <v>0</v>
      </c>
      <c r="AL943" s="40">
        <f t="shared" si="414"/>
        <v>0</v>
      </c>
      <c r="AM943" s="40">
        <f t="shared" si="415"/>
        <v>0</v>
      </c>
      <c r="AN943" s="40">
        <f t="shared" si="416"/>
        <v>0</v>
      </c>
      <c r="AO943" s="40">
        <f t="shared" si="417"/>
        <v>0</v>
      </c>
      <c r="AP943" s="40">
        <f t="shared" si="418"/>
        <v>0</v>
      </c>
      <c r="AQ943" s="40">
        <f t="shared" si="419"/>
        <v>0</v>
      </c>
      <c r="AR943" s="40">
        <f t="shared" si="420"/>
        <v>0</v>
      </c>
      <c r="AS943" s="40">
        <f t="shared" si="421"/>
        <v>0</v>
      </c>
    </row>
    <row r="944" spans="2:45" ht="14.4" customHeight="1" x14ac:dyDescent="0.25">
      <c r="B944" s="56" t="s">
        <v>45</v>
      </c>
      <c r="C944" s="57" t="s">
        <v>25</v>
      </c>
      <c r="D944" s="58" t="s">
        <v>28</v>
      </c>
      <c r="E944" s="62">
        <v>1.1110000000000002E-2</v>
      </c>
      <c r="F944" s="65">
        <f t="shared" si="422"/>
        <v>-4.4999096753305983</v>
      </c>
      <c r="S944" s="40">
        <f t="shared" si="395"/>
        <v>0</v>
      </c>
      <c r="T944" s="40">
        <f t="shared" si="396"/>
        <v>0</v>
      </c>
      <c r="U944" s="40">
        <f t="shared" si="397"/>
        <v>0</v>
      </c>
      <c r="V944" s="40">
        <f t="shared" si="398"/>
        <v>1</v>
      </c>
      <c r="W944" s="40">
        <f t="shared" si="399"/>
        <v>0</v>
      </c>
      <c r="X944" s="40">
        <f t="shared" si="400"/>
        <v>0</v>
      </c>
      <c r="Y944" s="40">
        <f t="shared" si="401"/>
        <v>0</v>
      </c>
      <c r="Z944" s="40">
        <f t="shared" si="402"/>
        <v>0</v>
      </c>
      <c r="AA944" s="40">
        <f t="shared" si="403"/>
        <v>0</v>
      </c>
      <c r="AB944" s="40">
        <f t="shared" si="404"/>
        <v>1</v>
      </c>
      <c r="AC944" s="40">
        <f t="shared" si="405"/>
        <v>0</v>
      </c>
      <c r="AD944" s="40">
        <f t="shared" si="406"/>
        <v>0</v>
      </c>
      <c r="AE944" s="40">
        <f t="shared" si="407"/>
        <v>0</v>
      </c>
      <c r="AF944" s="40">
        <f t="shared" si="408"/>
        <v>0</v>
      </c>
      <c r="AG944" s="40">
        <f t="shared" si="409"/>
        <v>0</v>
      </c>
      <c r="AH944" s="40">
        <f t="shared" si="410"/>
        <v>0</v>
      </c>
      <c r="AI944" s="40">
        <f t="shared" si="411"/>
        <v>0</v>
      </c>
      <c r="AJ944" s="40">
        <f t="shared" si="412"/>
        <v>0</v>
      </c>
      <c r="AK944" s="40">
        <f t="shared" si="413"/>
        <v>0</v>
      </c>
      <c r="AL944" s="40">
        <f t="shared" si="414"/>
        <v>0</v>
      </c>
      <c r="AM944" s="40">
        <f t="shared" si="415"/>
        <v>0</v>
      </c>
      <c r="AN944" s="40">
        <f t="shared" si="416"/>
        <v>0</v>
      </c>
      <c r="AO944" s="40">
        <f t="shared" si="417"/>
        <v>1</v>
      </c>
      <c r="AP944" s="40">
        <f t="shared" si="418"/>
        <v>0</v>
      </c>
      <c r="AQ944" s="40">
        <f t="shared" si="419"/>
        <v>0</v>
      </c>
      <c r="AR944" s="40">
        <f t="shared" si="420"/>
        <v>0</v>
      </c>
      <c r="AS944" s="40">
        <f t="shared" si="421"/>
        <v>0</v>
      </c>
    </row>
    <row r="945" spans="2:45" ht="14.4" customHeight="1" x14ac:dyDescent="0.25">
      <c r="B945" s="56" t="s">
        <v>45</v>
      </c>
      <c r="C945" s="57" t="s">
        <v>25</v>
      </c>
      <c r="D945" s="58" t="s">
        <v>31</v>
      </c>
      <c r="E945" s="62">
        <v>9.9699999999999962E-3</v>
      </c>
      <c r="F945" s="65">
        <f t="shared" si="422"/>
        <v>-4.6081746950083904</v>
      </c>
      <c r="S945" s="40">
        <f t="shared" si="395"/>
        <v>0</v>
      </c>
      <c r="T945" s="40">
        <f t="shared" si="396"/>
        <v>0</v>
      </c>
      <c r="U945" s="40">
        <f t="shared" si="397"/>
        <v>0</v>
      </c>
      <c r="V945" s="40">
        <f t="shared" si="398"/>
        <v>1</v>
      </c>
      <c r="W945" s="40">
        <f t="shared" si="399"/>
        <v>0</v>
      </c>
      <c r="X945" s="40">
        <f t="shared" si="400"/>
        <v>0</v>
      </c>
      <c r="Y945" s="40">
        <f t="shared" si="401"/>
        <v>0</v>
      </c>
      <c r="Z945" s="40">
        <f t="shared" si="402"/>
        <v>0</v>
      </c>
      <c r="AA945" s="40">
        <f t="shared" si="403"/>
        <v>0</v>
      </c>
      <c r="AB945" s="40">
        <f t="shared" si="404"/>
        <v>1</v>
      </c>
      <c r="AC945" s="40">
        <f t="shared" si="405"/>
        <v>0</v>
      </c>
      <c r="AD945" s="40">
        <f t="shared" si="406"/>
        <v>0</v>
      </c>
      <c r="AE945" s="40">
        <f t="shared" si="407"/>
        <v>0</v>
      </c>
      <c r="AF945" s="40">
        <f t="shared" si="408"/>
        <v>0</v>
      </c>
      <c r="AG945" s="40">
        <f t="shared" si="409"/>
        <v>0</v>
      </c>
      <c r="AH945" s="40">
        <f t="shared" si="410"/>
        <v>0</v>
      </c>
      <c r="AI945" s="40">
        <f t="shared" si="411"/>
        <v>0</v>
      </c>
      <c r="AJ945" s="40">
        <f t="shared" si="412"/>
        <v>0</v>
      </c>
      <c r="AK945" s="40">
        <f t="shared" si="413"/>
        <v>0</v>
      </c>
      <c r="AL945" s="40">
        <f t="shared" si="414"/>
        <v>1</v>
      </c>
      <c r="AM945" s="40">
        <f t="shared" si="415"/>
        <v>0</v>
      </c>
      <c r="AN945" s="40">
        <f t="shared" si="416"/>
        <v>0</v>
      </c>
      <c r="AO945" s="40">
        <f t="shared" si="417"/>
        <v>0</v>
      </c>
      <c r="AP945" s="40">
        <f t="shared" si="418"/>
        <v>0</v>
      </c>
      <c r="AQ945" s="40">
        <f t="shared" si="419"/>
        <v>0</v>
      </c>
      <c r="AR945" s="40">
        <f t="shared" si="420"/>
        <v>0</v>
      </c>
      <c r="AS945" s="40">
        <f t="shared" si="421"/>
        <v>0</v>
      </c>
    </row>
    <row r="946" spans="2:45" ht="14.4" customHeight="1" x14ac:dyDescent="0.25">
      <c r="B946" s="56" t="s">
        <v>45</v>
      </c>
      <c r="C946" s="57" t="s">
        <v>25</v>
      </c>
      <c r="D946" s="58" t="s">
        <v>24</v>
      </c>
      <c r="E946" s="62">
        <v>1.0359999999999996E-2</v>
      </c>
      <c r="F946" s="65">
        <f t="shared" si="422"/>
        <v>-4.5698030421508005</v>
      </c>
      <c r="S946" s="40">
        <f t="shared" si="395"/>
        <v>0</v>
      </c>
      <c r="T946" s="40">
        <f t="shared" si="396"/>
        <v>0</v>
      </c>
      <c r="U946" s="40">
        <f t="shared" si="397"/>
        <v>0</v>
      </c>
      <c r="V946" s="40">
        <f t="shared" si="398"/>
        <v>1</v>
      </c>
      <c r="W946" s="40">
        <f t="shared" si="399"/>
        <v>0</v>
      </c>
      <c r="X946" s="40">
        <f t="shared" si="400"/>
        <v>0</v>
      </c>
      <c r="Y946" s="40">
        <f t="shared" si="401"/>
        <v>0</v>
      </c>
      <c r="Z946" s="40">
        <f t="shared" si="402"/>
        <v>0</v>
      </c>
      <c r="AA946" s="40">
        <f t="shared" si="403"/>
        <v>0</v>
      </c>
      <c r="AB946" s="40">
        <f t="shared" si="404"/>
        <v>1</v>
      </c>
      <c r="AC946" s="40">
        <f t="shared" si="405"/>
        <v>0</v>
      </c>
      <c r="AD946" s="40">
        <f t="shared" si="406"/>
        <v>0</v>
      </c>
      <c r="AE946" s="40">
        <f t="shared" si="407"/>
        <v>0</v>
      </c>
      <c r="AF946" s="40">
        <f t="shared" si="408"/>
        <v>0</v>
      </c>
      <c r="AG946" s="40">
        <f t="shared" si="409"/>
        <v>0</v>
      </c>
      <c r="AH946" s="40">
        <f t="shared" si="410"/>
        <v>0</v>
      </c>
      <c r="AI946" s="40">
        <f t="shared" si="411"/>
        <v>0</v>
      </c>
      <c r="AJ946" s="40">
        <f t="shared" si="412"/>
        <v>0</v>
      </c>
      <c r="AK946" s="40">
        <f t="shared" si="413"/>
        <v>0</v>
      </c>
      <c r="AL946" s="40">
        <f t="shared" si="414"/>
        <v>1</v>
      </c>
      <c r="AM946" s="40">
        <f t="shared" si="415"/>
        <v>0</v>
      </c>
      <c r="AN946" s="40">
        <f t="shared" si="416"/>
        <v>0</v>
      </c>
      <c r="AO946" s="40">
        <f t="shared" si="417"/>
        <v>0</v>
      </c>
      <c r="AP946" s="40">
        <f t="shared" si="418"/>
        <v>0</v>
      </c>
      <c r="AQ946" s="40">
        <f t="shared" si="419"/>
        <v>0</v>
      </c>
      <c r="AR946" s="40">
        <f t="shared" si="420"/>
        <v>0</v>
      </c>
      <c r="AS946" s="40">
        <f t="shared" si="421"/>
        <v>0</v>
      </c>
    </row>
    <row r="947" spans="2:45" ht="14.4" customHeight="1" x14ac:dyDescent="0.25">
      <c r="B947" s="56" t="s">
        <v>45</v>
      </c>
      <c r="C947" s="57" t="s">
        <v>25</v>
      </c>
      <c r="D947" s="58" t="s">
        <v>24</v>
      </c>
      <c r="E947" s="62">
        <v>7.6100000000000004E-3</v>
      </c>
      <c r="F947" s="65">
        <f t="shared" si="422"/>
        <v>-4.8782921071085426</v>
      </c>
      <c r="S947" s="40">
        <f t="shared" si="395"/>
        <v>0</v>
      </c>
      <c r="T947" s="40">
        <f t="shared" si="396"/>
        <v>0</v>
      </c>
      <c r="U947" s="40">
        <f t="shared" si="397"/>
        <v>0</v>
      </c>
      <c r="V947" s="40">
        <f t="shared" si="398"/>
        <v>1</v>
      </c>
      <c r="W947" s="40">
        <f t="shared" si="399"/>
        <v>0</v>
      </c>
      <c r="X947" s="40">
        <f t="shared" si="400"/>
        <v>0</v>
      </c>
      <c r="Y947" s="40">
        <f t="shared" si="401"/>
        <v>0</v>
      </c>
      <c r="Z947" s="40">
        <f t="shared" si="402"/>
        <v>0</v>
      </c>
      <c r="AA947" s="40">
        <f t="shared" si="403"/>
        <v>0</v>
      </c>
      <c r="AB947" s="40">
        <f t="shared" si="404"/>
        <v>1</v>
      </c>
      <c r="AC947" s="40">
        <f t="shared" si="405"/>
        <v>0</v>
      </c>
      <c r="AD947" s="40">
        <f t="shared" si="406"/>
        <v>0</v>
      </c>
      <c r="AE947" s="40">
        <f t="shared" si="407"/>
        <v>0</v>
      </c>
      <c r="AF947" s="40">
        <f t="shared" si="408"/>
        <v>0</v>
      </c>
      <c r="AG947" s="40">
        <f t="shared" si="409"/>
        <v>0</v>
      </c>
      <c r="AH947" s="40">
        <f t="shared" si="410"/>
        <v>0</v>
      </c>
      <c r="AI947" s="40">
        <f t="shared" si="411"/>
        <v>0</v>
      </c>
      <c r="AJ947" s="40">
        <f t="shared" si="412"/>
        <v>0</v>
      </c>
      <c r="AK947" s="40">
        <f t="shared" si="413"/>
        <v>0</v>
      </c>
      <c r="AL947" s="40">
        <f t="shared" si="414"/>
        <v>0</v>
      </c>
      <c r="AM947" s="40">
        <f t="shared" si="415"/>
        <v>0</v>
      </c>
      <c r="AN947" s="40">
        <f t="shared" si="416"/>
        <v>0</v>
      </c>
      <c r="AO947" s="40">
        <f t="shared" si="417"/>
        <v>0</v>
      </c>
      <c r="AP947" s="40">
        <f t="shared" si="418"/>
        <v>0</v>
      </c>
      <c r="AQ947" s="40">
        <f t="shared" si="419"/>
        <v>0</v>
      </c>
      <c r="AR947" s="40">
        <f t="shared" si="420"/>
        <v>0</v>
      </c>
      <c r="AS947" s="40">
        <f t="shared" si="421"/>
        <v>1</v>
      </c>
    </row>
    <row r="948" spans="2:45" ht="14.4" customHeight="1" x14ac:dyDescent="0.25">
      <c r="B948" s="56" t="s">
        <v>45</v>
      </c>
      <c r="C948" s="57" t="s">
        <v>25</v>
      </c>
      <c r="D948" s="58" t="s">
        <v>22</v>
      </c>
      <c r="E948" s="62">
        <v>3.7000000000000015E-3</v>
      </c>
      <c r="F948" s="65">
        <f t="shared" si="422"/>
        <v>-5.5994224593319579</v>
      </c>
      <c r="S948" s="40">
        <f t="shared" si="395"/>
        <v>0</v>
      </c>
      <c r="T948" s="40">
        <f t="shared" si="396"/>
        <v>0</v>
      </c>
      <c r="U948" s="40">
        <f t="shared" si="397"/>
        <v>0</v>
      </c>
      <c r="V948" s="40">
        <f t="shared" si="398"/>
        <v>1</v>
      </c>
      <c r="W948" s="40">
        <f t="shared" si="399"/>
        <v>0</v>
      </c>
      <c r="X948" s="40">
        <f t="shared" si="400"/>
        <v>0</v>
      </c>
      <c r="Y948" s="40">
        <f t="shared" si="401"/>
        <v>0</v>
      </c>
      <c r="Z948" s="40">
        <f t="shared" si="402"/>
        <v>0</v>
      </c>
      <c r="AA948" s="40">
        <f t="shared" si="403"/>
        <v>0</v>
      </c>
      <c r="AB948" s="40">
        <f t="shared" si="404"/>
        <v>1</v>
      </c>
      <c r="AC948" s="40">
        <f t="shared" si="405"/>
        <v>0</v>
      </c>
      <c r="AD948" s="40">
        <f t="shared" si="406"/>
        <v>0</v>
      </c>
      <c r="AE948" s="40">
        <f t="shared" si="407"/>
        <v>0</v>
      </c>
      <c r="AF948" s="40">
        <f t="shared" si="408"/>
        <v>0</v>
      </c>
      <c r="AG948" s="40">
        <f t="shared" si="409"/>
        <v>0</v>
      </c>
      <c r="AH948" s="40">
        <f t="shared" si="410"/>
        <v>0</v>
      </c>
      <c r="AI948" s="40">
        <f t="shared" si="411"/>
        <v>0</v>
      </c>
      <c r="AJ948" s="40">
        <f t="shared" si="412"/>
        <v>0</v>
      </c>
      <c r="AK948" s="40">
        <f t="shared" si="413"/>
        <v>0</v>
      </c>
      <c r="AL948" s="40">
        <f t="shared" si="414"/>
        <v>0</v>
      </c>
      <c r="AM948" s="40">
        <f t="shared" si="415"/>
        <v>1</v>
      </c>
      <c r="AN948" s="40">
        <f t="shared" si="416"/>
        <v>0</v>
      </c>
      <c r="AO948" s="40">
        <f t="shared" si="417"/>
        <v>0</v>
      </c>
      <c r="AP948" s="40">
        <f t="shared" si="418"/>
        <v>0</v>
      </c>
      <c r="AQ948" s="40">
        <f t="shared" si="419"/>
        <v>0</v>
      </c>
      <c r="AR948" s="40">
        <f t="shared" si="420"/>
        <v>0</v>
      </c>
      <c r="AS948" s="40">
        <f t="shared" si="421"/>
        <v>0</v>
      </c>
    </row>
    <row r="949" spans="2:45" ht="14.4" customHeight="1" x14ac:dyDescent="0.25">
      <c r="B949" s="56" t="s">
        <v>45</v>
      </c>
      <c r="C949" s="57" t="s">
        <v>25</v>
      </c>
      <c r="D949" s="58" t="s">
        <v>35</v>
      </c>
      <c r="E949" s="62">
        <v>4.749999999999999E-3</v>
      </c>
      <c r="F949" s="65">
        <f t="shared" si="422"/>
        <v>-5.3496106609355873</v>
      </c>
      <c r="S949" s="40">
        <f t="shared" si="395"/>
        <v>0</v>
      </c>
      <c r="T949" s="40">
        <f t="shared" si="396"/>
        <v>0</v>
      </c>
      <c r="U949" s="40">
        <f t="shared" si="397"/>
        <v>0</v>
      </c>
      <c r="V949" s="40">
        <f t="shared" si="398"/>
        <v>1</v>
      </c>
      <c r="W949" s="40">
        <f t="shared" si="399"/>
        <v>0</v>
      </c>
      <c r="X949" s="40">
        <f t="shared" si="400"/>
        <v>0</v>
      </c>
      <c r="Y949" s="40">
        <f t="shared" si="401"/>
        <v>0</v>
      </c>
      <c r="Z949" s="40">
        <f t="shared" si="402"/>
        <v>0</v>
      </c>
      <c r="AA949" s="40">
        <f t="shared" si="403"/>
        <v>0</v>
      </c>
      <c r="AB949" s="40">
        <f t="shared" si="404"/>
        <v>1</v>
      </c>
      <c r="AC949" s="40">
        <f t="shared" si="405"/>
        <v>0</v>
      </c>
      <c r="AD949" s="40">
        <f t="shared" si="406"/>
        <v>0</v>
      </c>
      <c r="AE949" s="40">
        <f t="shared" si="407"/>
        <v>0</v>
      </c>
      <c r="AF949" s="40">
        <f t="shared" si="408"/>
        <v>0</v>
      </c>
      <c r="AG949" s="40">
        <f t="shared" si="409"/>
        <v>0</v>
      </c>
      <c r="AH949" s="40">
        <f t="shared" si="410"/>
        <v>0</v>
      </c>
      <c r="AI949" s="40">
        <f t="shared" si="411"/>
        <v>0</v>
      </c>
      <c r="AJ949" s="40">
        <f t="shared" si="412"/>
        <v>0</v>
      </c>
      <c r="AK949" s="40">
        <f t="shared" si="413"/>
        <v>1</v>
      </c>
      <c r="AL949" s="40">
        <f t="shared" si="414"/>
        <v>0</v>
      </c>
      <c r="AM949" s="40">
        <f t="shared" si="415"/>
        <v>0</v>
      </c>
      <c r="AN949" s="40">
        <f t="shared" si="416"/>
        <v>0</v>
      </c>
      <c r="AO949" s="40">
        <f t="shared" si="417"/>
        <v>0</v>
      </c>
      <c r="AP949" s="40">
        <f t="shared" si="418"/>
        <v>0</v>
      </c>
      <c r="AQ949" s="40">
        <f t="shared" si="419"/>
        <v>0</v>
      </c>
      <c r="AR949" s="40">
        <f t="shared" si="420"/>
        <v>0</v>
      </c>
      <c r="AS949" s="40">
        <f t="shared" si="421"/>
        <v>0</v>
      </c>
    </row>
    <row r="950" spans="2:45" ht="14.4" customHeight="1" x14ac:dyDescent="0.25">
      <c r="B950" s="56" t="s">
        <v>45</v>
      </c>
      <c r="C950" s="57" t="s">
        <v>25</v>
      </c>
      <c r="D950" s="58" t="s">
        <v>32</v>
      </c>
      <c r="E950" s="62">
        <v>5.3599999999999984E-3</v>
      </c>
      <c r="F950" s="65">
        <f t="shared" si="422"/>
        <v>-5.2287913038994267</v>
      </c>
      <c r="S950" s="40">
        <f t="shared" si="395"/>
        <v>0</v>
      </c>
      <c r="T950" s="40">
        <f t="shared" si="396"/>
        <v>0</v>
      </c>
      <c r="U950" s="40">
        <f t="shared" si="397"/>
        <v>0</v>
      </c>
      <c r="V950" s="40">
        <f t="shared" si="398"/>
        <v>1</v>
      </c>
      <c r="W950" s="40">
        <f t="shared" si="399"/>
        <v>0</v>
      </c>
      <c r="X950" s="40">
        <f t="shared" si="400"/>
        <v>0</v>
      </c>
      <c r="Y950" s="40">
        <f t="shared" si="401"/>
        <v>0</v>
      </c>
      <c r="Z950" s="40">
        <f t="shared" si="402"/>
        <v>0</v>
      </c>
      <c r="AA950" s="40">
        <f t="shared" si="403"/>
        <v>0</v>
      </c>
      <c r="AB950" s="40">
        <f t="shared" si="404"/>
        <v>1</v>
      </c>
      <c r="AC950" s="40">
        <f t="shared" si="405"/>
        <v>0</v>
      </c>
      <c r="AD950" s="40">
        <f t="shared" si="406"/>
        <v>0</v>
      </c>
      <c r="AE950" s="40">
        <f t="shared" si="407"/>
        <v>0</v>
      </c>
      <c r="AF950" s="40">
        <f t="shared" si="408"/>
        <v>0</v>
      </c>
      <c r="AG950" s="40">
        <f t="shared" si="409"/>
        <v>0</v>
      </c>
      <c r="AH950" s="40">
        <f t="shared" si="410"/>
        <v>0</v>
      </c>
      <c r="AI950" s="40">
        <f t="shared" si="411"/>
        <v>0</v>
      </c>
      <c r="AJ950" s="40">
        <f t="shared" si="412"/>
        <v>0</v>
      </c>
      <c r="AK950" s="40">
        <f t="shared" si="413"/>
        <v>0</v>
      </c>
      <c r="AL950" s="40">
        <f t="shared" si="414"/>
        <v>0</v>
      </c>
      <c r="AM950" s="40">
        <f t="shared" si="415"/>
        <v>0</v>
      </c>
      <c r="AN950" s="40">
        <f t="shared" si="416"/>
        <v>0</v>
      </c>
      <c r="AO950" s="40">
        <f t="shared" si="417"/>
        <v>1</v>
      </c>
      <c r="AP950" s="40">
        <f t="shared" si="418"/>
        <v>0</v>
      </c>
      <c r="AQ950" s="40">
        <f t="shared" si="419"/>
        <v>0</v>
      </c>
      <c r="AR950" s="40">
        <f t="shared" si="420"/>
        <v>0</v>
      </c>
      <c r="AS950" s="40">
        <f t="shared" si="421"/>
        <v>0</v>
      </c>
    </row>
    <row r="951" spans="2:45" ht="14.4" customHeight="1" x14ac:dyDescent="0.25">
      <c r="B951" s="56" t="s">
        <v>45</v>
      </c>
      <c r="C951" s="57" t="s">
        <v>25</v>
      </c>
      <c r="D951" s="58" t="s">
        <v>31</v>
      </c>
      <c r="E951" s="62">
        <v>3.3299999999999996E-3</v>
      </c>
      <c r="F951" s="65">
        <f t="shared" si="422"/>
        <v>-5.7047829749897847</v>
      </c>
      <c r="S951" s="40">
        <f t="shared" si="395"/>
        <v>0</v>
      </c>
      <c r="T951" s="40">
        <f t="shared" si="396"/>
        <v>0</v>
      </c>
      <c r="U951" s="40">
        <f t="shared" si="397"/>
        <v>0</v>
      </c>
      <c r="V951" s="40">
        <f t="shared" si="398"/>
        <v>1</v>
      </c>
      <c r="W951" s="40">
        <f t="shared" si="399"/>
        <v>0</v>
      </c>
      <c r="X951" s="40">
        <f t="shared" si="400"/>
        <v>0</v>
      </c>
      <c r="Y951" s="40">
        <f t="shared" si="401"/>
        <v>0</v>
      </c>
      <c r="Z951" s="40">
        <f t="shared" si="402"/>
        <v>0</v>
      </c>
      <c r="AA951" s="40">
        <f t="shared" si="403"/>
        <v>0</v>
      </c>
      <c r="AB951" s="40">
        <f t="shared" si="404"/>
        <v>1</v>
      </c>
      <c r="AC951" s="40">
        <f t="shared" si="405"/>
        <v>0</v>
      </c>
      <c r="AD951" s="40">
        <f t="shared" si="406"/>
        <v>0</v>
      </c>
      <c r="AE951" s="40">
        <f t="shared" si="407"/>
        <v>0</v>
      </c>
      <c r="AF951" s="40">
        <f t="shared" si="408"/>
        <v>0</v>
      </c>
      <c r="AG951" s="40">
        <f t="shared" si="409"/>
        <v>0</v>
      </c>
      <c r="AH951" s="40">
        <f t="shared" si="410"/>
        <v>0</v>
      </c>
      <c r="AI951" s="40">
        <f t="shared" si="411"/>
        <v>0</v>
      </c>
      <c r="AJ951" s="40">
        <f t="shared" si="412"/>
        <v>1</v>
      </c>
      <c r="AK951" s="40">
        <f t="shared" si="413"/>
        <v>0</v>
      </c>
      <c r="AL951" s="40">
        <f t="shared" si="414"/>
        <v>0</v>
      </c>
      <c r="AM951" s="40">
        <f t="shared" si="415"/>
        <v>0</v>
      </c>
      <c r="AN951" s="40">
        <f t="shared" si="416"/>
        <v>0</v>
      </c>
      <c r="AO951" s="40">
        <f t="shared" si="417"/>
        <v>0</v>
      </c>
      <c r="AP951" s="40">
        <f t="shared" si="418"/>
        <v>0</v>
      </c>
      <c r="AQ951" s="40">
        <f t="shared" si="419"/>
        <v>0</v>
      </c>
      <c r="AR951" s="40">
        <f t="shared" si="420"/>
        <v>0</v>
      </c>
      <c r="AS951" s="40">
        <f t="shared" si="421"/>
        <v>0</v>
      </c>
    </row>
    <row r="952" spans="2:45" ht="14.4" customHeight="1" x14ac:dyDescent="0.25">
      <c r="B952" s="56" t="s">
        <v>45</v>
      </c>
      <c r="C952" s="57" t="s">
        <v>25</v>
      </c>
      <c r="D952" s="58" t="s">
        <v>37</v>
      </c>
      <c r="E952" s="62">
        <v>6.3100000000000014E-3</v>
      </c>
      <c r="F952" s="65">
        <f t="shared" si="422"/>
        <v>-5.065619602429015</v>
      </c>
      <c r="S952" s="40">
        <f t="shared" si="395"/>
        <v>0</v>
      </c>
      <c r="T952" s="40">
        <f t="shared" si="396"/>
        <v>0</v>
      </c>
      <c r="U952" s="40">
        <f t="shared" si="397"/>
        <v>0</v>
      </c>
      <c r="V952" s="40">
        <f t="shared" si="398"/>
        <v>1</v>
      </c>
      <c r="W952" s="40">
        <f t="shared" si="399"/>
        <v>0</v>
      </c>
      <c r="X952" s="40">
        <f t="shared" si="400"/>
        <v>0</v>
      </c>
      <c r="Y952" s="40">
        <f t="shared" si="401"/>
        <v>0</v>
      </c>
      <c r="Z952" s="40">
        <f t="shared" si="402"/>
        <v>0</v>
      </c>
      <c r="AA952" s="40">
        <f t="shared" si="403"/>
        <v>0</v>
      </c>
      <c r="AB952" s="40">
        <f t="shared" si="404"/>
        <v>1</v>
      </c>
      <c r="AC952" s="40">
        <f t="shared" si="405"/>
        <v>0</v>
      </c>
      <c r="AD952" s="40">
        <f t="shared" si="406"/>
        <v>0</v>
      </c>
      <c r="AE952" s="40">
        <f t="shared" si="407"/>
        <v>0</v>
      </c>
      <c r="AF952" s="40">
        <f t="shared" si="408"/>
        <v>0</v>
      </c>
      <c r="AG952" s="40">
        <f t="shared" si="409"/>
        <v>0</v>
      </c>
      <c r="AH952" s="40">
        <f t="shared" si="410"/>
        <v>0</v>
      </c>
      <c r="AI952" s="40">
        <f t="shared" si="411"/>
        <v>0</v>
      </c>
      <c r="AJ952" s="40">
        <f t="shared" si="412"/>
        <v>0</v>
      </c>
      <c r="AK952" s="40">
        <f t="shared" si="413"/>
        <v>0</v>
      </c>
      <c r="AL952" s="40">
        <f t="shared" si="414"/>
        <v>0</v>
      </c>
      <c r="AM952" s="40">
        <f t="shared" si="415"/>
        <v>0</v>
      </c>
      <c r="AN952" s="40">
        <f t="shared" si="416"/>
        <v>0</v>
      </c>
      <c r="AO952" s="40">
        <f t="shared" si="417"/>
        <v>1</v>
      </c>
      <c r="AP952" s="40">
        <f t="shared" si="418"/>
        <v>0</v>
      </c>
      <c r="AQ952" s="40">
        <f t="shared" si="419"/>
        <v>0</v>
      </c>
      <c r="AR952" s="40">
        <f t="shared" si="420"/>
        <v>0</v>
      </c>
      <c r="AS952" s="40">
        <f t="shared" si="421"/>
        <v>0</v>
      </c>
    </row>
    <row r="953" spans="2:45" ht="14.4" customHeight="1" x14ac:dyDescent="0.25">
      <c r="B953" s="56" t="s">
        <v>45</v>
      </c>
      <c r="C953" s="57" t="s">
        <v>25</v>
      </c>
      <c r="D953" s="58" t="s">
        <v>31</v>
      </c>
      <c r="E953" s="62">
        <v>5.0500000000000007E-3</v>
      </c>
      <c r="F953" s="65">
        <f t="shared" si="422"/>
        <v>-5.2883670356948684</v>
      </c>
      <c r="S953" s="40">
        <f t="shared" si="395"/>
        <v>0</v>
      </c>
      <c r="T953" s="40">
        <f t="shared" si="396"/>
        <v>0</v>
      </c>
      <c r="U953" s="40">
        <f t="shared" si="397"/>
        <v>0</v>
      </c>
      <c r="V953" s="40">
        <f t="shared" si="398"/>
        <v>1</v>
      </c>
      <c r="W953" s="40">
        <f t="shared" si="399"/>
        <v>0</v>
      </c>
      <c r="X953" s="40">
        <f t="shared" si="400"/>
        <v>0</v>
      </c>
      <c r="Y953" s="40">
        <f t="shared" si="401"/>
        <v>0</v>
      </c>
      <c r="Z953" s="40">
        <f t="shared" si="402"/>
        <v>0</v>
      </c>
      <c r="AA953" s="40">
        <f t="shared" si="403"/>
        <v>0</v>
      </c>
      <c r="AB953" s="40">
        <f t="shared" si="404"/>
        <v>1</v>
      </c>
      <c r="AC953" s="40">
        <f t="shared" si="405"/>
        <v>0</v>
      </c>
      <c r="AD953" s="40">
        <f t="shared" si="406"/>
        <v>0</v>
      </c>
      <c r="AE953" s="40">
        <f t="shared" si="407"/>
        <v>0</v>
      </c>
      <c r="AF953" s="40">
        <f t="shared" si="408"/>
        <v>0</v>
      </c>
      <c r="AG953" s="40">
        <f t="shared" si="409"/>
        <v>0</v>
      </c>
      <c r="AH953" s="40">
        <f t="shared" si="410"/>
        <v>0</v>
      </c>
      <c r="AI953" s="40">
        <f t="shared" si="411"/>
        <v>0</v>
      </c>
      <c r="AJ953" s="40">
        <f t="shared" si="412"/>
        <v>0</v>
      </c>
      <c r="AK953" s="40">
        <f t="shared" si="413"/>
        <v>0</v>
      </c>
      <c r="AL953" s="40">
        <f t="shared" si="414"/>
        <v>1</v>
      </c>
      <c r="AM953" s="40">
        <f t="shared" si="415"/>
        <v>0</v>
      </c>
      <c r="AN953" s="40">
        <f t="shared" si="416"/>
        <v>0</v>
      </c>
      <c r="AO953" s="40">
        <f t="shared" si="417"/>
        <v>0</v>
      </c>
      <c r="AP953" s="40">
        <f t="shared" si="418"/>
        <v>0</v>
      </c>
      <c r="AQ953" s="40">
        <f t="shared" si="419"/>
        <v>0</v>
      </c>
      <c r="AR953" s="40">
        <f t="shared" si="420"/>
        <v>0</v>
      </c>
      <c r="AS953" s="40">
        <f t="shared" si="421"/>
        <v>0</v>
      </c>
    </row>
    <row r="954" spans="2:45" ht="14.4" customHeight="1" x14ac:dyDescent="0.25">
      <c r="B954" s="56" t="s">
        <v>45</v>
      </c>
      <c r="C954" s="57" t="s">
        <v>25</v>
      </c>
      <c r="D954" s="58" t="s">
        <v>24</v>
      </c>
      <c r="E954" s="62">
        <v>1.299E-2</v>
      </c>
      <c r="F954" s="65">
        <f t="shared" si="422"/>
        <v>-4.3435754482996289</v>
      </c>
      <c r="S954" s="40">
        <f t="shared" si="395"/>
        <v>0</v>
      </c>
      <c r="T954" s="40">
        <f t="shared" si="396"/>
        <v>0</v>
      </c>
      <c r="U954" s="40">
        <f t="shared" si="397"/>
        <v>0</v>
      </c>
      <c r="V954" s="40">
        <f t="shared" si="398"/>
        <v>1</v>
      </c>
      <c r="W954" s="40">
        <f t="shared" si="399"/>
        <v>0</v>
      </c>
      <c r="X954" s="40">
        <f t="shared" si="400"/>
        <v>0</v>
      </c>
      <c r="Y954" s="40">
        <f t="shared" si="401"/>
        <v>0</v>
      </c>
      <c r="Z954" s="40">
        <f t="shared" si="402"/>
        <v>0</v>
      </c>
      <c r="AA954" s="40">
        <f t="shared" si="403"/>
        <v>0</v>
      </c>
      <c r="AB954" s="40">
        <f t="shared" si="404"/>
        <v>1</v>
      </c>
      <c r="AC954" s="40">
        <f t="shared" si="405"/>
        <v>0</v>
      </c>
      <c r="AD954" s="40">
        <f t="shared" si="406"/>
        <v>0</v>
      </c>
      <c r="AE954" s="40">
        <f t="shared" si="407"/>
        <v>0</v>
      </c>
      <c r="AF954" s="40">
        <f t="shared" si="408"/>
        <v>0</v>
      </c>
      <c r="AG954" s="40">
        <f t="shared" si="409"/>
        <v>0</v>
      </c>
      <c r="AH954" s="40">
        <f t="shared" si="410"/>
        <v>0</v>
      </c>
      <c r="AI954" s="40">
        <f t="shared" si="411"/>
        <v>0</v>
      </c>
      <c r="AJ954" s="40">
        <f t="shared" si="412"/>
        <v>0</v>
      </c>
      <c r="AK954" s="40">
        <f t="shared" si="413"/>
        <v>0</v>
      </c>
      <c r="AL954" s="40">
        <f t="shared" si="414"/>
        <v>0</v>
      </c>
      <c r="AM954" s="40">
        <f t="shared" si="415"/>
        <v>0</v>
      </c>
      <c r="AN954" s="40">
        <f t="shared" si="416"/>
        <v>0</v>
      </c>
      <c r="AO954" s="40">
        <f t="shared" si="417"/>
        <v>0</v>
      </c>
      <c r="AP954" s="40">
        <f t="shared" si="418"/>
        <v>0</v>
      </c>
      <c r="AQ954" s="40">
        <f t="shared" si="419"/>
        <v>0</v>
      </c>
      <c r="AR954" s="40">
        <f t="shared" si="420"/>
        <v>1</v>
      </c>
      <c r="AS954" s="40">
        <f t="shared" si="421"/>
        <v>0</v>
      </c>
    </row>
    <row r="955" spans="2:45" ht="14.4" customHeight="1" x14ac:dyDescent="0.25">
      <c r="B955" s="56" t="s">
        <v>45</v>
      </c>
      <c r="C955" s="57" t="s">
        <v>25</v>
      </c>
      <c r="D955" s="58" t="s">
        <v>33</v>
      </c>
      <c r="E955" s="62">
        <v>3.4200000000000012E-3</v>
      </c>
      <c r="F955" s="65">
        <f t="shared" si="422"/>
        <v>-5.6781147279076229</v>
      </c>
      <c r="S955" s="40">
        <f t="shared" si="395"/>
        <v>0</v>
      </c>
      <c r="T955" s="40">
        <f t="shared" si="396"/>
        <v>0</v>
      </c>
      <c r="U955" s="40">
        <f t="shared" si="397"/>
        <v>0</v>
      </c>
      <c r="V955" s="40">
        <f t="shared" si="398"/>
        <v>1</v>
      </c>
      <c r="W955" s="40">
        <f t="shared" si="399"/>
        <v>0</v>
      </c>
      <c r="X955" s="40">
        <f t="shared" si="400"/>
        <v>0</v>
      </c>
      <c r="Y955" s="40">
        <f t="shared" si="401"/>
        <v>0</v>
      </c>
      <c r="Z955" s="40">
        <f t="shared" si="402"/>
        <v>0</v>
      </c>
      <c r="AA955" s="40">
        <f t="shared" si="403"/>
        <v>0</v>
      </c>
      <c r="AB955" s="40">
        <f t="shared" si="404"/>
        <v>1</v>
      </c>
      <c r="AC955" s="40">
        <f t="shared" si="405"/>
        <v>0</v>
      </c>
      <c r="AD955" s="40">
        <f t="shared" si="406"/>
        <v>0</v>
      </c>
      <c r="AE955" s="40">
        <f t="shared" si="407"/>
        <v>0</v>
      </c>
      <c r="AF955" s="40">
        <f t="shared" si="408"/>
        <v>0</v>
      </c>
      <c r="AG955" s="40">
        <f t="shared" si="409"/>
        <v>0</v>
      </c>
      <c r="AH955" s="40">
        <f t="shared" si="410"/>
        <v>0</v>
      </c>
      <c r="AI955" s="40">
        <f t="shared" si="411"/>
        <v>0</v>
      </c>
      <c r="AJ955" s="40">
        <f t="shared" si="412"/>
        <v>1</v>
      </c>
      <c r="AK955" s="40">
        <f t="shared" si="413"/>
        <v>0</v>
      </c>
      <c r="AL955" s="40">
        <f t="shared" si="414"/>
        <v>0</v>
      </c>
      <c r="AM955" s="40">
        <f t="shared" si="415"/>
        <v>0</v>
      </c>
      <c r="AN955" s="40">
        <f t="shared" si="416"/>
        <v>0</v>
      </c>
      <c r="AO955" s="40">
        <f t="shared" si="417"/>
        <v>0</v>
      </c>
      <c r="AP955" s="40">
        <f t="shared" si="418"/>
        <v>0</v>
      </c>
      <c r="AQ955" s="40">
        <f t="shared" si="419"/>
        <v>0</v>
      </c>
      <c r="AR955" s="40">
        <f t="shared" si="420"/>
        <v>0</v>
      </c>
      <c r="AS955" s="40">
        <f t="shared" si="421"/>
        <v>0</v>
      </c>
    </row>
    <row r="956" spans="2:45" ht="14.4" customHeight="1" x14ac:dyDescent="0.25">
      <c r="B956" s="56" t="s">
        <v>45</v>
      </c>
      <c r="C956" s="57" t="s">
        <v>25</v>
      </c>
      <c r="D956" s="58" t="s">
        <v>37</v>
      </c>
      <c r="E956" s="62">
        <v>6.3999999999999977E-3</v>
      </c>
      <c r="F956" s="65">
        <f t="shared" si="422"/>
        <v>-5.0514572886165112</v>
      </c>
      <c r="S956" s="40">
        <f t="shared" si="395"/>
        <v>0</v>
      </c>
      <c r="T956" s="40">
        <f t="shared" si="396"/>
        <v>0</v>
      </c>
      <c r="U956" s="40">
        <f t="shared" si="397"/>
        <v>0</v>
      </c>
      <c r="V956" s="40">
        <f t="shared" si="398"/>
        <v>1</v>
      </c>
      <c r="W956" s="40">
        <f t="shared" si="399"/>
        <v>0</v>
      </c>
      <c r="X956" s="40">
        <f t="shared" si="400"/>
        <v>0</v>
      </c>
      <c r="Y956" s="40">
        <f t="shared" si="401"/>
        <v>0</v>
      </c>
      <c r="Z956" s="40">
        <f t="shared" si="402"/>
        <v>0</v>
      </c>
      <c r="AA956" s="40">
        <f t="shared" si="403"/>
        <v>0</v>
      </c>
      <c r="AB956" s="40">
        <f t="shared" si="404"/>
        <v>1</v>
      </c>
      <c r="AC956" s="40">
        <f t="shared" si="405"/>
        <v>0</v>
      </c>
      <c r="AD956" s="40">
        <f t="shared" si="406"/>
        <v>0</v>
      </c>
      <c r="AE956" s="40">
        <f t="shared" si="407"/>
        <v>0</v>
      </c>
      <c r="AF956" s="40">
        <f t="shared" si="408"/>
        <v>0</v>
      </c>
      <c r="AG956" s="40">
        <f t="shared" si="409"/>
        <v>0</v>
      </c>
      <c r="AH956" s="40">
        <f t="shared" si="410"/>
        <v>0</v>
      </c>
      <c r="AI956" s="40">
        <f t="shared" si="411"/>
        <v>0</v>
      </c>
      <c r="AJ956" s="40">
        <f t="shared" si="412"/>
        <v>0</v>
      </c>
      <c r="AK956" s="40">
        <f t="shared" si="413"/>
        <v>0</v>
      </c>
      <c r="AL956" s="40">
        <f t="shared" si="414"/>
        <v>1</v>
      </c>
      <c r="AM956" s="40">
        <f t="shared" si="415"/>
        <v>0</v>
      </c>
      <c r="AN956" s="40">
        <f t="shared" si="416"/>
        <v>0</v>
      </c>
      <c r="AO956" s="40">
        <f t="shared" si="417"/>
        <v>0</v>
      </c>
      <c r="AP956" s="40">
        <f t="shared" si="418"/>
        <v>0</v>
      </c>
      <c r="AQ956" s="40">
        <f t="shared" si="419"/>
        <v>0</v>
      </c>
      <c r="AR956" s="40">
        <f t="shared" si="420"/>
        <v>0</v>
      </c>
      <c r="AS956" s="40">
        <f t="shared" si="421"/>
        <v>0</v>
      </c>
    </row>
    <row r="957" spans="2:45" ht="14.4" customHeight="1" x14ac:dyDescent="0.25">
      <c r="B957" s="56" t="s">
        <v>45</v>
      </c>
      <c r="C957" s="57" t="s">
        <v>25</v>
      </c>
      <c r="D957" s="58" t="s">
        <v>24</v>
      </c>
      <c r="E957" s="62">
        <v>9.9300000000000013E-3</v>
      </c>
      <c r="F957" s="65">
        <f t="shared" si="422"/>
        <v>-4.6121948009250557</v>
      </c>
      <c r="S957" s="40">
        <f t="shared" si="395"/>
        <v>0</v>
      </c>
      <c r="T957" s="40">
        <f t="shared" si="396"/>
        <v>0</v>
      </c>
      <c r="U957" s="40">
        <f t="shared" si="397"/>
        <v>0</v>
      </c>
      <c r="V957" s="40">
        <f t="shared" si="398"/>
        <v>1</v>
      </c>
      <c r="W957" s="40">
        <f t="shared" si="399"/>
        <v>0</v>
      </c>
      <c r="X957" s="40">
        <f t="shared" si="400"/>
        <v>0</v>
      </c>
      <c r="Y957" s="40">
        <f t="shared" si="401"/>
        <v>0</v>
      </c>
      <c r="Z957" s="40">
        <f t="shared" si="402"/>
        <v>0</v>
      </c>
      <c r="AA957" s="40">
        <f t="shared" si="403"/>
        <v>0</v>
      </c>
      <c r="AB957" s="40">
        <f t="shared" si="404"/>
        <v>1</v>
      </c>
      <c r="AC957" s="40">
        <f t="shared" si="405"/>
        <v>0</v>
      </c>
      <c r="AD957" s="40">
        <f t="shared" si="406"/>
        <v>0</v>
      </c>
      <c r="AE957" s="40">
        <f t="shared" si="407"/>
        <v>0</v>
      </c>
      <c r="AF957" s="40">
        <f t="shared" si="408"/>
        <v>0</v>
      </c>
      <c r="AG957" s="40">
        <f t="shared" si="409"/>
        <v>0</v>
      </c>
      <c r="AH957" s="40">
        <f t="shared" si="410"/>
        <v>0</v>
      </c>
      <c r="AI957" s="40">
        <f t="shared" si="411"/>
        <v>0</v>
      </c>
      <c r="AJ957" s="40">
        <f t="shared" si="412"/>
        <v>1</v>
      </c>
      <c r="AK957" s="40">
        <f t="shared" si="413"/>
        <v>0</v>
      </c>
      <c r="AL957" s="40">
        <f t="shared" si="414"/>
        <v>0</v>
      </c>
      <c r="AM957" s="40">
        <f t="shared" si="415"/>
        <v>0</v>
      </c>
      <c r="AN957" s="40">
        <f t="shared" si="416"/>
        <v>0</v>
      </c>
      <c r="AO957" s="40">
        <f t="shared" si="417"/>
        <v>0</v>
      </c>
      <c r="AP957" s="40">
        <f t="shared" si="418"/>
        <v>0</v>
      </c>
      <c r="AQ957" s="40">
        <f t="shared" si="419"/>
        <v>0</v>
      </c>
      <c r="AR957" s="40">
        <f t="shared" si="420"/>
        <v>0</v>
      </c>
      <c r="AS957" s="40">
        <f t="shared" si="421"/>
        <v>0</v>
      </c>
    </row>
    <row r="958" spans="2:45" ht="14.4" customHeight="1" x14ac:dyDescent="0.25">
      <c r="B958" s="56" t="s">
        <v>45</v>
      </c>
      <c r="C958" s="57" t="s">
        <v>25</v>
      </c>
      <c r="D958" s="58" t="s">
        <v>37</v>
      </c>
      <c r="E958" s="62">
        <v>6.5700000000000021E-3</v>
      </c>
      <c r="F958" s="65">
        <f t="shared" si="422"/>
        <v>-5.0252414464856177</v>
      </c>
      <c r="S958" s="40">
        <f t="shared" si="395"/>
        <v>0</v>
      </c>
      <c r="T958" s="40">
        <f t="shared" si="396"/>
        <v>0</v>
      </c>
      <c r="U958" s="40">
        <f t="shared" si="397"/>
        <v>0</v>
      </c>
      <c r="V958" s="40">
        <f t="shared" si="398"/>
        <v>1</v>
      </c>
      <c r="W958" s="40">
        <f t="shared" si="399"/>
        <v>0</v>
      </c>
      <c r="X958" s="40">
        <f t="shared" si="400"/>
        <v>0</v>
      </c>
      <c r="Y958" s="40">
        <f t="shared" si="401"/>
        <v>0</v>
      </c>
      <c r="Z958" s="40">
        <f t="shared" si="402"/>
        <v>0</v>
      </c>
      <c r="AA958" s="40">
        <f t="shared" si="403"/>
        <v>0</v>
      </c>
      <c r="AB958" s="40">
        <f t="shared" si="404"/>
        <v>1</v>
      </c>
      <c r="AC958" s="40">
        <f t="shared" si="405"/>
        <v>0</v>
      </c>
      <c r="AD958" s="40">
        <f t="shared" si="406"/>
        <v>0</v>
      </c>
      <c r="AE958" s="40">
        <f t="shared" si="407"/>
        <v>0</v>
      </c>
      <c r="AF958" s="40">
        <f t="shared" si="408"/>
        <v>0</v>
      </c>
      <c r="AG958" s="40">
        <f t="shared" si="409"/>
        <v>0</v>
      </c>
      <c r="AH958" s="40">
        <f t="shared" si="410"/>
        <v>0</v>
      </c>
      <c r="AI958" s="40">
        <f t="shared" si="411"/>
        <v>0</v>
      </c>
      <c r="AJ958" s="40">
        <f t="shared" si="412"/>
        <v>0</v>
      </c>
      <c r="AK958" s="40">
        <f t="shared" si="413"/>
        <v>0</v>
      </c>
      <c r="AL958" s="40">
        <f t="shared" si="414"/>
        <v>0</v>
      </c>
      <c r="AM958" s="40">
        <f t="shared" si="415"/>
        <v>0</v>
      </c>
      <c r="AN958" s="40">
        <f t="shared" si="416"/>
        <v>0</v>
      </c>
      <c r="AO958" s="40">
        <f t="shared" si="417"/>
        <v>1</v>
      </c>
      <c r="AP958" s="40">
        <f t="shared" si="418"/>
        <v>0</v>
      </c>
      <c r="AQ958" s="40">
        <f t="shared" si="419"/>
        <v>0</v>
      </c>
      <c r="AR958" s="40">
        <f t="shared" si="420"/>
        <v>0</v>
      </c>
      <c r="AS958" s="40">
        <f t="shared" si="421"/>
        <v>0</v>
      </c>
    </row>
    <row r="959" spans="2:45" ht="14.4" customHeight="1" x14ac:dyDescent="0.25">
      <c r="B959" s="56" t="s">
        <v>45</v>
      </c>
      <c r="C959" s="57" t="s">
        <v>25</v>
      </c>
      <c r="D959" s="58" t="s">
        <v>31</v>
      </c>
      <c r="E959" s="62">
        <v>2.8999999999999989E-3</v>
      </c>
      <c r="F959" s="65">
        <f t="shared" si="422"/>
        <v>-5.843044541989709</v>
      </c>
      <c r="S959" s="40">
        <f t="shared" si="395"/>
        <v>0</v>
      </c>
      <c r="T959" s="40">
        <f t="shared" si="396"/>
        <v>0</v>
      </c>
      <c r="U959" s="40">
        <f t="shared" si="397"/>
        <v>0</v>
      </c>
      <c r="V959" s="40">
        <f t="shared" si="398"/>
        <v>1</v>
      </c>
      <c r="W959" s="40">
        <f t="shared" si="399"/>
        <v>0</v>
      </c>
      <c r="X959" s="40">
        <f t="shared" si="400"/>
        <v>0</v>
      </c>
      <c r="Y959" s="40">
        <f t="shared" si="401"/>
        <v>0</v>
      </c>
      <c r="Z959" s="40">
        <f t="shared" si="402"/>
        <v>0</v>
      </c>
      <c r="AA959" s="40">
        <f t="shared" si="403"/>
        <v>0</v>
      </c>
      <c r="AB959" s="40">
        <f t="shared" si="404"/>
        <v>1</v>
      </c>
      <c r="AC959" s="40">
        <f t="shared" si="405"/>
        <v>0</v>
      </c>
      <c r="AD959" s="40">
        <f t="shared" si="406"/>
        <v>0</v>
      </c>
      <c r="AE959" s="40">
        <f t="shared" si="407"/>
        <v>0</v>
      </c>
      <c r="AF959" s="40">
        <f t="shared" si="408"/>
        <v>0</v>
      </c>
      <c r="AG959" s="40">
        <f t="shared" si="409"/>
        <v>0</v>
      </c>
      <c r="AH959" s="40">
        <f t="shared" si="410"/>
        <v>0</v>
      </c>
      <c r="AI959" s="40">
        <f t="shared" si="411"/>
        <v>0</v>
      </c>
      <c r="AJ959" s="40">
        <f t="shared" si="412"/>
        <v>0</v>
      </c>
      <c r="AK959" s="40">
        <f t="shared" si="413"/>
        <v>0</v>
      </c>
      <c r="AL959" s="40">
        <f t="shared" si="414"/>
        <v>0</v>
      </c>
      <c r="AM959" s="40">
        <f t="shared" si="415"/>
        <v>0</v>
      </c>
      <c r="AN959" s="40">
        <f t="shared" si="416"/>
        <v>0</v>
      </c>
      <c r="AO959" s="40">
        <f t="shared" si="417"/>
        <v>0</v>
      </c>
      <c r="AP959" s="40">
        <f t="shared" si="418"/>
        <v>0</v>
      </c>
      <c r="AQ959" s="40">
        <f t="shared" si="419"/>
        <v>0</v>
      </c>
      <c r="AR959" s="40">
        <f t="shared" si="420"/>
        <v>1</v>
      </c>
      <c r="AS959" s="40">
        <f t="shared" si="421"/>
        <v>0</v>
      </c>
    </row>
    <row r="960" spans="2:45" ht="14.4" customHeight="1" x14ac:dyDescent="0.25">
      <c r="B960" s="56" t="s">
        <v>45</v>
      </c>
      <c r="C960" s="57" t="s">
        <v>25</v>
      </c>
      <c r="D960" s="58" t="s">
        <v>33</v>
      </c>
      <c r="E960" s="62">
        <v>3.850000000000001E-3</v>
      </c>
      <c r="F960" s="65">
        <f t="shared" si="422"/>
        <v>-5.559682130682444</v>
      </c>
      <c r="S960" s="40">
        <f t="shared" si="395"/>
        <v>0</v>
      </c>
      <c r="T960" s="40">
        <f t="shared" si="396"/>
        <v>0</v>
      </c>
      <c r="U960" s="40">
        <f t="shared" si="397"/>
        <v>0</v>
      </c>
      <c r="V960" s="40">
        <f t="shared" si="398"/>
        <v>1</v>
      </c>
      <c r="W960" s="40">
        <f t="shared" si="399"/>
        <v>0</v>
      </c>
      <c r="X960" s="40">
        <f t="shared" si="400"/>
        <v>0</v>
      </c>
      <c r="Y960" s="40">
        <f t="shared" si="401"/>
        <v>0</v>
      </c>
      <c r="Z960" s="40">
        <f t="shared" si="402"/>
        <v>0</v>
      </c>
      <c r="AA960" s="40">
        <f t="shared" si="403"/>
        <v>0</v>
      </c>
      <c r="AB960" s="40">
        <f t="shared" si="404"/>
        <v>1</v>
      </c>
      <c r="AC960" s="40">
        <f t="shared" si="405"/>
        <v>0</v>
      </c>
      <c r="AD960" s="40">
        <f t="shared" si="406"/>
        <v>0</v>
      </c>
      <c r="AE960" s="40">
        <f t="shared" si="407"/>
        <v>0</v>
      </c>
      <c r="AF960" s="40">
        <f t="shared" si="408"/>
        <v>0</v>
      </c>
      <c r="AG960" s="40">
        <f t="shared" si="409"/>
        <v>0</v>
      </c>
      <c r="AH960" s="40">
        <f t="shared" si="410"/>
        <v>0</v>
      </c>
      <c r="AI960" s="40">
        <f t="shared" si="411"/>
        <v>0</v>
      </c>
      <c r="AJ960" s="40">
        <f t="shared" si="412"/>
        <v>0</v>
      </c>
      <c r="AK960" s="40">
        <f t="shared" si="413"/>
        <v>0</v>
      </c>
      <c r="AL960" s="40">
        <f t="shared" si="414"/>
        <v>1</v>
      </c>
      <c r="AM960" s="40">
        <f t="shared" si="415"/>
        <v>0</v>
      </c>
      <c r="AN960" s="40">
        <f t="shared" si="416"/>
        <v>0</v>
      </c>
      <c r="AO960" s="40">
        <f t="shared" si="417"/>
        <v>0</v>
      </c>
      <c r="AP960" s="40">
        <f t="shared" si="418"/>
        <v>0</v>
      </c>
      <c r="AQ960" s="40">
        <f t="shared" si="419"/>
        <v>0</v>
      </c>
      <c r="AR960" s="40">
        <f t="shared" si="420"/>
        <v>0</v>
      </c>
      <c r="AS960" s="40">
        <f t="shared" si="421"/>
        <v>0</v>
      </c>
    </row>
    <row r="961" spans="2:45" ht="14.4" customHeight="1" x14ac:dyDescent="0.25">
      <c r="B961" s="56" t="s">
        <v>45</v>
      </c>
      <c r="C961" s="57" t="s">
        <v>25</v>
      </c>
      <c r="D961" s="58" t="s">
        <v>24</v>
      </c>
      <c r="E961" s="62">
        <v>6.8200000000000005E-3</v>
      </c>
      <c r="F961" s="65">
        <f t="shared" si="422"/>
        <v>-4.9878958071267663</v>
      </c>
      <c r="S961" s="40">
        <f t="shared" si="395"/>
        <v>0</v>
      </c>
      <c r="T961" s="40">
        <f t="shared" si="396"/>
        <v>0</v>
      </c>
      <c r="U961" s="40">
        <f t="shared" si="397"/>
        <v>0</v>
      </c>
      <c r="V961" s="40">
        <f t="shared" si="398"/>
        <v>1</v>
      </c>
      <c r="W961" s="40">
        <f t="shared" si="399"/>
        <v>0</v>
      </c>
      <c r="X961" s="40">
        <f t="shared" si="400"/>
        <v>0</v>
      </c>
      <c r="Y961" s="40">
        <f t="shared" si="401"/>
        <v>0</v>
      </c>
      <c r="Z961" s="40">
        <f t="shared" si="402"/>
        <v>0</v>
      </c>
      <c r="AA961" s="40">
        <f t="shared" si="403"/>
        <v>0</v>
      </c>
      <c r="AB961" s="40">
        <f t="shared" si="404"/>
        <v>1</v>
      </c>
      <c r="AC961" s="40">
        <f t="shared" si="405"/>
        <v>0</v>
      </c>
      <c r="AD961" s="40">
        <f t="shared" si="406"/>
        <v>0</v>
      </c>
      <c r="AE961" s="40">
        <f t="shared" si="407"/>
        <v>0</v>
      </c>
      <c r="AF961" s="40">
        <f t="shared" si="408"/>
        <v>0</v>
      </c>
      <c r="AG961" s="40">
        <f t="shared" si="409"/>
        <v>0</v>
      </c>
      <c r="AH961" s="40">
        <f t="shared" si="410"/>
        <v>0</v>
      </c>
      <c r="AI961" s="40">
        <f t="shared" si="411"/>
        <v>0</v>
      </c>
      <c r="AJ961" s="40">
        <f t="shared" si="412"/>
        <v>0</v>
      </c>
      <c r="AK961" s="40">
        <f t="shared" si="413"/>
        <v>0</v>
      </c>
      <c r="AL961" s="40">
        <f t="shared" si="414"/>
        <v>1</v>
      </c>
      <c r="AM961" s="40">
        <f t="shared" si="415"/>
        <v>0</v>
      </c>
      <c r="AN961" s="40">
        <f t="shared" si="416"/>
        <v>0</v>
      </c>
      <c r="AO961" s="40">
        <f t="shared" si="417"/>
        <v>0</v>
      </c>
      <c r="AP961" s="40">
        <f t="shared" si="418"/>
        <v>0</v>
      </c>
      <c r="AQ961" s="40">
        <f t="shared" si="419"/>
        <v>0</v>
      </c>
      <c r="AR961" s="40">
        <f t="shared" si="420"/>
        <v>0</v>
      </c>
      <c r="AS961" s="40">
        <f t="shared" si="421"/>
        <v>0</v>
      </c>
    </row>
    <row r="962" spans="2:45" ht="14.4" customHeight="1" x14ac:dyDescent="0.25">
      <c r="B962" s="56" t="s">
        <v>45</v>
      </c>
      <c r="C962" s="57" t="s">
        <v>25</v>
      </c>
      <c r="D962" s="58" t="s">
        <v>24</v>
      </c>
      <c r="E962" s="62">
        <v>5.009999999999998E-3</v>
      </c>
      <c r="F962" s="65">
        <f t="shared" si="422"/>
        <v>-5.2963193638853641</v>
      </c>
      <c r="S962" s="40">
        <f t="shared" si="395"/>
        <v>0</v>
      </c>
      <c r="T962" s="40">
        <f t="shared" si="396"/>
        <v>0</v>
      </c>
      <c r="U962" s="40">
        <f t="shared" si="397"/>
        <v>0</v>
      </c>
      <c r="V962" s="40">
        <f t="shared" si="398"/>
        <v>1</v>
      </c>
      <c r="W962" s="40">
        <f t="shared" si="399"/>
        <v>0</v>
      </c>
      <c r="X962" s="40">
        <f t="shared" si="400"/>
        <v>0</v>
      </c>
      <c r="Y962" s="40">
        <f t="shared" si="401"/>
        <v>0</v>
      </c>
      <c r="Z962" s="40">
        <f t="shared" si="402"/>
        <v>0</v>
      </c>
      <c r="AA962" s="40">
        <f t="shared" si="403"/>
        <v>0</v>
      </c>
      <c r="AB962" s="40">
        <f t="shared" si="404"/>
        <v>1</v>
      </c>
      <c r="AC962" s="40">
        <f t="shared" si="405"/>
        <v>0</v>
      </c>
      <c r="AD962" s="40">
        <f t="shared" si="406"/>
        <v>0</v>
      </c>
      <c r="AE962" s="40">
        <f t="shared" si="407"/>
        <v>0</v>
      </c>
      <c r="AF962" s="40">
        <f t="shared" si="408"/>
        <v>0</v>
      </c>
      <c r="AG962" s="40">
        <f t="shared" si="409"/>
        <v>0</v>
      </c>
      <c r="AH962" s="40">
        <f t="shared" si="410"/>
        <v>0</v>
      </c>
      <c r="AI962" s="40">
        <f t="shared" si="411"/>
        <v>0</v>
      </c>
      <c r="AJ962" s="40">
        <f t="shared" si="412"/>
        <v>0</v>
      </c>
      <c r="AK962" s="40">
        <f t="shared" si="413"/>
        <v>0</v>
      </c>
      <c r="AL962" s="40">
        <f t="shared" si="414"/>
        <v>1</v>
      </c>
      <c r="AM962" s="40">
        <f t="shared" si="415"/>
        <v>0</v>
      </c>
      <c r="AN962" s="40">
        <f t="shared" si="416"/>
        <v>0</v>
      </c>
      <c r="AO962" s="40">
        <f t="shared" si="417"/>
        <v>0</v>
      </c>
      <c r="AP962" s="40">
        <f t="shared" si="418"/>
        <v>0</v>
      </c>
      <c r="AQ962" s="40">
        <f t="shared" si="419"/>
        <v>0</v>
      </c>
      <c r="AR962" s="40">
        <f t="shared" si="420"/>
        <v>0</v>
      </c>
      <c r="AS962" s="40">
        <f t="shared" si="421"/>
        <v>0</v>
      </c>
    </row>
    <row r="963" spans="2:45" ht="14.4" customHeight="1" x14ac:dyDescent="0.25">
      <c r="B963" s="56" t="s">
        <v>45</v>
      </c>
      <c r="C963" s="57" t="s">
        <v>25</v>
      </c>
      <c r="D963" s="58" t="s">
        <v>24</v>
      </c>
      <c r="E963" s="62">
        <v>1.0599999999999998E-2</v>
      </c>
      <c r="F963" s="65">
        <f t="shared" si="422"/>
        <v>-4.5469012778641158</v>
      </c>
      <c r="S963" s="40">
        <f t="shared" si="395"/>
        <v>0</v>
      </c>
      <c r="T963" s="40">
        <f t="shared" si="396"/>
        <v>0</v>
      </c>
      <c r="U963" s="40">
        <f t="shared" si="397"/>
        <v>0</v>
      </c>
      <c r="V963" s="40">
        <f t="shared" si="398"/>
        <v>1</v>
      </c>
      <c r="W963" s="40">
        <f t="shared" si="399"/>
        <v>0</v>
      </c>
      <c r="X963" s="40">
        <f t="shared" si="400"/>
        <v>0</v>
      </c>
      <c r="Y963" s="40">
        <f t="shared" si="401"/>
        <v>0</v>
      </c>
      <c r="Z963" s="40">
        <f t="shared" si="402"/>
        <v>0</v>
      </c>
      <c r="AA963" s="40">
        <f t="shared" si="403"/>
        <v>0</v>
      </c>
      <c r="AB963" s="40">
        <f t="shared" si="404"/>
        <v>1</v>
      </c>
      <c r="AC963" s="40">
        <f t="shared" si="405"/>
        <v>0</v>
      </c>
      <c r="AD963" s="40">
        <f t="shared" si="406"/>
        <v>0</v>
      </c>
      <c r="AE963" s="40">
        <f t="shared" si="407"/>
        <v>0</v>
      </c>
      <c r="AF963" s="40">
        <f t="shared" si="408"/>
        <v>0</v>
      </c>
      <c r="AG963" s="40">
        <f t="shared" si="409"/>
        <v>0</v>
      </c>
      <c r="AH963" s="40">
        <f t="shared" si="410"/>
        <v>0</v>
      </c>
      <c r="AI963" s="40">
        <f t="shared" si="411"/>
        <v>0</v>
      </c>
      <c r="AJ963" s="40">
        <f t="shared" si="412"/>
        <v>0</v>
      </c>
      <c r="AK963" s="40">
        <f t="shared" si="413"/>
        <v>0</v>
      </c>
      <c r="AL963" s="40">
        <f t="shared" si="414"/>
        <v>0</v>
      </c>
      <c r="AM963" s="40">
        <f t="shared" si="415"/>
        <v>0</v>
      </c>
      <c r="AN963" s="40">
        <f t="shared" si="416"/>
        <v>0</v>
      </c>
      <c r="AO963" s="40">
        <f t="shared" si="417"/>
        <v>0</v>
      </c>
      <c r="AP963" s="40">
        <f t="shared" si="418"/>
        <v>0</v>
      </c>
      <c r="AQ963" s="40">
        <f t="shared" si="419"/>
        <v>0</v>
      </c>
      <c r="AR963" s="40">
        <f t="shared" si="420"/>
        <v>1</v>
      </c>
      <c r="AS963" s="40">
        <f t="shared" si="421"/>
        <v>0</v>
      </c>
    </row>
    <row r="964" spans="2:45" ht="14.4" customHeight="1" x14ac:dyDescent="0.25">
      <c r="B964" s="56" t="s">
        <v>45</v>
      </c>
      <c r="C964" s="57" t="s">
        <v>25</v>
      </c>
      <c r="D964" s="58" t="s">
        <v>33</v>
      </c>
      <c r="E964" s="62">
        <v>8.4100000000000008E-3</v>
      </c>
      <c r="F964" s="65">
        <f t="shared" si="422"/>
        <v>-4.7783338049972803</v>
      </c>
      <c r="S964" s="40">
        <f t="shared" si="395"/>
        <v>0</v>
      </c>
      <c r="T964" s="40">
        <f t="shared" si="396"/>
        <v>0</v>
      </c>
      <c r="U964" s="40">
        <f t="shared" si="397"/>
        <v>0</v>
      </c>
      <c r="V964" s="40">
        <f t="shared" si="398"/>
        <v>1</v>
      </c>
      <c r="W964" s="40">
        <f t="shared" si="399"/>
        <v>0</v>
      </c>
      <c r="X964" s="40">
        <f t="shared" si="400"/>
        <v>0</v>
      </c>
      <c r="Y964" s="40">
        <f t="shared" si="401"/>
        <v>0</v>
      </c>
      <c r="Z964" s="40">
        <f t="shared" si="402"/>
        <v>0</v>
      </c>
      <c r="AA964" s="40">
        <f t="shared" si="403"/>
        <v>0</v>
      </c>
      <c r="AB964" s="40">
        <f t="shared" si="404"/>
        <v>0</v>
      </c>
      <c r="AC964" s="40">
        <f t="shared" si="405"/>
        <v>0</v>
      </c>
      <c r="AD964" s="40">
        <f t="shared" si="406"/>
        <v>0</v>
      </c>
      <c r="AE964" s="40">
        <f t="shared" si="407"/>
        <v>0</v>
      </c>
      <c r="AF964" s="40">
        <f t="shared" si="408"/>
        <v>1</v>
      </c>
      <c r="AG964" s="40">
        <f t="shared" si="409"/>
        <v>0</v>
      </c>
      <c r="AH964" s="40">
        <f t="shared" si="410"/>
        <v>0</v>
      </c>
      <c r="AI964" s="40">
        <f t="shared" si="411"/>
        <v>1</v>
      </c>
      <c r="AJ964" s="40">
        <f t="shared" si="412"/>
        <v>0</v>
      </c>
      <c r="AK964" s="40">
        <f t="shared" si="413"/>
        <v>0</v>
      </c>
      <c r="AL964" s="40">
        <f t="shared" si="414"/>
        <v>0</v>
      </c>
      <c r="AM964" s="40">
        <f t="shared" si="415"/>
        <v>0</v>
      </c>
      <c r="AN964" s="40">
        <f t="shared" si="416"/>
        <v>0</v>
      </c>
      <c r="AO964" s="40">
        <f t="shared" si="417"/>
        <v>0</v>
      </c>
      <c r="AP964" s="40">
        <f t="shared" si="418"/>
        <v>0</v>
      </c>
      <c r="AQ964" s="40">
        <f t="shared" si="419"/>
        <v>0</v>
      </c>
      <c r="AR964" s="40">
        <f t="shared" si="420"/>
        <v>0</v>
      </c>
      <c r="AS964" s="40">
        <f t="shared" si="421"/>
        <v>0</v>
      </c>
    </row>
    <row r="965" spans="2:45" ht="14.4" customHeight="1" x14ac:dyDescent="0.25">
      <c r="B965" s="56" t="s">
        <v>45</v>
      </c>
      <c r="C965" s="57" t="s">
        <v>26</v>
      </c>
      <c r="D965" s="58" t="s">
        <v>28</v>
      </c>
      <c r="E965" s="62">
        <v>1.4799999999999995E-2</v>
      </c>
      <c r="F965" s="65">
        <f t="shared" si="422"/>
        <v>-4.213128098212068</v>
      </c>
      <c r="S965" s="40">
        <f t="shared" si="395"/>
        <v>0</v>
      </c>
      <c r="T965" s="40">
        <f t="shared" si="396"/>
        <v>0</v>
      </c>
      <c r="U965" s="40">
        <f t="shared" si="397"/>
        <v>0</v>
      </c>
      <c r="V965" s="40">
        <f t="shared" si="398"/>
        <v>1</v>
      </c>
      <c r="W965" s="40">
        <f t="shared" si="399"/>
        <v>0</v>
      </c>
      <c r="X965" s="40">
        <f t="shared" si="400"/>
        <v>0</v>
      </c>
      <c r="Y965" s="40">
        <f t="shared" si="401"/>
        <v>0</v>
      </c>
      <c r="Z965" s="40">
        <f t="shared" si="402"/>
        <v>0</v>
      </c>
      <c r="AA965" s="40">
        <f t="shared" si="403"/>
        <v>0</v>
      </c>
      <c r="AB965" s="40">
        <f t="shared" si="404"/>
        <v>1</v>
      </c>
      <c r="AC965" s="40">
        <f t="shared" si="405"/>
        <v>0</v>
      </c>
      <c r="AD965" s="40">
        <f t="shared" si="406"/>
        <v>0</v>
      </c>
      <c r="AE965" s="40">
        <f t="shared" si="407"/>
        <v>0</v>
      </c>
      <c r="AF965" s="40">
        <f t="shared" si="408"/>
        <v>0</v>
      </c>
      <c r="AG965" s="40">
        <f t="shared" si="409"/>
        <v>0</v>
      </c>
      <c r="AH965" s="40">
        <f t="shared" si="410"/>
        <v>0</v>
      </c>
      <c r="AI965" s="40">
        <f t="shared" si="411"/>
        <v>0</v>
      </c>
      <c r="AJ965" s="40">
        <f t="shared" si="412"/>
        <v>1</v>
      </c>
      <c r="AK965" s="40">
        <f t="shared" si="413"/>
        <v>0</v>
      </c>
      <c r="AL965" s="40">
        <f t="shared" si="414"/>
        <v>0</v>
      </c>
      <c r="AM965" s="40">
        <f t="shared" si="415"/>
        <v>0</v>
      </c>
      <c r="AN965" s="40">
        <f t="shared" si="416"/>
        <v>0</v>
      </c>
      <c r="AO965" s="40">
        <f t="shared" si="417"/>
        <v>0</v>
      </c>
      <c r="AP965" s="40">
        <f t="shared" si="418"/>
        <v>0</v>
      </c>
      <c r="AQ965" s="40">
        <f t="shared" si="419"/>
        <v>0</v>
      </c>
      <c r="AR965" s="40">
        <f t="shared" si="420"/>
        <v>0</v>
      </c>
      <c r="AS965" s="40">
        <f t="shared" si="421"/>
        <v>0</v>
      </c>
    </row>
    <row r="966" spans="2:45" ht="14.4" customHeight="1" x14ac:dyDescent="0.25">
      <c r="B966" s="56" t="s">
        <v>45</v>
      </c>
      <c r="C966" s="57" t="s">
        <v>25</v>
      </c>
      <c r="D966" s="58" t="s">
        <v>37</v>
      </c>
      <c r="E966" s="62">
        <v>1.0699999999999996E-2</v>
      </c>
      <c r="F966" s="65">
        <f t="shared" si="422"/>
        <v>-4.5375115375142769</v>
      </c>
      <c r="S966" s="40">
        <f t="shared" si="395"/>
        <v>0</v>
      </c>
      <c r="T966" s="40">
        <f t="shared" si="396"/>
        <v>0</v>
      </c>
      <c r="U966" s="40">
        <f t="shared" si="397"/>
        <v>0</v>
      </c>
      <c r="V966" s="40">
        <f t="shared" si="398"/>
        <v>1</v>
      </c>
      <c r="W966" s="40">
        <f t="shared" si="399"/>
        <v>0</v>
      </c>
      <c r="X966" s="40">
        <f t="shared" si="400"/>
        <v>0</v>
      </c>
      <c r="Y966" s="40">
        <f t="shared" si="401"/>
        <v>0</v>
      </c>
      <c r="Z966" s="40">
        <f t="shared" si="402"/>
        <v>0</v>
      </c>
      <c r="AA966" s="40">
        <f t="shared" si="403"/>
        <v>0</v>
      </c>
      <c r="AB966" s="40">
        <f t="shared" si="404"/>
        <v>1</v>
      </c>
      <c r="AC966" s="40">
        <f t="shared" si="405"/>
        <v>0</v>
      </c>
      <c r="AD966" s="40">
        <f t="shared" si="406"/>
        <v>0</v>
      </c>
      <c r="AE966" s="40">
        <f t="shared" si="407"/>
        <v>0</v>
      </c>
      <c r="AF966" s="40">
        <f t="shared" si="408"/>
        <v>0</v>
      </c>
      <c r="AG966" s="40">
        <f t="shared" si="409"/>
        <v>0</v>
      </c>
      <c r="AH966" s="40">
        <f t="shared" si="410"/>
        <v>0</v>
      </c>
      <c r="AI966" s="40">
        <f t="shared" si="411"/>
        <v>0</v>
      </c>
      <c r="AJ966" s="40">
        <f t="shared" si="412"/>
        <v>0</v>
      </c>
      <c r="AK966" s="40">
        <f t="shared" si="413"/>
        <v>0</v>
      </c>
      <c r="AL966" s="40">
        <f t="shared" si="414"/>
        <v>0</v>
      </c>
      <c r="AM966" s="40">
        <f t="shared" si="415"/>
        <v>0</v>
      </c>
      <c r="AN966" s="40">
        <f t="shared" si="416"/>
        <v>0</v>
      </c>
      <c r="AO966" s="40">
        <f t="shared" si="417"/>
        <v>1</v>
      </c>
      <c r="AP966" s="40">
        <f t="shared" si="418"/>
        <v>0</v>
      </c>
      <c r="AQ966" s="40">
        <f t="shared" si="419"/>
        <v>0</v>
      </c>
      <c r="AR966" s="40">
        <f t="shared" si="420"/>
        <v>0</v>
      </c>
      <c r="AS966" s="40">
        <f t="shared" si="421"/>
        <v>0</v>
      </c>
    </row>
    <row r="967" spans="2:45" ht="14.4" customHeight="1" x14ac:dyDescent="0.25">
      <c r="B967" s="56" t="s">
        <v>45</v>
      </c>
      <c r="C967" s="57" t="s">
        <v>25</v>
      </c>
      <c r="D967" s="58" t="s">
        <v>31</v>
      </c>
      <c r="E967" s="62">
        <v>4.0599999999999985E-3</v>
      </c>
      <c r="F967" s="65">
        <f t="shared" si="422"/>
        <v>-5.5065723053684961</v>
      </c>
      <c r="S967" s="40">
        <f t="shared" si="395"/>
        <v>0</v>
      </c>
      <c r="T967" s="40">
        <f t="shared" si="396"/>
        <v>0</v>
      </c>
      <c r="U967" s="40">
        <f t="shared" si="397"/>
        <v>0</v>
      </c>
      <c r="V967" s="40">
        <f t="shared" si="398"/>
        <v>1</v>
      </c>
      <c r="W967" s="40">
        <f t="shared" si="399"/>
        <v>0</v>
      </c>
      <c r="X967" s="40">
        <f t="shared" si="400"/>
        <v>0</v>
      </c>
      <c r="Y967" s="40">
        <f t="shared" si="401"/>
        <v>0</v>
      </c>
      <c r="Z967" s="40">
        <f t="shared" si="402"/>
        <v>0</v>
      </c>
      <c r="AA967" s="40">
        <f t="shared" si="403"/>
        <v>0</v>
      </c>
      <c r="AB967" s="40">
        <f t="shared" si="404"/>
        <v>1</v>
      </c>
      <c r="AC967" s="40">
        <f t="shared" si="405"/>
        <v>0</v>
      </c>
      <c r="AD967" s="40">
        <f t="shared" si="406"/>
        <v>0</v>
      </c>
      <c r="AE967" s="40">
        <f t="shared" si="407"/>
        <v>0</v>
      </c>
      <c r="AF967" s="40">
        <f t="shared" si="408"/>
        <v>0</v>
      </c>
      <c r="AG967" s="40">
        <f t="shared" si="409"/>
        <v>0</v>
      </c>
      <c r="AH967" s="40">
        <f t="shared" si="410"/>
        <v>0</v>
      </c>
      <c r="AI967" s="40">
        <f t="shared" si="411"/>
        <v>0</v>
      </c>
      <c r="AJ967" s="40">
        <f t="shared" si="412"/>
        <v>0</v>
      </c>
      <c r="AK967" s="40">
        <f t="shared" si="413"/>
        <v>0</v>
      </c>
      <c r="AL967" s="40">
        <f t="shared" si="414"/>
        <v>1</v>
      </c>
      <c r="AM967" s="40">
        <f t="shared" si="415"/>
        <v>0</v>
      </c>
      <c r="AN967" s="40">
        <f t="shared" si="416"/>
        <v>0</v>
      </c>
      <c r="AO967" s="40">
        <f t="shared" si="417"/>
        <v>0</v>
      </c>
      <c r="AP967" s="40">
        <f t="shared" si="418"/>
        <v>0</v>
      </c>
      <c r="AQ967" s="40">
        <f t="shared" si="419"/>
        <v>0</v>
      </c>
      <c r="AR967" s="40">
        <f t="shared" si="420"/>
        <v>0</v>
      </c>
      <c r="AS967" s="40">
        <f t="shared" si="421"/>
        <v>0</v>
      </c>
    </row>
    <row r="968" spans="2:45" ht="14.4" customHeight="1" x14ac:dyDescent="0.25">
      <c r="B968" s="56" t="s">
        <v>45</v>
      </c>
      <c r="C968" s="57" t="s">
        <v>25</v>
      </c>
      <c r="D968" s="58" t="s">
        <v>24</v>
      </c>
      <c r="E968" s="62">
        <v>1.0140000000000001E-2</v>
      </c>
      <c r="F968" s="65">
        <f t="shared" si="422"/>
        <v>-4.5912672808190997</v>
      </c>
      <c r="S968" s="40">
        <f t="shared" si="395"/>
        <v>0</v>
      </c>
      <c r="T968" s="40">
        <f t="shared" si="396"/>
        <v>0</v>
      </c>
      <c r="U968" s="40">
        <f t="shared" si="397"/>
        <v>0</v>
      </c>
      <c r="V968" s="40">
        <f t="shared" si="398"/>
        <v>1</v>
      </c>
      <c r="W968" s="40">
        <f t="shared" si="399"/>
        <v>0</v>
      </c>
      <c r="X968" s="40">
        <f t="shared" si="400"/>
        <v>0</v>
      </c>
      <c r="Y968" s="40">
        <f t="shared" si="401"/>
        <v>0</v>
      </c>
      <c r="Z968" s="40">
        <f t="shared" si="402"/>
        <v>0</v>
      </c>
      <c r="AA968" s="40">
        <f t="shared" si="403"/>
        <v>0</v>
      </c>
      <c r="AB968" s="40">
        <f t="shared" si="404"/>
        <v>1</v>
      </c>
      <c r="AC968" s="40">
        <f t="shared" si="405"/>
        <v>0</v>
      </c>
      <c r="AD968" s="40">
        <f t="shared" si="406"/>
        <v>0</v>
      </c>
      <c r="AE968" s="40">
        <f t="shared" si="407"/>
        <v>0</v>
      </c>
      <c r="AF968" s="40">
        <f t="shared" si="408"/>
        <v>0</v>
      </c>
      <c r="AG968" s="40">
        <f t="shared" si="409"/>
        <v>0</v>
      </c>
      <c r="AH968" s="40">
        <f t="shared" si="410"/>
        <v>0</v>
      </c>
      <c r="AI968" s="40">
        <f t="shared" si="411"/>
        <v>1</v>
      </c>
      <c r="AJ968" s="40">
        <f t="shared" si="412"/>
        <v>0</v>
      </c>
      <c r="AK968" s="40">
        <f t="shared" si="413"/>
        <v>0</v>
      </c>
      <c r="AL968" s="40">
        <f t="shared" si="414"/>
        <v>0</v>
      </c>
      <c r="AM968" s="40">
        <f t="shared" si="415"/>
        <v>0</v>
      </c>
      <c r="AN968" s="40">
        <f t="shared" si="416"/>
        <v>0</v>
      </c>
      <c r="AO968" s="40">
        <f t="shared" si="417"/>
        <v>0</v>
      </c>
      <c r="AP968" s="40">
        <f t="shared" si="418"/>
        <v>0</v>
      </c>
      <c r="AQ968" s="40">
        <f t="shared" si="419"/>
        <v>0</v>
      </c>
      <c r="AR968" s="40">
        <f t="shared" si="420"/>
        <v>0</v>
      </c>
      <c r="AS968" s="40">
        <f t="shared" si="421"/>
        <v>0</v>
      </c>
    </row>
    <row r="969" spans="2:45" ht="14.4" customHeight="1" x14ac:dyDescent="0.25">
      <c r="B969" s="56" t="s">
        <v>45</v>
      </c>
      <c r="C969" s="57" t="s">
        <v>25</v>
      </c>
      <c r="D969" s="58" t="s">
        <v>28</v>
      </c>
      <c r="E969" s="62">
        <v>8.3999999999999977E-3</v>
      </c>
      <c r="F969" s="65">
        <f t="shared" si="422"/>
        <v>-4.7795235731328694</v>
      </c>
      <c r="S969" s="40">
        <f t="shared" si="395"/>
        <v>0</v>
      </c>
      <c r="T969" s="40">
        <f t="shared" si="396"/>
        <v>0</v>
      </c>
      <c r="U969" s="40">
        <f t="shared" si="397"/>
        <v>0</v>
      </c>
      <c r="V969" s="40">
        <f t="shared" si="398"/>
        <v>1</v>
      </c>
      <c r="W969" s="40">
        <f t="shared" si="399"/>
        <v>0</v>
      </c>
      <c r="X969" s="40">
        <f t="shared" si="400"/>
        <v>0</v>
      </c>
      <c r="Y969" s="40">
        <f t="shared" si="401"/>
        <v>0</v>
      </c>
      <c r="Z969" s="40">
        <f t="shared" si="402"/>
        <v>0</v>
      </c>
      <c r="AA969" s="40">
        <f t="shared" si="403"/>
        <v>0</v>
      </c>
      <c r="AB969" s="40">
        <f t="shared" si="404"/>
        <v>0</v>
      </c>
      <c r="AC969" s="40">
        <f t="shared" si="405"/>
        <v>0</v>
      </c>
      <c r="AD969" s="40">
        <f t="shared" si="406"/>
        <v>0</v>
      </c>
      <c r="AE969" s="40">
        <f t="shared" si="407"/>
        <v>0</v>
      </c>
      <c r="AF969" s="40">
        <f t="shared" si="408"/>
        <v>1</v>
      </c>
      <c r="AG969" s="40">
        <f t="shared" si="409"/>
        <v>0</v>
      </c>
      <c r="AH969" s="40">
        <f t="shared" si="410"/>
        <v>0</v>
      </c>
      <c r="AI969" s="40">
        <f t="shared" si="411"/>
        <v>1</v>
      </c>
      <c r="AJ969" s="40">
        <f t="shared" si="412"/>
        <v>0</v>
      </c>
      <c r="AK969" s="40">
        <f t="shared" si="413"/>
        <v>0</v>
      </c>
      <c r="AL969" s="40">
        <f t="shared" si="414"/>
        <v>0</v>
      </c>
      <c r="AM969" s="40">
        <f t="shared" si="415"/>
        <v>0</v>
      </c>
      <c r="AN969" s="40">
        <f t="shared" si="416"/>
        <v>0</v>
      </c>
      <c r="AO969" s="40">
        <f t="shared" si="417"/>
        <v>0</v>
      </c>
      <c r="AP969" s="40">
        <f t="shared" si="418"/>
        <v>0</v>
      </c>
      <c r="AQ969" s="40">
        <f t="shared" si="419"/>
        <v>0</v>
      </c>
      <c r="AR969" s="40">
        <f t="shared" si="420"/>
        <v>0</v>
      </c>
      <c r="AS969" s="40">
        <f t="shared" si="421"/>
        <v>0</v>
      </c>
    </row>
    <row r="970" spans="2:45" ht="14.4" customHeight="1" x14ac:dyDescent="0.25">
      <c r="B970" s="56" t="s">
        <v>45</v>
      </c>
      <c r="C970" s="57" t="s">
        <v>26</v>
      </c>
      <c r="D970" s="58" t="s">
        <v>28</v>
      </c>
      <c r="E970" s="62">
        <v>2.8100000000000009E-3</v>
      </c>
      <c r="F970" s="65">
        <f t="shared" si="422"/>
        <v>-5.8745707956364823</v>
      </c>
      <c r="S970" s="40">
        <f t="shared" ref="S970:S1033" si="423">IF($B971=S$9,1,0)</f>
        <v>0</v>
      </c>
      <c r="T970" s="40">
        <f t="shared" ref="T970:T1033" si="424">IF($B971=T$9,1,0)</f>
        <v>0</v>
      </c>
      <c r="U970" s="40">
        <f t="shared" ref="U970:U1033" si="425">IF($B971=U$9,1,0)</f>
        <v>0</v>
      </c>
      <c r="V970" s="40">
        <f t="shared" ref="V970:V1033" si="426">IF($B971=V$9,1,0)</f>
        <v>1</v>
      </c>
      <c r="W970" s="40">
        <f t="shared" ref="W970:W1033" si="427">IF($B971=W$9,1,0)</f>
        <v>0</v>
      </c>
      <c r="X970" s="40">
        <f t="shared" ref="X970:X1033" si="428">IF($B971=X$9,1,0)</f>
        <v>0</v>
      </c>
      <c r="Y970" s="40">
        <f t="shared" ref="Y970:Y1033" si="429">IF($B971=Y$9,1,0)</f>
        <v>0</v>
      </c>
      <c r="Z970" s="40">
        <f t="shared" ref="Z970:Z1033" si="430">IF($C971=Z$9,1,0)</f>
        <v>0</v>
      </c>
      <c r="AA970" s="40">
        <f t="shared" ref="AA970:AA1033" si="431">IF($C971=AA$9,1,0)</f>
        <v>0</v>
      </c>
      <c r="AB970" s="40">
        <f t="shared" ref="AB970:AB1033" si="432">IF($C971=AB$9,1,0)</f>
        <v>1</v>
      </c>
      <c r="AC970" s="40">
        <f t="shared" ref="AC970:AC1033" si="433">IF($C971=AC$9,1,0)</f>
        <v>0</v>
      </c>
      <c r="AD970" s="40">
        <f t="shared" ref="AD970:AD1033" si="434">IF($C971=AD$9,1,0)</f>
        <v>0</v>
      </c>
      <c r="AE970" s="40">
        <f t="shared" ref="AE970:AE1033" si="435">IF($C971=AE$9,1,0)</f>
        <v>0</v>
      </c>
      <c r="AF970" s="40">
        <f t="shared" ref="AF970:AF1033" si="436">IF($C971=AF$9,1,0)</f>
        <v>0</v>
      </c>
      <c r="AG970" s="40">
        <f t="shared" ref="AG970:AG1033" si="437">IF($C971=AG$9,1,0)</f>
        <v>0</v>
      </c>
      <c r="AH970" s="40">
        <f t="shared" ref="AH970:AH1033" si="438">IF($D971=AH$9,1,0)</f>
        <v>0</v>
      </c>
      <c r="AI970" s="40">
        <f t="shared" ref="AI970:AI1033" si="439">IF($D971=AI$9,1,0)</f>
        <v>0</v>
      </c>
      <c r="AJ970" s="40">
        <f t="shared" ref="AJ970:AJ1033" si="440">IF($D971=AJ$9,1,0)</f>
        <v>1</v>
      </c>
      <c r="AK970" s="40">
        <f t="shared" ref="AK970:AK1033" si="441">IF($D971=AK$9,1,0)</f>
        <v>0</v>
      </c>
      <c r="AL970" s="40">
        <f t="shared" ref="AL970:AL1033" si="442">IF($D971=AL$9,1,0)</f>
        <v>0</v>
      </c>
      <c r="AM970" s="40">
        <f t="shared" ref="AM970:AM1033" si="443">IF($D971=AM$9,1,0)</f>
        <v>0</v>
      </c>
      <c r="AN970" s="40">
        <f t="shared" ref="AN970:AN1033" si="444">IF($D971=AN$9,1,0)</f>
        <v>0</v>
      </c>
      <c r="AO970" s="40">
        <f t="shared" ref="AO970:AO1033" si="445">IF($D971=AO$9,1,0)</f>
        <v>0</v>
      </c>
      <c r="AP970" s="40">
        <f t="shared" ref="AP970:AP1033" si="446">IF($D971=AP$9,1,0)</f>
        <v>0</v>
      </c>
      <c r="AQ970" s="40">
        <f t="shared" ref="AQ970:AQ1033" si="447">IF($D971=AQ$9,1,0)</f>
        <v>0</v>
      </c>
      <c r="AR970" s="40">
        <f t="shared" ref="AR970:AR1033" si="448">IF($D971=AR$9,1,0)</f>
        <v>0</v>
      </c>
      <c r="AS970" s="40">
        <f t="shared" ref="AS970:AS1033" si="449">IF($D971=AS$9,1,0)</f>
        <v>0</v>
      </c>
    </row>
    <row r="971" spans="2:45" ht="14.4" customHeight="1" x14ac:dyDescent="0.25">
      <c r="B971" s="56" t="s">
        <v>45</v>
      </c>
      <c r="C971" s="57" t="s">
        <v>25</v>
      </c>
      <c r="D971" s="58" t="s">
        <v>37</v>
      </c>
      <c r="E971" s="62">
        <v>1.3659999999999999E-2</v>
      </c>
      <c r="F971" s="65">
        <f t="shared" si="422"/>
        <v>-4.2932834248394931</v>
      </c>
      <c r="S971" s="40">
        <f t="shared" si="423"/>
        <v>0</v>
      </c>
      <c r="T971" s="40">
        <f t="shared" si="424"/>
        <v>0</v>
      </c>
      <c r="U971" s="40">
        <f t="shared" si="425"/>
        <v>0</v>
      </c>
      <c r="V971" s="40">
        <f t="shared" si="426"/>
        <v>1</v>
      </c>
      <c r="W971" s="40">
        <f t="shared" si="427"/>
        <v>0</v>
      </c>
      <c r="X971" s="40">
        <f t="shared" si="428"/>
        <v>0</v>
      </c>
      <c r="Y971" s="40">
        <f t="shared" si="429"/>
        <v>0</v>
      </c>
      <c r="Z971" s="40">
        <f t="shared" si="430"/>
        <v>0</v>
      </c>
      <c r="AA971" s="40">
        <f t="shared" si="431"/>
        <v>0</v>
      </c>
      <c r="AB971" s="40">
        <f t="shared" si="432"/>
        <v>1</v>
      </c>
      <c r="AC971" s="40">
        <f t="shared" si="433"/>
        <v>0</v>
      </c>
      <c r="AD971" s="40">
        <f t="shared" si="434"/>
        <v>0</v>
      </c>
      <c r="AE971" s="40">
        <f t="shared" si="435"/>
        <v>0</v>
      </c>
      <c r="AF971" s="40">
        <f t="shared" si="436"/>
        <v>0</v>
      </c>
      <c r="AG971" s="40">
        <f t="shared" si="437"/>
        <v>0</v>
      </c>
      <c r="AH971" s="40">
        <f t="shared" si="438"/>
        <v>0</v>
      </c>
      <c r="AI971" s="40">
        <f t="shared" si="439"/>
        <v>0</v>
      </c>
      <c r="AJ971" s="40">
        <f t="shared" si="440"/>
        <v>0</v>
      </c>
      <c r="AK971" s="40">
        <f t="shared" si="441"/>
        <v>0</v>
      </c>
      <c r="AL971" s="40">
        <f t="shared" si="442"/>
        <v>0</v>
      </c>
      <c r="AM971" s="40">
        <f t="shared" si="443"/>
        <v>0</v>
      </c>
      <c r="AN971" s="40">
        <f t="shared" si="444"/>
        <v>0</v>
      </c>
      <c r="AO971" s="40">
        <f t="shared" si="445"/>
        <v>1</v>
      </c>
      <c r="AP971" s="40">
        <f t="shared" si="446"/>
        <v>0</v>
      </c>
      <c r="AQ971" s="40">
        <f t="shared" si="447"/>
        <v>0</v>
      </c>
      <c r="AR971" s="40">
        <f t="shared" si="448"/>
        <v>0</v>
      </c>
      <c r="AS971" s="40">
        <f t="shared" si="449"/>
        <v>0</v>
      </c>
    </row>
    <row r="972" spans="2:45" ht="14.4" customHeight="1" x14ac:dyDescent="0.25">
      <c r="B972" s="56" t="s">
        <v>45</v>
      </c>
      <c r="C972" s="57" t="s">
        <v>25</v>
      </c>
      <c r="D972" s="58" t="s">
        <v>31</v>
      </c>
      <c r="E972" s="62">
        <v>3.5999999999999999E-3</v>
      </c>
      <c r="F972" s="65">
        <f t="shared" ref="F972:F1035" si="450">LN(E972)</f>
        <v>-5.6268214335200728</v>
      </c>
      <c r="S972" s="40">
        <f t="shared" si="423"/>
        <v>0</v>
      </c>
      <c r="T972" s="40">
        <f t="shared" si="424"/>
        <v>0</v>
      </c>
      <c r="U972" s="40">
        <f t="shared" si="425"/>
        <v>0</v>
      </c>
      <c r="V972" s="40">
        <f t="shared" si="426"/>
        <v>1</v>
      </c>
      <c r="W972" s="40">
        <f t="shared" si="427"/>
        <v>0</v>
      </c>
      <c r="X972" s="40">
        <f t="shared" si="428"/>
        <v>0</v>
      </c>
      <c r="Y972" s="40">
        <f t="shared" si="429"/>
        <v>0</v>
      </c>
      <c r="Z972" s="40">
        <f t="shared" si="430"/>
        <v>0</v>
      </c>
      <c r="AA972" s="40">
        <f t="shared" si="431"/>
        <v>0</v>
      </c>
      <c r="AB972" s="40">
        <f t="shared" si="432"/>
        <v>0</v>
      </c>
      <c r="AC972" s="40">
        <f t="shared" si="433"/>
        <v>0</v>
      </c>
      <c r="AD972" s="40">
        <f t="shared" si="434"/>
        <v>0</v>
      </c>
      <c r="AE972" s="40">
        <f t="shared" si="435"/>
        <v>0</v>
      </c>
      <c r="AF972" s="40">
        <f t="shared" si="436"/>
        <v>1</v>
      </c>
      <c r="AG972" s="40">
        <f t="shared" si="437"/>
        <v>0</v>
      </c>
      <c r="AH972" s="40">
        <f t="shared" si="438"/>
        <v>0</v>
      </c>
      <c r="AI972" s="40">
        <f t="shared" si="439"/>
        <v>1</v>
      </c>
      <c r="AJ972" s="40">
        <f t="shared" si="440"/>
        <v>0</v>
      </c>
      <c r="AK972" s="40">
        <f t="shared" si="441"/>
        <v>0</v>
      </c>
      <c r="AL972" s="40">
        <f t="shared" si="442"/>
        <v>0</v>
      </c>
      <c r="AM972" s="40">
        <f t="shared" si="443"/>
        <v>0</v>
      </c>
      <c r="AN972" s="40">
        <f t="shared" si="444"/>
        <v>0</v>
      </c>
      <c r="AO972" s="40">
        <f t="shared" si="445"/>
        <v>0</v>
      </c>
      <c r="AP972" s="40">
        <f t="shared" si="446"/>
        <v>0</v>
      </c>
      <c r="AQ972" s="40">
        <f t="shared" si="447"/>
        <v>0</v>
      </c>
      <c r="AR972" s="40">
        <f t="shared" si="448"/>
        <v>0</v>
      </c>
      <c r="AS972" s="40">
        <f t="shared" si="449"/>
        <v>0</v>
      </c>
    </row>
    <row r="973" spans="2:45" ht="14.4" customHeight="1" x14ac:dyDescent="0.25">
      <c r="B973" s="56" t="s">
        <v>45</v>
      </c>
      <c r="C973" s="57" t="s">
        <v>26</v>
      </c>
      <c r="D973" s="58" t="s">
        <v>28</v>
      </c>
      <c r="E973" s="62">
        <v>8.3800000000000038E-3</v>
      </c>
      <c r="F973" s="65">
        <f t="shared" si="450"/>
        <v>-4.7819073644881449</v>
      </c>
      <c r="S973" s="40">
        <f t="shared" si="423"/>
        <v>0</v>
      </c>
      <c r="T973" s="40">
        <f t="shared" si="424"/>
        <v>0</v>
      </c>
      <c r="U973" s="40">
        <f t="shared" si="425"/>
        <v>0</v>
      </c>
      <c r="V973" s="40">
        <f t="shared" si="426"/>
        <v>1</v>
      </c>
      <c r="W973" s="40">
        <f t="shared" si="427"/>
        <v>0</v>
      </c>
      <c r="X973" s="40">
        <f t="shared" si="428"/>
        <v>0</v>
      </c>
      <c r="Y973" s="40">
        <f t="shared" si="429"/>
        <v>0</v>
      </c>
      <c r="Z973" s="40">
        <f t="shared" si="430"/>
        <v>0</v>
      </c>
      <c r="AA973" s="40">
        <f t="shared" si="431"/>
        <v>0</v>
      </c>
      <c r="AB973" s="40">
        <f t="shared" si="432"/>
        <v>1</v>
      </c>
      <c r="AC973" s="40">
        <f t="shared" si="433"/>
        <v>0</v>
      </c>
      <c r="AD973" s="40">
        <f t="shared" si="434"/>
        <v>0</v>
      </c>
      <c r="AE973" s="40">
        <f t="shared" si="435"/>
        <v>0</v>
      </c>
      <c r="AF973" s="40">
        <f t="shared" si="436"/>
        <v>0</v>
      </c>
      <c r="AG973" s="40">
        <f t="shared" si="437"/>
        <v>0</v>
      </c>
      <c r="AH973" s="40">
        <f t="shared" si="438"/>
        <v>0</v>
      </c>
      <c r="AI973" s="40">
        <f t="shared" si="439"/>
        <v>0</v>
      </c>
      <c r="AJ973" s="40">
        <f t="shared" si="440"/>
        <v>0</v>
      </c>
      <c r="AK973" s="40">
        <f t="shared" si="441"/>
        <v>0</v>
      </c>
      <c r="AL973" s="40">
        <f t="shared" si="442"/>
        <v>0</v>
      </c>
      <c r="AM973" s="40">
        <f t="shared" si="443"/>
        <v>0</v>
      </c>
      <c r="AN973" s="40">
        <f t="shared" si="444"/>
        <v>0</v>
      </c>
      <c r="AO973" s="40">
        <f t="shared" si="445"/>
        <v>0</v>
      </c>
      <c r="AP973" s="40">
        <f t="shared" si="446"/>
        <v>0</v>
      </c>
      <c r="AQ973" s="40">
        <f t="shared" si="447"/>
        <v>0</v>
      </c>
      <c r="AR973" s="40">
        <f t="shared" si="448"/>
        <v>0</v>
      </c>
      <c r="AS973" s="40">
        <f t="shared" si="449"/>
        <v>1</v>
      </c>
    </row>
    <row r="974" spans="2:45" ht="14.4" customHeight="1" x14ac:dyDescent="0.25">
      <c r="B974" s="56" t="s">
        <v>45</v>
      </c>
      <c r="C974" s="57" t="s">
        <v>25</v>
      </c>
      <c r="D974" s="58" t="s">
        <v>22</v>
      </c>
      <c r="E974" s="62">
        <v>5.510000000000001E-3</v>
      </c>
      <c r="F974" s="65">
        <f t="shared" si="450"/>
        <v>-5.2011906558173138</v>
      </c>
      <c r="S974" s="40">
        <f t="shared" si="423"/>
        <v>0</v>
      </c>
      <c r="T974" s="40">
        <f t="shared" si="424"/>
        <v>0</v>
      </c>
      <c r="U974" s="40">
        <f t="shared" si="425"/>
        <v>0</v>
      </c>
      <c r="V974" s="40">
        <f t="shared" si="426"/>
        <v>1</v>
      </c>
      <c r="W974" s="40">
        <f t="shared" si="427"/>
        <v>0</v>
      </c>
      <c r="X974" s="40">
        <f t="shared" si="428"/>
        <v>0</v>
      </c>
      <c r="Y974" s="40">
        <f t="shared" si="429"/>
        <v>0</v>
      </c>
      <c r="Z974" s="40">
        <f t="shared" si="430"/>
        <v>0</v>
      </c>
      <c r="AA974" s="40">
        <f t="shared" si="431"/>
        <v>0</v>
      </c>
      <c r="AB974" s="40">
        <f t="shared" si="432"/>
        <v>1</v>
      </c>
      <c r="AC974" s="40">
        <f t="shared" si="433"/>
        <v>0</v>
      </c>
      <c r="AD974" s="40">
        <f t="shared" si="434"/>
        <v>0</v>
      </c>
      <c r="AE974" s="40">
        <f t="shared" si="435"/>
        <v>0</v>
      </c>
      <c r="AF974" s="40">
        <f t="shared" si="436"/>
        <v>0</v>
      </c>
      <c r="AG974" s="40">
        <f t="shared" si="437"/>
        <v>0</v>
      </c>
      <c r="AH974" s="40">
        <f t="shared" si="438"/>
        <v>0</v>
      </c>
      <c r="AI974" s="40">
        <f t="shared" si="439"/>
        <v>0</v>
      </c>
      <c r="AJ974" s="40">
        <f t="shared" si="440"/>
        <v>1</v>
      </c>
      <c r="AK974" s="40">
        <f t="shared" si="441"/>
        <v>0</v>
      </c>
      <c r="AL974" s="40">
        <f t="shared" si="442"/>
        <v>0</v>
      </c>
      <c r="AM974" s="40">
        <f t="shared" si="443"/>
        <v>0</v>
      </c>
      <c r="AN974" s="40">
        <f t="shared" si="444"/>
        <v>0</v>
      </c>
      <c r="AO974" s="40">
        <f t="shared" si="445"/>
        <v>0</v>
      </c>
      <c r="AP974" s="40">
        <f t="shared" si="446"/>
        <v>0</v>
      </c>
      <c r="AQ974" s="40">
        <f t="shared" si="447"/>
        <v>0</v>
      </c>
      <c r="AR974" s="40">
        <f t="shared" si="448"/>
        <v>0</v>
      </c>
      <c r="AS974" s="40">
        <f t="shared" si="449"/>
        <v>0</v>
      </c>
    </row>
    <row r="975" spans="2:45" ht="14.4" customHeight="1" x14ac:dyDescent="0.25">
      <c r="B975" s="56" t="s">
        <v>45</v>
      </c>
      <c r="C975" s="57" t="s">
        <v>25</v>
      </c>
      <c r="D975" s="58" t="s">
        <v>37</v>
      </c>
      <c r="E975" s="62">
        <v>1.133E-2</v>
      </c>
      <c r="F975" s="65">
        <f t="shared" si="450"/>
        <v>-4.4803012039422221</v>
      </c>
      <c r="S975" s="40">
        <f t="shared" si="423"/>
        <v>0</v>
      </c>
      <c r="T975" s="40">
        <f t="shared" si="424"/>
        <v>0</v>
      </c>
      <c r="U975" s="40">
        <f t="shared" si="425"/>
        <v>0</v>
      </c>
      <c r="V975" s="40">
        <f t="shared" si="426"/>
        <v>1</v>
      </c>
      <c r="W975" s="40">
        <f t="shared" si="427"/>
        <v>0</v>
      </c>
      <c r="X975" s="40">
        <f t="shared" si="428"/>
        <v>0</v>
      </c>
      <c r="Y975" s="40">
        <f t="shared" si="429"/>
        <v>0</v>
      </c>
      <c r="Z975" s="40">
        <f t="shared" si="430"/>
        <v>0</v>
      </c>
      <c r="AA975" s="40">
        <f t="shared" si="431"/>
        <v>0</v>
      </c>
      <c r="AB975" s="40">
        <f t="shared" si="432"/>
        <v>1</v>
      </c>
      <c r="AC975" s="40">
        <f t="shared" si="433"/>
        <v>0</v>
      </c>
      <c r="AD975" s="40">
        <f t="shared" si="434"/>
        <v>0</v>
      </c>
      <c r="AE975" s="40">
        <f t="shared" si="435"/>
        <v>0</v>
      </c>
      <c r="AF975" s="40">
        <f t="shared" si="436"/>
        <v>0</v>
      </c>
      <c r="AG975" s="40">
        <f t="shared" si="437"/>
        <v>0</v>
      </c>
      <c r="AH975" s="40">
        <f t="shared" si="438"/>
        <v>0</v>
      </c>
      <c r="AI975" s="40">
        <f t="shared" si="439"/>
        <v>0</v>
      </c>
      <c r="AJ975" s="40">
        <f t="shared" si="440"/>
        <v>1</v>
      </c>
      <c r="AK975" s="40">
        <f t="shared" si="441"/>
        <v>0</v>
      </c>
      <c r="AL975" s="40">
        <f t="shared" si="442"/>
        <v>0</v>
      </c>
      <c r="AM975" s="40">
        <f t="shared" si="443"/>
        <v>0</v>
      </c>
      <c r="AN975" s="40">
        <f t="shared" si="444"/>
        <v>0</v>
      </c>
      <c r="AO975" s="40">
        <f t="shared" si="445"/>
        <v>0</v>
      </c>
      <c r="AP975" s="40">
        <f t="shared" si="446"/>
        <v>0</v>
      </c>
      <c r="AQ975" s="40">
        <f t="shared" si="447"/>
        <v>0</v>
      </c>
      <c r="AR975" s="40">
        <f t="shared" si="448"/>
        <v>0</v>
      </c>
      <c r="AS975" s="40">
        <f t="shared" si="449"/>
        <v>0</v>
      </c>
    </row>
    <row r="976" spans="2:45" ht="14.4" customHeight="1" x14ac:dyDescent="0.25">
      <c r="B976" s="56" t="s">
        <v>45</v>
      </c>
      <c r="C976" s="57" t="s">
        <v>25</v>
      </c>
      <c r="D976" s="58" t="s">
        <v>37</v>
      </c>
      <c r="E976" s="62">
        <v>1.9099999999999996E-3</v>
      </c>
      <c r="F976" s="65">
        <f t="shared" si="450"/>
        <v>-6.2606520369235987</v>
      </c>
      <c r="S976" s="40">
        <f t="shared" si="423"/>
        <v>0</v>
      </c>
      <c r="T976" s="40">
        <f t="shared" si="424"/>
        <v>0</v>
      </c>
      <c r="U976" s="40">
        <f t="shared" si="425"/>
        <v>0</v>
      </c>
      <c r="V976" s="40">
        <f t="shared" si="426"/>
        <v>1</v>
      </c>
      <c r="W976" s="40">
        <f t="shared" si="427"/>
        <v>0</v>
      </c>
      <c r="X976" s="40">
        <f t="shared" si="428"/>
        <v>0</v>
      </c>
      <c r="Y976" s="40">
        <f t="shared" si="429"/>
        <v>0</v>
      </c>
      <c r="Z976" s="40">
        <f t="shared" si="430"/>
        <v>0</v>
      </c>
      <c r="AA976" s="40">
        <f t="shared" si="431"/>
        <v>0</v>
      </c>
      <c r="AB976" s="40">
        <f t="shared" si="432"/>
        <v>1</v>
      </c>
      <c r="AC976" s="40">
        <f t="shared" si="433"/>
        <v>0</v>
      </c>
      <c r="AD976" s="40">
        <f t="shared" si="434"/>
        <v>0</v>
      </c>
      <c r="AE976" s="40">
        <f t="shared" si="435"/>
        <v>0</v>
      </c>
      <c r="AF976" s="40">
        <f t="shared" si="436"/>
        <v>0</v>
      </c>
      <c r="AG976" s="40">
        <f t="shared" si="437"/>
        <v>0</v>
      </c>
      <c r="AH976" s="40">
        <f t="shared" si="438"/>
        <v>0</v>
      </c>
      <c r="AI976" s="40">
        <f t="shared" si="439"/>
        <v>0</v>
      </c>
      <c r="AJ976" s="40">
        <f t="shared" si="440"/>
        <v>0</v>
      </c>
      <c r="AK976" s="40">
        <f t="shared" si="441"/>
        <v>0</v>
      </c>
      <c r="AL976" s="40">
        <f t="shared" si="442"/>
        <v>0</v>
      </c>
      <c r="AM976" s="40">
        <f t="shared" si="443"/>
        <v>0</v>
      </c>
      <c r="AN976" s="40">
        <f t="shared" si="444"/>
        <v>0</v>
      </c>
      <c r="AO976" s="40">
        <f t="shared" si="445"/>
        <v>1</v>
      </c>
      <c r="AP976" s="40">
        <f t="shared" si="446"/>
        <v>0</v>
      </c>
      <c r="AQ976" s="40">
        <f t="shared" si="447"/>
        <v>0</v>
      </c>
      <c r="AR976" s="40">
        <f t="shared" si="448"/>
        <v>0</v>
      </c>
      <c r="AS976" s="40">
        <f t="shared" si="449"/>
        <v>0</v>
      </c>
    </row>
    <row r="977" spans="2:45" ht="14.4" customHeight="1" x14ac:dyDescent="0.25">
      <c r="B977" s="56" t="s">
        <v>45</v>
      </c>
      <c r="C977" s="57" t="s">
        <v>25</v>
      </c>
      <c r="D977" s="58" t="s">
        <v>31</v>
      </c>
      <c r="E977" s="62">
        <v>5.8899999999999977E-3</v>
      </c>
      <c r="F977" s="65">
        <f t="shared" si="450"/>
        <v>-5.1344992813186421</v>
      </c>
      <c r="S977" s="40">
        <f t="shared" si="423"/>
        <v>0</v>
      </c>
      <c r="T977" s="40">
        <f t="shared" si="424"/>
        <v>0</v>
      </c>
      <c r="U977" s="40">
        <f t="shared" si="425"/>
        <v>0</v>
      </c>
      <c r="V977" s="40">
        <f t="shared" si="426"/>
        <v>1</v>
      </c>
      <c r="W977" s="40">
        <f t="shared" si="427"/>
        <v>0</v>
      </c>
      <c r="X977" s="40">
        <f t="shared" si="428"/>
        <v>0</v>
      </c>
      <c r="Y977" s="40">
        <f t="shared" si="429"/>
        <v>0</v>
      </c>
      <c r="Z977" s="40">
        <f t="shared" si="430"/>
        <v>0</v>
      </c>
      <c r="AA977" s="40">
        <f t="shared" si="431"/>
        <v>0</v>
      </c>
      <c r="AB977" s="40">
        <f t="shared" si="432"/>
        <v>1</v>
      </c>
      <c r="AC977" s="40">
        <f t="shared" si="433"/>
        <v>0</v>
      </c>
      <c r="AD977" s="40">
        <f t="shared" si="434"/>
        <v>0</v>
      </c>
      <c r="AE977" s="40">
        <f t="shared" si="435"/>
        <v>0</v>
      </c>
      <c r="AF977" s="40">
        <f t="shared" si="436"/>
        <v>0</v>
      </c>
      <c r="AG977" s="40">
        <f t="shared" si="437"/>
        <v>0</v>
      </c>
      <c r="AH977" s="40">
        <f t="shared" si="438"/>
        <v>0</v>
      </c>
      <c r="AI977" s="40">
        <f t="shared" si="439"/>
        <v>0</v>
      </c>
      <c r="AJ977" s="40">
        <f t="shared" si="440"/>
        <v>0</v>
      </c>
      <c r="AK977" s="40">
        <f t="shared" si="441"/>
        <v>0</v>
      </c>
      <c r="AL977" s="40">
        <f t="shared" si="442"/>
        <v>0</v>
      </c>
      <c r="AM977" s="40">
        <f t="shared" si="443"/>
        <v>0</v>
      </c>
      <c r="AN977" s="40">
        <f t="shared" si="444"/>
        <v>0</v>
      </c>
      <c r="AO977" s="40">
        <f t="shared" si="445"/>
        <v>1</v>
      </c>
      <c r="AP977" s="40">
        <f t="shared" si="446"/>
        <v>0</v>
      </c>
      <c r="AQ977" s="40">
        <f t="shared" si="447"/>
        <v>0</v>
      </c>
      <c r="AR977" s="40">
        <f t="shared" si="448"/>
        <v>0</v>
      </c>
      <c r="AS977" s="40">
        <f t="shared" si="449"/>
        <v>0</v>
      </c>
    </row>
    <row r="978" spans="2:45" ht="14.4" customHeight="1" x14ac:dyDescent="0.25">
      <c r="B978" s="56" t="s">
        <v>45</v>
      </c>
      <c r="C978" s="57" t="s">
        <v>25</v>
      </c>
      <c r="D978" s="58" t="s">
        <v>31</v>
      </c>
      <c r="E978" s="62">
        <v>5.8600000000000015E-3</v>
      </c>
      <c r="F978" s="65">
        <f t="shared" si="450"/>
        <v>-5.1396056753932156</v>
      </c>
      <c r="S978" s="40">
        <f t="shared" si="423"/>
        <v>0</v>
      </c>
      <c r="T978" s="40">
        <f t="shared" si="424"/>
        <v>0</v>
      </c>
      <c r="U978" s="40">
        <f t="shared" si="425"/>
        <v>0</v>
      </c>
      <c r="V978" s="40">
        <f t="shared" si="426"/>
        <v>1</v>
      </c>
      <c r="W978" s="40">
        <f t="shared" si="427"/>
        <v>0</v>
      </c>
      <c r="X978" s="40">
        <f t="shared" si="428"/>
        <v>0</v>
      </c>
      <c r="Y978" s="40">
        <f t="shared" si="429"/>
        <v>0</v>
      </c>
      <c r="Z978" s="40">
        <f t="shared" si="430"/>
        <v>0</v>
      </c>
      <c r="AA978" s="40">
        <f t="shared" si="431"/>
        <v>0</v>
      </c>
      <c r="AB978" s="40">
        <f t="shared" si="432"/>
        <v>1</v>
      </c>
      <c r="AC978" s="40">
        <f t="shared" si="433"/>
        <v>0</v>
      </c>
      <c r="AD978" s="40">
        <f t="shared" si="434"/>
        <v>0</v>
      </c>
      <c r="AE978" s="40">
        <f t="shared" si="435"/>
        <v>0</v>
      </c>
      <c r="AF978" s="40">
        <f t="shared" si="436"/>
        <v>0</v>
      </c>
      <c r="AG978" s="40">
        <f t="shared" si="437"/>
        <v>0</v>
      </c>
      <c r="AH978" s="40">
        <f t="shared" si="438"/>
        <v>0</v>
      </c>
      <c r="AI978" s="40">
        <f t="shared" si="439"/>
        <v>0</v>
      </c>
      <c r="AJ978" s="40">
        <f t="shared" si="440"/>
        <v>1</v>
      </c>
      <c r="AK978" s="40">
        <f t="shared" si="441"/>
        <v>0</v>
      </c>
      <c r="AL978" s="40">
        <f t="shared" si="442"/>
        <v>0</v>
      </c>
      <c r="AM978" s="40">
        <f t="shared" si="443"/>
        <v>0</v>
      </c>
      <c r="AN978" s="40">
        <f t="shared" si="444"/>
        <v>0</v>
      </c>
      <c r="AO978" s="40">
        <f t="shared" si="445"/>
        <v>0</v>
      </c>
      <c r="AP978" s="40">
        <f t="shared" si="446"/>
        <v>0</v>
      </c>
      <c r="AQ978" s="40">
        <f t="shared" si="447"/>
        <v>0</v>
      </c>
      <c r="AR978" s="40">
        <f t="shared" si="448"/>
        <v>0</v>
      </c>
      <c r="AS978" s="40">
        <f t="shared" si="449"/>
        <v>0</v>
      </c>
    </row>
    <row r="979" spans="2:45" ht="14.4" customHeight="1" x14ac:dyDescent="0.25">
      <c r="B979" s="56" t="s">
        <v>45</v>
      </c>
      <c r="C979" s="57" t="s">
        <v>25</v>
      </c>
      <c r="D979" s="58" t="s">
        <v>37</v>
      </c>
      <c r="E979" s="62">
        <v>2.7200000000000006E-3</v>
      </c>
      <c r="F979" s="65">
        <f t="shared" si="450"/>
        <v>-5.9071233986742309</v>
      </c>
      <c r="S979" s="40">
        <f t="shared" si="423"/>
        <v>0</v>
      </c>
      <c r="T979" s="40">
        <f t="shared" si="424"/>
        <v>0</v>
      </c>
      <c r="U979" s="40">
        <f t="shared" si="425"/>
        <v>0</v>
      </c>
      <c r="V979" s="40">
        <f t="shared" si="426"/>
        <v>1</v>
      </c>
      <c r="W979" s="40">
        <f t="shared" si="427"/>
        <v>0</v>
      </c>
      <c r="X979" s="40">
        <f t="shared" si="428"/>
        <v>0</v>
      </c>
      <c r="Y979" s="40">
        <f t="shared" si="429"/>
        <v>0</v>
      </c>
      <c r="Z979" s="40">
        <f t="shared" si="430"/>
        <v>0</v>
      </c>
      <c r="AA979" s="40">
        <f t="shared" si="431"/>
        <v>0</v>
      </c>
      <c r="AB979" s="40">
        <f t="shared" si="432"/>
        <v>1</v>
      </c>
      <c r="AC979" s="40">
        <f t="shared" si="433"/>
        <v>0</v>
      </c>
      <c r="AD979" s="40">
        <f t="shared" si="434"/>
        <v>0</v>
      </c>
      <c r="AE979" s="40">
        <f t="shared" si="435"/>
        <v>0</v>
      </c>
      <c r="AF979" s="40">
        <f t="shared" si="436"/>
        <v>0</v>
      </c>
      <c r="AG979" s="40">
        <f t="shared" si="437"/>
        <v>0</v>
      </c>
      <c r="AH979" s="40">
        <f t="shared" si="438"/>
        <v>0</v>
      </c>
      <c r="AI979" s="40">
        <f t="shared" si="439"/>
        <v>0</v>
      </c>
      <c r="AJ979" s="40">
        <f t="shared" si="440"/>
        <v>0</v>
      </c>
      <c r="AK979" s="40">
        <f t="shared" si="441"/>
        <v>0</v>
      </c>
      <c r="AL979" s="40">
        <f t="shared" si="442"/>
        <v>0</v>
      </c>
      <c r="AM979" s="40">
        <f t="shared" si="443"/>
        <v>0</v>
      </c>
      <c r="AN979" s="40">
        <f t="shared" si="444"/>
        <v>0</v>
      </c>
      <c r="AO979" s="40">
        <f t="shared" si="445"/>
        <v>0</v>
      </c>
      <c r="AP979" s="40">
        <f t="shared" si="446"/>
        <v>0</v>
      </c>
      <c r="AQ979" s="40">
        <f t="shared" si="447"/>
        <v>0</v>
      </c>
      <c r="AR979" s="40">
        <f t="shared" si="448"/>
        <v>0</v>
      </c>
      <c r="AS979" s="40">
        <f t="shared" si="449"/>
        <v>1</v>
      </c>
    </row>
    <row r="980" spans="2:45" ht="14.4" customHeight="1" x14ac:dyDescent="0.25">
      <c r="B980" s="56" t="s">
        <v>45</v>
      </c>
      <c r="C980" s="57" t="s">
        <v>25</v>
      </c>
      <c r="D980" s="58" t="s">
        <v>22</v>
      </c>
      <c r="E980" s="62">
        <v>3.7200000000000011E-3</v>
      </c>
      <c r="F980" s="65">
        <f t="shared" si="450"/>
        <v>-5.5940316106970815</v>
      </c>
      <c r="S980" s="40">
        <f t="shared" si="423"/>
        <v>0</v>
      </c>
      <c r="T980" s="40">
        <f t="shared" si="424"/>
        <v>0</v>
      </c>
      <c r="U980" s="40">
        <f t="shared" si="425"/>
        <v>0</v>
      </c>
      <c r="V980" s="40">
        <f t="shared" si="426"/>
        <v>1</v>
      </c>
      <c r="W980" s="40">
        <f t="shared" si="427"/>
        <v>0</v>
      </c>
      <c r="X980" s="40">
        <f t="shared" si="428"/>
        <v>0</v>
      </c>
      <c r="Y980" s="40">
        <f t="shared" si="429"/>
        <v>0</v>
      </c>
      <c r="Z980" s="40">
        <f t="shared" si="430"/>
        <v>0</v>
      </c>
      <c r="AA980" s="40">
        <f t="shared" si="431"/>
        <v>0</v>
      </c>
      <c r="AB980" s="40">
        <f t="shared" si="432"/>
        <v>1</v>
      </c>
      <c r="AC980" s="40">
        <f t="shared" si="433"/>
        <v>0</v>
      </c>
      <c r="AD980" s="40">
        <f t="shared" si="434"/>
        <v>0</v>
      </c>
      <c r="AE980" s="40">
        <f t="shared" si="435"/>
        <v>0</v>
      </c>
      <c r="AF980" s="40">
        <f t="shared" si="436"/>
        <v>0</v>
      </c>
      <c r="AG980" s="40">
        <f t="shared" si="437"/>
        <v>0</v>
      </c>
      <c r="AH980" s="40">
        <f t="shared" si="438"/>
        <v>0</v>
      </c>
      <c r="AI980" s="40">
        <f t="shared" si="439"/>
        <v>0</v>
      </c>
      <c r="AJ980" s="40">
        <f t="shared" si="440"/>
        <v>0</v>
      </c>
      <c r="AK980" s="40">
        <f t="shared" si="441"/>
        <v>0</v>
      </c>
      <c r="AL980" s="40">
        <f t="shared" si="442"/>
        <v>0</v>
      </c>
      <c r="AM980" s="40">
        <f t="shared" si="443"/>
        <v>0</v>
      </c>
      <c r="AN980" s="40">
        <f t="shared" si="444"/>
        <v>0</v>
      </c>
      <c r="AO980" s="40">
        <f t="shared" si="445"/>
        <v>0</v>
      </c>
      <c r="AP980" s="40">
        <f t="shared" si="446"/>
        <v>0</v>
      </c>
      <c r="AQ980" s="40">
        <f t="shared" si="447"/>
        <v>0</v>
      </c>
      <c r="AR980" s="40">
        <f t="shared" si="448"/>
        <v>0</v>
      </c>
      <c r="AS980" s="40">
        <f t="shared" si="449"/>
        <v>1</v>
      </c>
    </row>
    <row r="981" spans="2:45" ht="14.4" customHeight="1" x14ac:dyDescent="0.25">
      <c r="B981" s="56" t="s">
        <v>45</v>
      </c>
      <c r="C981" s="57" t="s">
        <v>25</v>
      </c>
      <c r="D981" s="58" t="s">
        <v>22</v>
      </c>
      <c r="E981" s="62">
        <v>9.0500000000000025E-3</v>
      </c>
      <c r="F981" s="65">
        <f t="shared" si="450"/>
        <v>-4.704990521270302</v>
      </c>
      <c r="S981" s="40">
        <f t="shared" si="423"/>
        <v>0</v>
      </c>
      <c r="T981" s="40">
        <f t="shared" si="424"/>
        <v>0</v>
      </c>
      <c r="U981" s="40">
        <f t="shared" si="425"/>
        <v>0</v>
      </c>
      <c r="V981" s="40">
        <f t="shared" si="426"/>
        <v>1</v>
      </c>
      <c r="W981" s="40">
        <f t="shared" si="427"/>
        <v>0</v>
      </c>
      <c r="X981" s="40">
        <f t="shared" si="428"/>
        <v>0</v>
      </c>
      <c r="Y981" s="40">
        <f t="shared" si="429"/>
        <v>0</v>
      </c>
      <c r="Z981" s="40">
        <f t="shared" si="430"/>
        <v>0</v>
      </c>
      <c r="AA981" s="40">
        <f t="shared" si="431"/>
        <v>0</v>
      </c>
      <c r="AB981" s="40">
        <f t="shared" si="432"/>
        <v>1</v>
      </c>
      <c r="AC981" s="40">
        <f t="shared" si="433"/>
        <v>0</v>
      </c>
      <c r="AD981" s="40">
        <f t="shared" si="434"/>
        <v>0</v>
      </c>
      <c r="AE981" s="40">
        <f t="shared" si="435"/>
        <v>0</v>
      </c>
      <c r="AF981" s="40">
        <f t="shared" si="436"/>
        <v>0</v>
      </c>
      <c r="AG981" s="40">
        <f t="shared" si="437"/>
        <v>0</v>
      </c>
      <c r="AH981" s="40">
        <f t="shared" si="438"/>
        <v>0</v>
      </c>
      <c r="AI981" s="40">
        <f t="shared" si="439"/>
        <v>0</v>
      </c>
      <c r="AJ981" s="40">
        <f t="shared" si="440"/>
        <v>0</v>
      </c>
      <c r="AK981" s="40">
        <f t="shared" si="441"/>
        <v>0</v>
      </c>
      <c r="AL981" s="40">
        <f t="shared" si="442"/>
        <v>1</v>
      </c>
      <c r="AM981" s="40">
        <f t="shared" si="443"/>
        <v>0</v>
      </c>
      <c r="AN981" s="40">
        <f t="shared" si="444"/>
        <v>0</v>
      </c>
      <c r="AO981" s="40">
        <f t="shared" si="445"/>
        <v>0</v>
      </c>
      <c r="AP981" s="40">
        <f t="shared" si="446"/>
        <v>0</v>
      </c>
      <c r="AQ981" s="40">
        <f t="shared" si="447"/>
        <v>0</v>
      </c>
      <c r="AR981" s="40">
        <f t="shared" si="448"/>
        <v>0</v>
      </c>
      <c r="AS981" s="40">
        <f t="shared" si="449"/>
        <v>0</v>
      </c>
    </row>
    <row r="982" spans="2:45" ht="14.4" customHeight="1" x14ac:dyDescent="0.25">
      <c r="B982" s="56" t="s">
        <v>45</v>
      </c>
      <c r="C982" s="57" t="s">
        <v>25</v>
      </c>
      <c r="D982" s="58" t="s">
        <v>24</v>
      </c>
      <c r="E982" s="62">
        <v>1.2759999999999997E-2</v>
      </c>
      <c r="F982" s="65">
        <f t="shared" si="450"/>
        <v>-4.3614400010654935</v>
      </c>
      <c r="S982" s="40">
        <f t="shared" si="423"/>
        <v>0</v>
      </c>
      <c r="T982" s="40">
        <f t="shared" si="424"/>
        <v>0</v>
      </c>
      <c r="U982" s="40">
        <f t="shared" si="425"/>
        <v>0</v>
      </c>
      <c r="V982" s="40">
        <f t="shared" si="426"/>
        <v>1</v>
      </c>
      <c r="W982" s="40">
        <f t="shared" si="427"/>
        <v>0</v>
      </c>
      <c r="X982" s="40">
        <f t="shared" si="428"/>
        <v>0</v>
      </c>
      <c r="Y982" s="40">
        <f t="shared" si="429"/>
        <v>0</v>
      </c>
      <c r="Z982" s="40">
        <f t="shared" si="430"/>
        <v>0</v>
      </c>
      <c r="AA982" s="40">
        <f t="shared" si="431"/>
        <v>0</v>
      </c>
      <c r="AB982" s="40">
        <f t="shared" si="432"/>
        <v>1</v>
      </c>
      <c r="AC982" s="40">
        <f t="shared" si="433"/>
        <v>0</v>
      </c>
      <c r="AD982" s="40">
        <f t="shared" si="434"/>
        <v>0</v>
      </c>
      <c r="AE982" s="40">
        <f t="shared" si="435"/>
        <v>0</v>
      </c>
      <c r="AF982" s="40">
        <f t="shared" si="436"/>
        <v>0</v>
      </c>
      <c r="AG982" s="40">
        <f t="shared" si="437"/>
        <v>0</v>
      </c>
      <c r="AH982" s="40">
        <f t="shared" si="438"/>
        <v>0</v>
      </c>
      <c r="AI982" s="40">
        <f t="shared" si="439"/>
        <v>0</v>
      </c>
      <c r="AJ982" s="40">
        <f t="shared" si="440"/>
        <v>0</v>
      </c>
      <c r="AK982" s="40">
        <f t="shared" si="441"/>
        <v>0</v>
      </c>
      <c r="AL982" s="40">
        <f t="shared" si="442"/>
        <v>0</v>
      </c>
      <c r="AM982" s="40">
        <f t="shared" si="443"/>
        <v>0</v>
      </c>
      <c r="AN982" s="40">
        <f t="shared" si="444"/>
        <v>0</v>
      </c>
      <c r="AO982" s="40">
        <f t="shared" si="445"/>
        <v>1</v>
      </c>
      <c r="AP982" s="40">
        <f t="shared" si="446"/>
        <v>0</v>
      </c>
      <c r="AQ982" s="40">
        <f t="shared" si="447"/>
        <v>0</v>
      </c>
      <c r="AR982" s="40">
        <f t="shared" si="448"/>
        <v>0</v>
      </c>
      <c r="AS982" s="40">
        <f t="shared" si="449"/>
        <v>0</v>
      </c>
    </row>
    <row r="983" spans="2:45" ht="14.4" customHeight="1" x14ac:dyDescent="0.25">
      <c r="B983" s="56" t="s">
        <v>45</v>
      </c>
      <c r="C983" s="57" t="s">
        <v>25</v>
      </c>
      <c r="D983" s="58" t="s">
        <v>31</v>
      </c>
      <c r="E983" s="62">
        <v>7.9000000000000008E-3</v>
      </c>
      <c r="F983" s="65">
        <f t="shared" si="450"/>
        <v>-4.8408925195091612</v>
      </c>
      <c r="S983" s="40">
        <f t="shared" si="423"/>
        <v>0</v>
      </c>
      <c r="T983" s="40">
        <f t="shared" si="424"/>
        <v>0</v>
      </c>
      <c r="U983" s="40">
        <f t="shared" si="425"/>
        <v>0</v>
      </c>
      <c r="V983" s="40">
        <f t="shared" si="426"/>
        <v>1</v>
      </c>
      <c r="W983" s="40">
        <f t="shared" si="427"/>
        <v>0</v>
      </c>
      <c r="X983" s="40">
        <f t="shared" si="428"/>
        <v>0</v>
      </c>
      <c r="Y983" s="40">
        <f t="shared" si="429"/>
        <v>0</v>
      </c>
      <c r="Z983" s="40">
        <f t="shared" si="430"/>
        <v>0</v>
      </c>
      <c r="AA983" s="40">
        <f t="shared" si="431"/>
        <v>0</v>
      </c>
      <c r="AB983" s="40">
        <f t="shared" si="432"/>
        <v>1</v>
      </c>
      <c r="AC983" s="40">
        <f t="shared" si="433"/>
        <v>0</v>
      </c>
      <c r="AD983" s="40">
        <f t="shared" si="434"/>
        <v>0</v>
      </c>
      <c r="AE983" s="40">
        <f t="shared" si="435"/>
        <v>0</v>
      </c>
      <c r="AF983" s="40">
        <f t="shared" si="436"/>
        <v>0</v>
      </c>
      <c r="AG983" s="40">
        <f t="shared" si="437"/>
        <v>0</v>
      </c>
      <c r="AH983" s="40">
        <f t="shared" si="438"/>
        <v>0</v>
      </c>
      <c r="AI983" s="40">
        <f t="shared" si="439"/>
        <v>0</v>
      </c>
      <c r="AJ983" s="40">
        <f t="shared" si="440"/>
        <v>1</v>
      </c>
      <c r="AK983" s="40">
        <f t="shared" si="441"/>
        <v>0</v>
      </c>
      <c r="AL983" s="40">
        <f t="shared" si="442"/>
        <v>0</v>
      </c>
      <c r="AM983" s="40">
        <f t="shared" si="443"/>
        <v>0</v>
      </c>
      <c r="AN983" s="40">
        <f t="shared" si="444"/>
        <v>0</v>
      </c>
      <c r="AO983" s="40">
        <f t="shared" si="445"/>
        <v>0</v>
      </c>
      <c r="AP983" s="40">
        <f t="shared" si="446"/>
        <v>0</v>
      </c>
      <c r="AQ983" s="40">
        <f t="shared" si="447"/>
        <v>0</v>
      </c>
      <c r="AR983" s="40">
        <f t="shared" si="448"/>
        <v>0</v>
      </c>
      <c r="AS983" s="40">
        <f t="shared" si="449"/>
        <v>0</v>
      </c>
    </row>
    <row r="984" spans="2:45" ht="14.4" customHeight="1" x14ac:dyDescent="0.25">
      <c r="B984" s="56" t="s">
        <v>45</v>
      </c>
      <c r="C984" s="57" t="s">
        <v>25</v>
      </c>
      <c r="D984" s="58" t="s">
        <v>37</v>
      </c>
      <c r="E984" s="62">
        <v>8.2299999999999977E-3</v>
      </c>
      <c r="F984" s="65">
        <f t="shared" si="450"/>
        <v>-4.7999692642931588</v>
      </c>
      <c r="S984" s="40">
        <f t="shared" si="423"/>
        <v>0</v>
      </c>
      <c r="T984" s="40">
        <f t="shared" si="424"/>
        <v>0</v>
      </c>
      <c r="U984" s="40">
        <f t="shared" si="425"/>
        <v>0</v>
      </c>
      <c r="V984" s="40">
        <f t="shared" si="426"/>
        <v>1</v>
      </c>
      <c r="W984" s="40">
        <f t="shared" si="427"/>
        <v>0</v>
      </c>
      <c r="X984" s="40">
        <f t="shared" si="428"/>
        <v>0</v>
      </c>
      <c r="Y984" s="40">
        <f t="shared" si="429"/>
        <v>0</v>
      </c>
      <c r="Z984" s="40">
        <f t="shared" si="430"/>
        <v>0</v>
      </c>
      <c r="AA984" s="40">
        <f t="shared" si="431"/>
        <v>0</v>
      </c>
      <c r="AB984" s="40">
        <f t="shared" si="432"/>
        <v>1</v>
      </c>
      <c r="AC984" s="40">
        <f t="shared" si="433"/>
        <v>0</v>
      </c>
      <c r="AD984" s="40">
        <f t="shared" si="434"/>
        <v>0</v>
      </c>
      <c r="AE984" s="40">
        <f t="shared" si="435"/>
        <v>0</v>
      </c>
      <c r="AF984" s="40">
        <f t="shared" si="436"/>
        <v>0</v>
      </c>
      <c r="AG984" s="40">
        <f t="shared" si="437"/>
        <v>0</v>
      </c>
      <c r="AH984" s="40">
        <f t="shared" si="438"/>
        <v>0</v>
      </c>
      <c r="AI984" s="40">
        <f t="shared" si="439"/>
        <v>0</v>
      </c>
      <c r="AJ984" s="40">
        <f t="shared" si="440"/>
        <v>0</v>
      </c>
      <c r="AK984" s="40">
        <f t="shared" si="441"/>
        <v>1</v>
      </c>
      <c r="AL984" s="40">
        <f t="shared" si="442"/>
        <v>0</v>
      </c>
      <c r="AM984" s="40">
        <f t="shared" si="443"/>
        <v>0</v>
      </c>
      <c r="AN984" s="40">
        <f t="shared" si="444"/>
        <v>0</v>
      </c>
      <c r="AO984" s="40">
        <f t="shared" si="445"/>
        <v>0</v>
      </c>
      <c r="AP984" s="40">
        <f t="shared" si="446"/>
        <v>0</v>
      </c>
      <c r="AQ984" s="40">
        <f t="shared" si="447"/>
        <v>0</v>
      </c>
      <c r="AR984" s="40">
        <f t="shared" si="448"/>
        <v>0</v>
      </c>
      <c r="AS984" s="40">
        <f t="shared" si="449"/>
        <v>0</v>
      </c>
    </row>
    <row r="985" spans="2:45" ht="14.4" customHeight="1" x14ac:dyDescent="0.25">
      <c r="B985" s="56" t="s">
        <v>45</v>
      </c>
      <c r="C985" s="57" t="s">
        <v>25</v>
      </c>
      <c r="D985" s="58" t="s">
        <v>32</v>
      </c>
      <c r="E985" s="62">
        <v>7.8499999999999959E-3</v>
      </c>
      <c r="F985" s="65">
        <f t="shared" si="450"/>
        <v>-4.8472417471878204</v>
      </c>
      <c r="S985" s="40">
        <f t="shared" si="423"/>
        <v>0</v>
      </c>
      <c r="T985" s="40">
        <f t="shared" si="424"/>
        <v>0</v>
      </c>
      <c r="U985" s="40">
        <f t="shared" si="425"/>
        <v>0</v>
      </c>
      <c r="V985" s="40">
        <f t="shared" si="426"/>
        <v>1</v>
      </c>
      <c r="W985" s="40">
        <f t="shared" si="427"/>
        <v>0</v>
      </c>
      <c r="X985" s="40">
        <f t="shared" si="428"/>
        <v>0</v>
      </c>
      <c r="Y985" s="40">
        <f t="shared" si="429"/>
        <v>0</v>
      </c>
      <c r="Z985" s="40">
        <f t="shared" si="430"/>
        <v>0</v>
      </c>
      <c r="AA985" s="40">
        <f t="shared" si="431"/>
        <v>0</v>
      </c>
      <c r="AB985" s="40">
        <f t="shared" si="432"/>
        <v>1</v>
      </c>
      <c r="AC985" s="40">
        <f t="shared" si="433"/>
        <v>0</v>
      </c>
      <c r="AD985" s="40">
        <f t="shared" si="434"/>
        <v>0</v>
      </c>
      <c r="AE985" s="40">
        <f t="shared" si="435"/>
        <v>0</v>
      </c>
      <c r="AF985" s="40">
        <f t="shared" si="436"/>
        <v>0</v>
      </c>
      <c r="AG985" s="40">
        <f t="shared" si="437"/>
        <v>0</v>
      </c>
      <c r="AH985" s="40">
        <f t="shared" si="438"/>
        <v>0</v>
      </c>
      <c r="AI985" s="40">
        <f t="shared" si="439"/>
        <v>0</v>
      </c>
      <c r="AJ985" s="40">
        <f t="shared" si="440"/>
        <v>0</v>
      </c>
      <c r="AK985" s="40">
        <f t="shared" si="441"/>
        <v>0</v>
      </c>
      <c r="AL985" s="40">
        <f t="shared" si="442"/>
        <v>0</v>
      </c>
      <c r="AM985" s="40">
        <f t="shared" si="443"/>
        <v>0</v>
      </c>
      <c r="AN985" s="40">
        <f t="shared" si="444"/>
        <v>0</v>
      </c>
      <c r="AO985" s="40">
        <f t="shared" si="445"/>
        <v>0</v>
      </c>
      <c r="AP985" s="40">
        <f t="shared" si="446"/>
        <v>0</v>
      </c>
      <c r="AQ985" s="40">
        <f t="shared" si="447"/>
        <v>0</v>
      </c>
      <c r="AR985" s="40">
        <f t="shared" si="448"/>
        <v>0</v>
      </c>
      <c r="AS985" s="40">
        <f t="shared" si="449"/>
        <v>1</v>
      </c>
    </row>
    <row r="986" spans="2:45" ht="14.4" customHeight="1" x14ac:dyDescent="0.25">
      <c r="B986" s="56" t="s">
        <v>45</v>
      </c>
      <c r="C986" s="57" t="s">
        <v>25</v>
      </c>
      <c r="D986" s="58" t="s">
        <v>22</v>
      </c>
      <c r="E986" s="62">
        <v>6.499999999999998E-3</v>
      </c>
      <c r="F986" s="65">
        <f t="shared" si="450"/>
        <v>-5.0359531020805459</v>
      </c>
      <c r="S986" s="40">
        <f t="shared" si="423"/>
        <v>0</v>
      </c>
      <c r="T986" s="40">
        <f t="shared" si="424"/>
        <v>0</v>
      </c>
      <c r="U986" s="40">
        <f t="shared" si="425"/>
        <v>0</v>
      </c>
      <c r="V986" s="40">
        <f t="shared" si="426"/>
        <v>1</v>
      </c>
      <c r="W986" s="40">
        <f t="shared" si="427"/>
        <v>0</v>
      </c>
      <c r="X986" s="40">
        <f t="shared" si="428"/>
        <v>0</v>
      </c>
      <c r="Y986" s="40">
        <f t="shared" si="429"/>
        <v>0</v>
      </c>
      <c r="Z986" s="40">
        <f t="shared" si="430"/>
        <v>0</v>
      </c>
      <c r="AA986" s="40">
        <f t="shared" si="431"/>
        <v>0</v>
      </c>
      <c r="AB986" s="40">
        <f t="shared" si="432"/>
        <v>1</v>
      </c>
      <c r="AC986" s="40">
        <f t="shared" si="433"/>
        <v>0</v>
      </c>
      <c r="AD986" s="40">
        <f t="shared" si="434"/>
        <v>0</v>
      </c>
      <c r="AE986" s="40">
        <f t="shared" si="435"/>
        <v>0</v>
      </c>
      <c r="AF986" s="40">
        <f t="shared" si="436"/>
        <v>0</v>
      </c>
      <c r="AG986" s="40">
        <f t="shared" si="437"/>
        <v>0</v>
      </c>
      <c r="AH986" s="40">
        <f t="shared" si="438"/>
        <v>0</v>
      </c>
      <c r="AI986" s="40">
        <f t="shared" si="439"/>
        <v>0</v>
      </c>
      <c r="AJ986" s="40">
        <f t="shared" si="440"/>
        <v>0</v>
      </c>
      <c r="AK986" s="40">
        <f t="shared" si="441"/>
        <v>0</v>
      </c>
      <c r="AL986" s="40">
        <f t="shared" si="442"/>
        <v>1</v>
      </c>
      <c r="AM986" s="40">
        <f t="shared" si="443"/>
        <v>0</v>
      </c>
      <c r="AN986" s="40">
        <f t="shared" si="444"/>
        <v>0</v>
      </c>
      <c r="AO986" s="40">
        <f t="shared" si="445"/>
        <v>0</v>
      </c>
      <c r="AP986" s="40">
        <f t="shared" si="446"/>
        <v>0</v>
      </c>
      <c r="AQ986" s="40">
        <f t="shared" si="447"/>
        <v>0</v>
      </c>
      <c r="AR986" s="40">
        <f t="shared" si="448"/>
        <v>0</v>
      </c>
      <c r="AS986" s="40">
        <f t="shared" si="449"/>
        <v>0</v>
      </c>
    </row>
    <row r="987" spans="2:45" ht="14.4" customHeight="1" x14ac:dyDescent="0.25">
      <c r="B987" s="56" t="s">
        <v>45</v>
      </c>
      <c r="C987" s="57" t="s">
        <v>25</v>
      </c>
      <c r="D987" s="58" t="s">
        <v>24</v>
      </c>
      <c r="E987" s="62">
        <v>1.0070000000000003E-2</v>
      </c>
      <c r="F987" s="65">
        <f t="shared" si="450"/>
        <v>-4.5981945722516659</v>
      </c>
      <c r="S987" s="40">
        <f t="shared" si="423"/>
        <v>0</v>
      </c>
      <c r="T987" s="40">
        <f t="shared" si="424"/>
        <v>0</v>
      </c>
      <c r="U987" s="40">
        <f t="shared" si="425"/>
        <v>0</v>
      </c>
      <c r="V987" s="40">
        <f t="shared" si="426"/>
        <v>1</v>
      </c>
      <c r="W987" s="40">
        <f t="shared" si="427"/>
        <v>0</v>
      </c>
      <c r="X987" s="40">
        <f t="shared" si="428"/>
        <v>0</v>
      </c>
      <c r="Y987" s="40">
        <f t="shared" si="429"/>
        <v>0</v>
      </c>
      <c r="Z987" s="40">
        <f t="shared" si="430"/>
        <v>0</v>
      </c>
      <c r="AA987" s="40">
        <f t="shared" si="431"/>
        <v>0</v>
      </c>
      <c r="AB987" s="40">
        <f t="shared" si="432"/>
        <v>1</v>
      </c>
      <c r="AC987" s="40">
        <f t="shared" si="433"/>
        <v>0</v>
      </c>
      <c r="AD987" s="40">
        <f t="shared" si="434"/>
        <v>0</v>
      </c>
      <c r="AE987" s="40">
        <f t="shared" si="435"/>
        <v>0</v>
      </c>
      <c r="AF987" s="40">
        <f t="shared" si="436"/>
        <v>0</v>
      </c>
      <c r="AG987" s="40">
        <f t="shared" si="437"/>
        <v>0</v>
      </c>
      <c r="AH987" s="40">
        <f t="shared" si="438"/>
        <v>0</v>
      </c>
      <c r="AI987" s="40">
        <f t="shared" si="439"/>
        <v>0</v>
      </c>
      <c r="AJ987" s="40">
        <f t="shared" si="440"/>
        <v>1</v>
      </c>
      <c r="AK987" s="40">
        <f t="shared" si="441"/>
        <v>0</v>
      </c>
      <c r="AL987" s="40">
        <f t="shared" si="442"/>
        <v>0</v>
      </c>
      <c r="AM987" s="40">
        <f t="shared" si="443"/>
        <v>0</v>
      </c>
      <c r="AN987" s="40">
        <f t="shared" si="444"/>
        <v>0</v>
      </c>
      <c r="AO987" s="40">
        <f t="shared" si="445"/>
        <v>0</v>
      </c>
      <c r="AP987" s="40">
        <f t="shared" si="446"/>
        <v>0</v>
      </c>
      <c r="AQ987" s="40">
        <f t="shared" si="447"/>
        <v>0</v>
      </c>
      <c r="AR987" s="40">
        <f t="shared" si="448"/>
        <v>0</v>
      </c>
      <c r="AS987" s="40">
        <f t="shared" si="449"/>
        <v>0</v>
      </c>
    </row>
    <row r="988" spans="2:45" ht="14.4" customHeight="1" x14ac:dyDescent="0.25">
      <c r="B988" s="56" t="s">
        <v>45</v>
      </c>
      <c r="C988" s="57" t="s">
        <v>25</v>
      </c>
      <c r="D988" s="58" t="s">
        <v>37</v>
      </c>
      <c r="E988" s="62">
        <v>1.0499999999999997E-2</v>
      </c>
      <c r="F988" s="65">
        <f t="shared" si="450"/>
        <v>-4.5563800218186596</v>
      </c>
      <c r="S988" s="40">
        <f t="shared" si="423"/>
        <v>0</v>
      </c>
      <c r="T988" s="40">
        <f t="shared" si="424"/>
        <v>0</v>
      </c>
      <c r="U988" s="40">
        <f t="shared" si="425"/>
        <v>0</v>
      </c>
      <c r="V988" s="40">
        <f t="shared" si="426"/>
        <v>1</v>
      </c>
      <c r="W988" s="40">
        <f t="shared" si="427"/>
        <v>0</v>
      </c>
      <c r="X988" s="40">
        <f t="shared" si="428"/>
        <v>0</v>
      </c>
      <c r="Y988" s="40">
        <f t="shared" si="429"/>
        <v>0</v>
      </c>
      <c r="Z988" s="40">
        <f t="shared" si="430"/>
        <v>0</v>
      </c>
      <c r="AA988" s="40">
        <f t="shared" si="431"/>
        <v>0</v>
      </c>
      <c r="AB988" s="40">
        <f t="shared" si="432"/>
        <v>1</v>
      </c>
      <c r="AC988" s="40">
        <f t="shared" si="433"/>
        <v>0</v>
      </c>
      <c r="AD988" s="40">
        <f t="shared" si="434"/>
        <v>0</v>
      </c>
      <c r="AE988" s="40">
        <f t="shared" si="435"/>
        <v>0</v>
      </c>
      <c r="AF988" s="40">
        <f t="shared" si="436"/>
        <v>0</v>
      </c>
      <c r="AG988" s="40">
        <f t="shared" si="437"/>
        <v>0</v>
      </c>
      <c r="AH988" s="40">
        <f t="shared" si="438"/>
        <v>0</v>
      </c>
      <c r="AI988" s="40">
        <f t="shared" si="439"/>
        <v>0</v>
      </c>
      <c r="AJ988" s="40">
        <f t="shared" si="440"/>
        <v>1</v>
      </c>
      <c r="AK988" s="40">
        <f t="shared" si="441"/>
        <v>0</v>
      </c>
      <c r="AL988" s="40">
        <f t="shared" si="442"/>
        <v>0</v>
      </c>
      <c r="AM988" s="40">
        <f t="shared" si="443"/>
        <v>0</v>
      </c>
      <c r="AN988" s="40">
        <f t="shared" si="444"/>
        <v>0</v>
      </c>
      <c r="AO988" s="40">
        <f t="shared" si="445"/>
        <v>0</v>
      </c>
      <c r="AP988" s="40">
        <f t="shared" si="446"/>
        <v>0</v>
      </c>
      <c r="AQ988" s="40">
        <f t="shared" si="447"/>
        <v>0</v>
      </c>
      <c r="AR988" s="40">
        <f t="shared" si="448"/>
        <v>0</v>
      </c>
      <c r="AS988" s="40">
        <f t="shared" si="449"/>
        <v>0</v>
      </c>
    </row>
    <row r="989" spans="2:45" ht="14.4" customHeight="1" x14ac:dyDescent="0.25">
      <c r="B989" s="56" t="s">
        <v>45</v>
      </c>
      <c r="C989" s="57" t="s">
        <v>25</v>
      </c>
      <c r="D989" s="58" t="s">
        <v>37</v>
      </c>
      <c r="E989" s="62">
        <v>5.5499999999999985E-3</v>
      </c>
      <c r="F989" s="65">
        <f t="shared" si="450"/>
        <v>-5.1939573512237942</v>
      </c>
      <c r="S989" s="40">
        <f t="shared" si="423"/>
        <v>0</v>
      </c>
      <c r="T989" s="40">
        <f t="shared" si="424"/>
        <v>0</v>
      </c>
      <c r="U989" s="40">
        <f t="shared" si="425"/>
        <v>0</v>
      </c>
      <c r="V989" s="40">
        <f t="shared" si="426"/>
        <v>1</v>
      </c>
      <c r="W989" s="40">
        <f t="shared" si="427"/>
        <v>0</v>
      </c>
      <c r="X989" s="40">
        <f t="shared" si="428"/>
        <v>0</v>
      </c>
      <c r="Y989" s="40">
        <f t="shared" si="429"/>
        <v>0</v>
      </c>
      <c r="Z989" s="40">
        <f t="shared" si="430"/>
        <v>0</v>
      </c>
      <c r="AA989" s="40">
        <f t="shared" si="431"/>
        <v>0</v>
      </c>
      <c r="AB989" s="40">
        <f t="shared" si="432"/>
        <v>1</v>
      </c>
      <c r="AC989" s="40">
        <f t="shared" si="433"/>
        <v>0</v>
      </c>
      <c r="AD989" s="40">
        <f t="shared" si="434"/>
        <v>0</v>
      </c>
      <c r="AE989" s="40">
        <f t="shared" si="435"/>
        <v>0</v>
      </c>
      <c r="AF989" s="40">
        <f t="shared" si="436"/>
        <v>0</v>
      </c>
      <c r="AG989" s="40">
        <f t="shared" si="437"/>
        <v>0</v>
      </c>
      <c r="AH989" s="40">
        <f t="shared" si="438"/>
        <v>1</v>
      </c>
      <c r="AI989" s="40">
        <f t="shared" si="439"/>
        <v>0</v>
      </c>
      <c r="AJ989" s="40">
        <f t="shared" si="440"/>
        <v>0</v>
      </c>
      <c r="AK989" s="40">
        <f t="shared" si="441"/>
        <v>0</v>
      </c>
      <c r="AL989" s="40">
        <f t="shared" si="442"/>
        <v>0</v>
      </c>
      <c r="AM989" s="40">
        <f t="shared" si="443"/>
        <v>0</v>
      </c>
      <c r="AN989" s="40">
        <f t="shared" si="444"/>
        <v>0</v>
      </c>
      <c r="AO989" s="40">
        <f t="shared" si="445"/>
        <v>0</v>
      </c>
      <c r="AP989" s="40">
        <f t="shared" si="446"/>
        <v>0</v>
      </c>
      <c r="AQ989" s="40">
        <f t="shared" si="447"/>
        <v>0</v>
      </c>
      <c r="AR989" s="40">
        <f t="shared" si="448"/>
        <v>0</v>
      </c>
      <c r="AS989" s="40">
        <f t="shared" si="449"/>
        <v>0</v>
      </c>
    </row>
    <row r="990" spans="2:45" ht="14.4" customHeight="1" x14ac:dyDescent="0.25">
      <c r="B990" s="56" t="s">
        <v>45</v>
      </c>
      <c r="C990" s="57" t="s">
        <v>25</v>
      </c>
      <c r="D990" s="58" t="s">
        <v>27</v>
      </c>
      <c r="E990" s="62">
        <v>1.1480000000000002E-2</v>
      </c>
      <c r="F990" s="65">
        <f t="shared" si="450"/>
        <v>-4.4671488880907164</v>
      </c>
      <c r="S990" s="40">
        <f t="shared" si="423"/>
        <v>0</v>
      </c>
      <c r="T990" s="40">
        <f t="shared" si="424"/>
        <v>0</v>
      </c>
      <c r="U990" s="40">
        <f t="shared" si="425"/>
        <v>0</v>
      </c>
      <c r="V990" s="40">
        <f t="shared" si="426"/>
        <v>1</v>
      </c>
      <c r="W990" s="40">
        <f t="shared" si="427"/>
        <v>0</v>
      </c>
      <c r="X990" s="40">
        <f t="shared" si="428"/>
        <v>0</v>
      </c>
      <c r="Y990" s="40">
        <f t="shared" si="429"/>
        <v>0</v>
      </c>
      <c r="Z990" s="40">
        <f t="shared" si="430"/>
        <v>0</v>
      </c>
      <c r="AA990" s="40">
        <f t="shared" si="431"/>
        <v>0</v>
      </c>
      <c r="AB990" s="40">
        <f t="shared" si="432"/>
        <v>1</v>
      </c>
      <c r="AC990" s="40">
        <f t="shared" si="433"/>
        <v>0</v>
      </c>
      <c r="AD990" s="40">
        <f t="shared" si="434"/>
        <v>0</v>
      </c>
      <c r="AE990" s="40">
        <f t="shared" si="435"/>
        <v>0</v>
      </c>
      <c r="AF990" s="40">
        <f t="shared" si="436"/>
        <v>0</v>
      </c>
      <c r="AG990" s="40">
        <f t="shared" si="437"/>
        <v>0</v>
      </c>
      <c r="AH990" s="40">
        <f t="shared" si="438"/>
        <v>0</v>
      </c>
      <c r="AI990" s="40">
        <f t="shared" si="439"/>
        <v>0</v>
      </c>
      <c r="AJ990" s="40">
        <f t="shared" si="440"/>
        <v>0</v>
      </c>
      <c r="AK990" s="40">
        <f t="shared" si="441"/>
        <v>0</v>
      </c>
      <c r="AL990" s="40">
        <f t="shared" si="442"/>
        <v>0</v>
      </c>
      <c r="AM990" s="40">
        <f t="shared" si="443"/>
        <v>0</v>
      </c>
      <c r="AN990" s="40">
        <f t="shared" si="444"/>
        <v>0</v>
      </c>
      <c r="AO990" s="40">
        <f t="shared" si="445"/>
        <v>0</v>
      </c>
      <c r="AP990" s="40">
        <f t="shared" si="446"/>
        <v>0</v>
      </c>
      <c r="AQ990" s="40">
        <f t="shared" si="447"/>
        <v>0</v>
      </c>
      <c r="AR990" s="40">
        <f t="shared" si="448"/>
        <v>0</v>
      </c>
      <c r="AS990" s="40">
        <f t="shared" si="449"/>
        <v>1</v>
      </c>
    </row>
    <row r="991" spans="2:45" ht="14.4" customHeight="1" x14ac:dyDescent="0.25">
      <c r="B991" s="56" t="s">
        <v>45</v>
      </c>
      <c r="C991" s="57" t="s">
        <v>25</v>
      </c>
      <c r="D991" s="58" t="s">
        <v>22</v>
      </c>
      <c r="E991" s="62">
        <v>7.8900000000000029E-3</v>
      </c>
      <c r="F991" s="65">
        <f t="shared" si="450"/>
        <v>-4.8421591441243539</v>
      </c>
      <c r="S991" s="40">
        <f t="shared" si="423"/>
        <v>0</v>
      </c>
      <c r="T991" s="40">
        <f t="shared" si="424"/>
        <v>0</v>
      </c>
      <c r="U991" s="40">
        <f t="shared" si="425"/>
        <v>0</v>
      </c>
      <c r="V991" s="40">
        <f t="shared" si="426"/>
        <v>1</v>
      </c>
      <c r="W991" s="40">
        <f t="shared" si="427"/>
        <v>0</v>
      </c>
      <c r="X991" s="40">
        <f t="shared" si="428"/>
        <v>0</v>
      </c>
      <c r="Y991" s="40">
        <f t="shared" si="429"/>
        <v>0</v>
      </c>
      <c r="Z991" s="40">
        <f t="shared" si="430"/>
        <v>0</v>
      </c>
      <c r="AA991" s="40">
        <f t="shared" si="431"/>
        <v>0</v>
      </c>
      <c r="AB991" s="40">
        <f t="shared" si="432"/>
        <v>1</v>
      </c>
      <c r="AC991" s="40">
        <f t="shared" si="433"/>
        <v>0</v>
      </c>
      <c r="AD991" s="40">
        <f t="shared" si="434"/>
        <v>0</v>
      </c>
      <c r="AE991" s="40">
        <f t="shared" si="435"/>
        <v>0</v>
      </c>
      <c r="AF991" s="40">
        <f t="shared" si="436"/>
        <v>0</v>
      </c>
      <c r="AG991" s="40">
        <f t="shared" si="437"/>
        <v>0</v>
      </c>
      <c r="AH991" s="40">
        <f t="shared" si="438"/>
        <v>0</v>
      </c>
      <c r="AI991" s="40">
        <f t="shared" si="439"/>
        <v>0</v>
      </c>
      <c r="AJ991" s="40">
        <f t="shared" si="440"/>
        <v>0</v>
      </c>
      <c r="AK991" s="40">
        <f t="shared" si="441"/>
        <v>0</v>
      </c>
      <c r="AL991" s="40">
        <f t="shared" si="442"/>
        <v>0</v>
      </c>
      <c r="AM991" s="40">
        <f t="shared" si="443"/>
        <v>0</v>
      </c>
      <c r="AN991" s="40">
        <f t="shared" si="444"/>
        <v>0</v>
      </c>
      <c r="AO991" s="40">
        <f t="shared" si="445"/>
        <v>1</v>
      </c>
      <c r="AP991" s="40">
        <f t="shared" si="446"/>
        <v>0</v>
      </c>
      <c r="AQ991" s="40">
        <f t="shared" si="447"/>
        <v>0</v>
      </c>
      <c r="AR991" s="40">
        <f t="shared" si="448"/>
        <v>0</v>
      </c>
      <c r="AS991" s="40">
        <f t="shared" si="449"/>
        <v>0</v>
      </c>
    </row>
    <row r="992" spans="2:45" ht="14.4" customHeight="1" x14ac:dyDescent="0.25">
      <c r="B992" s="56" t="s">
        <v>45</v>
      </c>
      <c r="C992" s="57" t="s">
        <v>25</v>
      </c>
      <c r="D992" s="58" t="s">
        <v>31</v>
      </c>
      <c r="E992" s="62">
        <v>4.9300000000000021E-3</v>
      </c>
      <c r="F992" s="65">
        <f t="shared" si="450"/>
        <v>-5.3124162909275379</v>
      </c>
      <c r="S992" s="40">
        <f t="shared" si="423"/>
        <v>0</v>
      </c>
      <c r="T992" s="40">
        <f t="shared" si="424"/>
        <v>0</v>
      </c>
      <c r="U992" s="40">
        <f t="shared" si="425"/>
        <v>0</v>
      </c>
      <c r="V992" s="40">
        <f t="shared" si="426"/>
        <v>1</v>
      </c>
      <c r="W992" s="40">
        <f t="shared" si="427"/>
        <v>0</v>
      </c>
      <c r="X992" s="40">
        <f t="shared" si="428"/>
        <v>0</v>
      </c>
      <c r="Y992" s="40">
        <f t="shared" si="429"/>
        <v>0</v>
      </c>
      <c r="Z992" s="40">
        <f t="shared" si="430"/>
        <v>0</v>
      </c>
      <c r="AA992" s="40">
        <f t="shared" si="431"/>
        <v>0</v>
      </c>
      <c r="AB992" s="40">
        <f t="shared" si="432"/>
        <v>1</v>
      </c>
      <c r="AC992" s="40">
        <f t="shared" si="433"/>
        <v>0</v>
      </c>
      <c r="AD992" s="40">
        <f t="shared" si="434"/>
        <v>0</v>
      </c>
      <c r="AE992" s="40">
        <f t="shared" si="435"/>
        <v>0</v>
      </c>
      <c r="AF992" s="40">
        <f t="shared" si="436"/>
        <v>0</v>
      </c>
      <c r="AG992" s="40">
        <f t="shared" si="437"/>
        <v>0</v>
      </c>
      <c r="AH992" s="40">
        <f t="shared" si="438"/>
        <v>0</v>
      </c>
      <c r="AI992" s="40">
        <f t="shared" si="439"/>
        <v>0</v>
      </c>
      <c r="AJ992" s="40">
        <f t="shared" si="440"/>
        <v>0</v>
      </c>
      <c r="AK992" s="40">
        <f t="shared" si="441"/>
        <v>0</v>
      </c>
      <c r="AL992" s="40">
        <f t="shared" si="442"/>
        <v>1</v>
      </c>
      <c r="AM992" s="40">
        <f t="shared" si="443"/>
        <v>0</v>
      </c>
      <c r="AN992" s="40">
        <f t="shared" si="444"/>
        <v>0</v>
      </c>
      <c r="AO992" s="40">
        <f t="shared" si="445"/>
        <v>0</v>
      </c>
      <c r="AP992" s="40">
        <f t="shared" si="446"/>
        <v>0</v>
      </c>
      <c r="AQ992" s="40">
        <f t="shared" si="447"/>
        <v>0</v>
      </c>
      <c r="AR992" s="40">
        <f t="shared" si="448"/>
        <v>0</v>
      </c>
      <c r="AS992" s="40">
        <f t="shared" si="449"/>
        <v>0</v>
      </c>
    </row>
    <row r="993" spans="2:45" ht="14.4" customHeight="1" x14ac:dyDescent="0.25">
      <c r="B993" s="56" t="s">
        <v>45</v>
      </c>
      <c r="C993" s="57" t="s">
        <v>25</v>
      </c>
      <c r="D993" s="58" t="s">
        <v>24</v>
      </c>
      <c r="E993" s="62">
        <v>5.4800000000000005E-3</v>
      </c>
      <c r="F993" s="65">
        <f t="shared" si="450"/>
        <v>-5.2066501780222127</v>
      </c>
      <c r="S993" s="40">
        <f t="shared" si="423"/>
        <v>0</v>
      </c>
      <c r="T993" s="40">
        <f t="shared" si="424"/>
        <v>0</v>
      </c>
      <c r="U993" s="40">
        <f t="shared" si="425"/>
        <v>0</v>
      </c>
      <c r="V993" s="40">
        <f t="shared" si="426"/>
        <v>1</v>
      </c>
      <c r="W993" s="40">
        <f t="shared" si="427"/>
        <v>0</v>
      </c>
      <c r="X993" s="40">
        <f t="shared" si="428"/>
        <v>0</v>
      </c>
      <c r="Y993" s="40">
        <f t="shared" si="429"/>
        <v>0</v>
      </c>
      <c r="Z993" s="40">
        <f t="shared" si="430"/>
        <v>0</v>
      </c>
      <c r="AA993" s="40">
        <f t="shared" si="431"/>
        <v>0</v>
      </c>
      <c r="AB993" s="40">
        <f t="shared" si="432"/>
        <v>1</v>
      </c>
      <c r="AC993" s="40">
        <f t="shared" si="433"/>
        <v>0</v>
      </c>
      <c r="AD993" s="40">
        <f t="shared" si="434"/>
        <v>0</v>
      </c>
      <c r="AE993" s="40">
        <f t="shared" si="435"/>
        <v>0</v>
      </c>
      <c r="AF993" s="40">
        <f t="shared" si="436"/>
        <v>0</v>
      </c>
      <c r="AG993" s="40">
        <f t="shared" si="437"/>
        <v>0</v>
      </c>
      <c r="AH993" s="40">
        <f t="shared" si="438"/>
        <v>0</v>
      </c>
      <c r="AI993" s="40">
        <f t="shared" si="439"/>
        <v>0</v>
      </c>
      <c r="AJ993" s="40">
        <f t="shared" si="440"/>
        <v>0</v>
      </c>
      <c r="AK993" s="40">
        <f t="shared" si="441"/>
        <v>0</v>
      </c>
      <c r="AL993" s="40">
        <f t="shared" si="442"/>
        <v>1</v>
      </c>
      <c r="AM993" s="40">
        <f t="shared" si="443"/>
        <v>0</v>
      </c>
      <c r="AN993" s="40">
        <f t="shared" si="444"/>
        <v>0</v>
      </c>
      <c r="AO993" s="40">
        <f t="shared" si="445"/>
        <v>0</v>
      </c>
      <c r="AP993" s="40">
        <f t="shared" si="446"/>
        <v>0</v>
      </c>
      <c r="AQ993" s="40">
        <f t="shared" si="447"/>
        <v>0</v>
      </c>
      <c r="AR993" s="40">
        <f t="shared" si="448"/>
        <v>0</v>
      </c>
      <c r="AS993" s="40">
        <f t="shared" si="449"/>
        <v>0</v>
      </c>
    </row>
    <row r="994" spans="2:45" ht="14.4" customHeight="1" x14ac:dyDescent="0.25">
      <c r="B994" s="56" t="s">
        <v>45</v>
      </c>
      <c r="C994" s="57" t="s">
        <v>25</v>
      </c>
      <c r="D994" s="58" t="s">
        <v>24</v>
      </c>
      <c r="E994" s="62">
        <v>4.5300000000000002E-3</v>
      </c>
      <c r="F994" s="65">
        <f t="shared" si="450"/>
        <v>-5.3970333394871943</v>
      </c>
      <c r="S994" s="40">
        <f t="shared" si="423"/>
        <v>0</v>
      </c>
      <c r="T994" s="40">
        <f t="shared" si="424"/>
        <v>0</v>
      </c>
      <c r="U994" s="40">
        <f t="shared" si="425"/>
        <v>0</v>
      </c>
      <c r="V994" s="40">
        <f t="shared" si="426"/>
        <v>1</v>
      </c>
      <c r="W994" s="40">
        <f t="shared" si="427"/>
        <v>0</v>
      </c>
      <c r="X994" s="40">
        <f t="shared" si="428"/>
        <v>0</v>
      </c>
      <c r="Y994" s="40">
        <f t="shared" si="429"/>
        <v>0</v>
      </c>
      <c r="Z994" s="40">
        <f t="shared" si="430"/>
        <v>0</v>
      </c>
      <c r="AA994" s="40">
        <f t="shared" si="431"/>
        <v>0</v>
      </c>
      <c r="AB994" s="40">
        <f t="shared" si="432"/>
        <v>1</v>
      </c>
      <c r="AC994" s="40">
        <f t="shared" si="433"/>
        <v>0</v>
      </c>
      <c r="AD994" s="40">
        <f t="shared" si="434"/>
        <v>0</v>
      </c>
      <c r="AE994" s="40">
        <f t="shared" si="435"/>
        <v>0</v>
      </c>
      <c r="AF994" s="40">
        <f t="shared" si="436"/>
        <v>0</v>
      </c>
      <c r="AG994" s="40">
        <f t="shared" si="437"/>
        <v>0</v>
      </c>
      <c r="AH994" s="40">
        <f t="shared" si="438"/>
        <v>0</v>
      </c>
      <c r="AI994" s="40">
        <f t="shared" si="439"/>
        <v>0</v>
      </c>
      <c r="AJ994" s="40">
        <f t="shared" si="440"/>
        <v>0</v>
      </c>
      <c r="AK994" s="40">
        <f t="shared" si="441"/>
        <v>0</v>
      </c>
      <c r="AL994" s="40">
        <f t="shared" si="442"/>
        <v>0</v>
      </c>
      <c r="AM994" s="40">
        <f t="shared" si="443"/>
        <v>0</v>
      </c>
      <c r="AN994" s="40">
        <f t="shared" si="444"/>
        <v>0</v>
      </c>
      <c r="AO994" s="40">
        <f t="shared" si="445"/>
        <v>1</v>
      </c>
      <c r="AP994" s="40">
        <f t="shared" si="446"/>
        <v>0</v>
      </c>
      <c r="AQ994" s="40">
        <f t="shared" si="447"/>
        <v>0</v>
      </c>
      <c r="AR994" s="40">
        <f t="shared" si="448"/>
        <v>0</v>
      </c>
      <c r="AS994" s="40">
        <f t="shared" si="449"/>
        <v>0</v>
      </c>
    </row>
    <row r="995" spans="2:45" ht="14.4" customHeight="1" x14ac:dyDescent="0.25">
      <c r="B995" s="56" t="s">
        <v>45</v>
      </c>
      <c r="C995" s="57" t="s">
        <v>25</v>
      </c>
      <c r="D995" s="58" t="s">
        <v>31</v>
      </c>
      <c r="E995" s="62">
        <v>6.9700000000000005E-3</v>
      </c>
      <c r="F995" s="65">
        <f t="shared" si="450"/>
        <v>-4.9661400542097045</v>
      </c>
      <c r="S995" s="40">
        <f t="shared" si="423"/>
        <v>0</v>
      </c>
      <c r="T995" s="40">
        <f t="shared" si="424"/>
        <v>0</v>
      </c>
      <c r="U995" s="40">
        <f t="shared" si="425"/>
        <v>0</v>
      </c>
      <c r="V995" s="40">
        <f t="shared" si="426"/>
        <v>1</v>
      </c>
      <c r="W995" s="40">
        <f t="shared" si="427"/>
        <v>0</v>
      </c>
      <c r="X995" s="40">
        <f t="shared" si="428"/>
        <v>0</v>
      </c>
      <c r="Y995" s="40">
        <f t="shared" si="429"/>
        <v>0</v>
      </c>
      <c r="Z995" s="40">
        <f t="shared" si="430"/>
        <v>0</v>
      </c>
      <c r="AA995" s="40">
        <f t="shared" si="431"/>
        <v>0</v>
      </c>
      <c r="AB995" s="40">
        <f t="shared" si="432"/>
        <v>0</v>
      </c>
      <c r="AC995" s="40">
        <f t="shared" si="433"/>
        <v>1</v>
      </c>
      <c r="AD995" s="40">
        <f t="shared" si="434"/>
        <v>0</v>
      </c>
      <c r="AE995" s="40">
        <f t="shared" si="435"/>
        <v>0</v>
      </c>
      <c r="AF995" s="40">
        <f t="shared" si="436"/>
        <v>0</v>
      </c>
      <c r="AG995" s="40">
        <f t="shared" si="437"/>
        <v>0</v>
      </c>
      <c r="AH995" s="40">
        <f t="shared" si="438"/>
        <v>0</v>
      </c>
      <c r="AI995" s="40">
        <f t="shared" si="439"/>
        <v>1</v>
      </c>
      <c r="AJ995" s="40">
        <f t="shared" si="440"/>
        <v>0</v>
      </c>
      <c r="AK995" s="40">
        <f t="shared" si="441"/>
        <v>0</v>
      </c>
      <c r="AL995" s="40">
        <f t="shared" si="442"/>
        <v>0</v>
      </c>
      <c r="AM995" s="40">
        <f t="shared" si="443"/>
        <v>0</v>
      </c>
      <c r="AN995" s="40">
        <f t="shared" si="444"/>
        <v>0</v>
      </c>
      <c r="AO995" s="40">
        <f t="shared" si="445"/>
        <v>0</v>
      </c>
      <c r="AP995" s="40">
        <f t="shared" si="446"/>
        <v>0</v>
      </c>
      <c r="AQ995" s="40">
        <f t="shared" si="447"/>
        <v>0</v>
      </c>
      <c r="AR995" s="40">
        <f t="shared" si="448"/>
        <v>0</v>
      </c>
      <c r="AS995" s="40">
        <f t="shared" si="449"/>
        <v>0</v>
      </c>
    </row>
    <row r="996" spans="2:45" ht="14.4" customHeight="1" x14ac:dyDescent="0.25">
      <c r="B996" s="56" t="s">
        <v>45</v>
      </c>
      <c r="C996" s="57" t="s">
        <v>23</v>
      </c>
      <c r="D996" s="58" t="s">
        <v>28</v>
      </c>
      <c r="E996" s="62">
        <v>3.0800000000000007E-3</v>
      </c>
      <c r="F996" s="65">
        <f t="shared" si="450"/>
        <v>-5.7828256819966537</v>
      </c>
      <c r="S996" s="40">
        <f t="shared" si="423"/>
        <v>0</v>
      </c>
      <c r="T996" s="40">
        <f t="shared" si="424"/>
        <v>0</v>
      </c>
      <c r="U996" s="40">
        <f t="shared" si="425"/>
        <v>0</v>
      </c>
      <c r="V996" s="40">
        <f t="shared" si="426"/>
        <v>1</v>
      </c>
      <c r="W996" s="40">
        <f t="shared" si="427"/>
        <v>0</v>
      </c>
      <c r="X996" s="40">
        <f t="shared" si="428"/>
        <v>0</v>
      </c>
      <c r="Y996" s="40">
        <f t="shared" si="429"/>
        <v>0</v>
      </c>
      <c r="Z996" s="40">
        <f t="shared" si="430"/>
        <v>0</v>
      </c>
      <c r="AA996" s="40">
        <f t="shared" si="431"/>
        <v>0</v>
      </c>
      <c r="AB996" s="40">
        <f t="shared" si="432"/>
        <v>0</v>
      </c>
      <c r="AC996" s="40">
        <f t="shared" si="433"/>
        <v>1</v>
      </c>
      <c r="AD996" s="40">
        <f t="shared" si="434"/>
        <v>0</v>
      </c>
      <c r="AE996" s="40">
        <f t="shared" si="435"/>
        <v>0</v>
      </c>
      <c r="AF996" s="40">
        <f t="shared" si="436"/>
        <v>0</v>
      </c>
      <c r="AG996" s="40">
        <f t="shared" si="437"/>
        <v>0</v>
      </c>
      <c r="AH996" s="40">
        <f t="shared" si="438"/>
        <v>1</v>
      </c>
      <c r="AI996" s="40">
        <f t="shared" si="439"/>
        <v>0</v>
      </c>
      <c r="AJ996" s="40">
        <f t="shared" si="440"/>
        <v>0</v>
      </c>
      <c r="AK996" s="40">
        <f t="shared" si="441"/>
        <v>0</v>
      </c>
      <c r="AL996" s="40">
        <f t="shared" si="442"/>
        <v>0</v>
      </c>
      <c r="AM996" s="40">
        <f t="shared" si="443"/>
        <v>0</v>
      </c>
      <c r="AN996" s="40">
        <f t="shared" si="444"/>
        <v>0</v>
      </c>
      <c r="AO996" s="40">
        <f t="shared" si="445"/>
        <v>0</v>
      </c>
      <c r="AP996" s="40">
        <f t="shared" si="446"/>
        <v>0</v>
      </c>
      <c r="AQ996" s="40">
        <f t="shared" si="447"/>
        <v>0</v>
      </c>
      <c r="AR996" s="40">
        <f t="shared" si="448"/>
        <v>0</v>
      </c>
      <c r="AS996" s="40">
        <f t="shared" si="449"/>
        <v>0</v>
      </c>
    </row>
    <row r="997" spans="2:45" ht="14.4" customHeight="1" x14ac:dyDescent="0.25">
      <c r="B997" s="56" t="s">
        <v>45</v>
      </c>
      <c r="C997" s="57" t="s">
        <v>23</v>
      </c>
      <c r="D997" s="58" t="s">
        <v>27</v>
      </c>
      <c r="E997" s="62">
        <v>8.879999999999999E-3</v>
      </c>
      <c r="F997" s="65">
        <f t="shared" si="450"/>
        <v>-4.7239537219780585</v>
      </c>
      <c r="S997" s="40">
        <f t="shared" si="423"/>
        <v>0</v>
      </c>
      <c r="T997" s="40">
        <f t="shared" si="424"/>
        <v>0</v>
      </c>
      <c r="U997" s="40">
        <f t="shared" si="425"/>
        <v>0</v>
      </c>
      <c r="V997" s="40">
        <f t="shared" si="426"/>
        <v>1</v>
      </c>
      <c r="W997" s="40">
        <f t="shared" si="427"/>
        <v>0</v>
      </c>
      <c r="X997" s="40">
        <f t="shared" si="428"/>
        <v>0</v>
      </c>
      <c r="Y997" s="40">
        <f t="shared" si="429"/>
        <v>0</v>
      </c>
      <c r="Z997" s="40">
        <f t="shared" si="430"/>
        <v>0</v>
      </c>
      <c r="AA997" s="40">
        <f t="shared" si="431"/>
        <v>0</v>
      </c>
      <c r="AB997" s="40">
        <f t="shared" si="432"/>
        <v>0</v>
      </c>
      <c r="AC997" s="40">
        <f t="shared" si="433"/>
        <v>1</v>
      </c>
      <c r="AD997" s="40">
        <f t="shared" si="434"/>
        <v>0</v>
      </c>
      <c r="AE997" s="40">
        <f t="shared" si="435"/>
        <v>0</v>
      </c>
      <c r="AF997" s="40">
        <f t="shared" si="436"/>
        <v>0</v>
      </c>
      <c r="AG997" s="40">
        <f t="shared" si="437"/>
        <v>0</v>
      </c>
      <c r="AH997" s="40">
        <f t="shared" si="438"/>
        <v>1</v>
      </c>
      <c r="AI997" s="40">
        <f t="shared" si="439"/>
        <v>0</v>
      </c>
      <c r="AJ997" s="40">
        <f t="shared" si="440"/>
        <v>0</v>
      </c>
      <c r="AK997" s="40">
        <f t="shared" si="441"/>
        <v>0</v>
      </c>
      <c r="AL997" s="40">
        <f t="shared" si="442"/>
        <v>0</v>
      </c>
      <c r="AM997" s="40">
        <f t="shared" si="443"/>
        <v>0</v>
      </c>
      <c r="AN997" s="40">
        <f t="shared" si="444"/>
        <v>0</v>
      </c>
      <c r="AO997" s="40">
        <f t="shared" si="445"/>
        <v>0</v>
      </c>
      <c r="AP997" s="40">
        <f t="shared" si="446"/>
        <v>0</v>
      </c>
      <c r="AQ997" s="40">
        <f t="shared" si="447"/>
        <v>0</v>
      </c>
      <c r="AR997" s="40">
        <f t="shared" si="448"/>
        <v>0</v>
      </c>
      <c r="AS997" s="40">
        <f t="shared" si="449"/>
        <v>0</v>
      </c>
    </row>
    <row r="998" spans="2:45" ht="14.4" customHeight="1" x14ac:dyDescent="0.25">
      <c r="B998" s="56" t="s">
        <v>45</v>
      </c>
      <c r="C998" s="57" t="s">
        <v>23</v>
      </c>
      <c r="D998" s="58" t="s">
        <v>27</v>
      </c>
      <c r="E998" s="62">
        <v>4.859999999999998E-3</v>
      </c>
      <c r="F998" s="65">
        <f t="shared" si="450"/>
        <v>-5.326716841069735</v>
      </c>
      <c r="S998" s="40">
        <f t="shared" si="423"/>
        <v>0</v>
      </c>
      <c r="T998" s="40">
        <f t="shared" si="424"/>
        <v>0</v>
      </c>
      <c r="U998" s="40">
        <f t="shared" si="425"/>
        <v>0</v>
      </c>
      <c r="V998" s="40">
        <f t="shared" si="426"/>
        <v>1</v>
      </c>
      <c r="W998" s="40">
        <f t="shared" si="427"/>
        <v>0</v>
      </c>
      <c r="X998" s="40">
        <f t="shared" si="428"/>
        <v>0</v>
      </c>
      <c r="Y998" s="40">
        <f t="shared" si="429"/>
        <v>0</v>
      </c>
      <c r="Z998" s="40">
        <f t="shared" si="430"/>
        <v>0</v>
      </c>
      <c r="AA998" s="40">
        <f t="shared" si="431"/>
        <v>0</v>
      </c>
      <c r="AB998" s="40">
        <f t="shared" si="432"/>
        <v>0</v>
      </c>
      <c r="AC998" s="40">
        <f t="shared" si="433"/>
        <v>1</v>
      </c>
      <c r="AD998" s="40">
        <f t="shared" si="434"/>
        <v>0</v>
      </c>
      <c r="AE998" s="40">
        <f t="shared" si="435"/>
        <v>0</v>
      </c>
      <c r="AF998" s="40">
        <f t="shared" si="436"/>
        <v>0</v>
      </c>
      <c r="AG998" s="40">
        <f t="shared" si="437"/>
        <v>0</v>
      </c>
      <c r="AH998" s="40">
        <f t="shared" si="438"/>
        <v>0</v>
      </c>
      <c r="AI998" s="40">
        <f t="shared" si="439"/>
        <v>0</v>
      </c>
      <c r="AJ998" s="40">
        <f t="shared" si="440"/>
        <v>0</v>
      </c>
      <c r="AK998" s="40">
        <f t="shared" si="441"/>
        <v>1</v>
      </c>
      <c r="AL998" s="40">
        <f t="shared" si="442"/>
        <v>0</v>
      </c>
      <c r="AM998" s="40">
        <f t="shared" si="443"/>
        <v>0</v>
      </c>
      <c r="AN998" s="40">
        <f t="shared" si="444"/>
        <v>0</v>
      </c>
      <c r="AO998" s="40">
        <f t="shared" si="445"/>
        <v>0</v>
      </c>
      <c r="AP998" s="40">
        <f t="shared" si="446"/>
        <v>0</v>
      </c>
      <c r="AQ998" s="40">
        <f t="shared" si="447"/>
        <v>0</v>
      </c>
      <c r="AR998" s="40">
        <f t="shared" si="448"/>
        <v>0</v>
      </c>
      <c r="AS998" s="40">
        <f t="shared" si="449"/>
        <v>0</v>
      </c>
    </row>
    <row r="999" spans="2:45" ht="14.4" customHeight="1" x14ac:dyDescent="0.25">
      <c r="B999" s="56" t="s">
        <v>45</v>
      </c>
      <c r="C999" s="57" t="s">
        <v>23</v>
      </c>
      <c r="D999" s="58" t="s">
        <v>32</v>
      </c>
      <c r="E999" s="62">
        <v>6.0800000000000003E-3</v>
      </c>
      <c r="F999" s="65">
        <f t="shared" si="450"/>
        <v>-5.1027505830040614</v>
      </c>
      <c r="S999" s="40">
        <f t="shared" si="423"/>
        <v>0</v>
      </c>
      <c r="T999" s="40">
        <f t="shared" si="424"/>
        <v>0</v>
      </c>
      <c r="U999" s="40">
        <f t="shared" si="425"/>
        <v>0</v>
      </c>
      <c r="V999" s="40">
        <f t="shared" si="426"/>
        <v>1</v>
      </c>
      <c r="W999" s="40">
        <f t="shared" si="427"/>
        <v>0</v>
      </c>
      <c r="X999" s="40">
        <f t="shared" si="428"/>
        <v>0</v>
      </c>
      <c r="Y999" s="40">
        <f t="shared" si="429"/>
        <v>0</v>
      </c>
      <c r="Z999" s="40">
        <f t="shared" si="430"/>
        <v>0</v>
      </c>
      <c r="AA999" s="40">
        <f t="shared" si="431"/>
        <v>0</v>
      </c>
      <c r="AB999" s="40">
        <f t="shared" si="432"/>
        <v>0</v>
      </c>
      <c r="AC999" s="40">
        <f t="shared" si="433"/>
        <v>1</v>
      </c>
      <c r="AD999" s="40">
        <f t="shared" si="434"/>
        <v>0</v>
      </c>
      <c r="AE999" s="40">
        <f t="shared" si="435"/>
        <v>0</v>
      </c>
      <c r="AF999" s="40">
        <f t="shared" si="436"/>
        <v>0</v>
      </c>
      <c r="AG999" s="40">
        <f t="shared" si="437"/>
        <v>0</v>
      </c>
      <c r="AH999" s="40">
        <f t="shared" si="438"/>
        <v>1</v>
      </c>
      <c r="AI999" s="40">
        <f t="shared" si="439"/>
        <v>0</v>
      </c>
      <c r="AJ999" s="40">
        <f t="shared" si="440"/>
        <v>0</v>
      </c>
      <c r="AK999" s="40">
        <f t="shared" si="441"/>
        <v>0</v>
      </c>
      <c r="AL999" s="40">
        <f t="shared" si="442"/>
        <v>0</v>
      </c>
      <c r="AM999" s="40">
        <f t="shared" si="443"/>
        <v>0</v>
      </c>
      <c r="AN999" s="40">
        <f t="shared" si="444"/>
        <v>0</v>
      </c>
      <c r="AO999" s="40">
        <f t="shared" si="445"/>
        <v>0</v>
      </c>
      <c r="AP999" s="40">
        <f t="shared" si="446"/>
        <v>0</v>
      </c>
      <c r="AQ999" s="40">
        <f t="shared" si="447"/>
        <v>0</v>
      </c>
      <c r="AR999" s="40">
        <f t="shared" si="448"/>
        <v>0</v>
      </c>
      <c r="AS999" s="40">
        <f t="shared" si="449"/>
        <v>0</v>
      </c>
    </row>
    <row r="1000" spans="2:45" ht="14.4" customHeight="1" x14ac:dyDescent="0.25">
      <c r="B1000" s="56" t="s">
        <v>45</v>
      </c>
      <c r="C1000" s="57" t="s">
        <v>23</v>
      </c>
      <c r="D1000" s="58" t="s">
        <v>27</v>
      </c>
      <c r="E1000" s="62">
        <v>3.9200000000000016E-3</v>
      </c>
      <c r="F1000" s="65">
        <f t="shared" si="450"/>
        <v>-5.5416636251797655</v>
      </c>
      <c r="S1000" s="40">
        <f t="shared" si="423"/>
        <v>0</v>
      </c>
      <c r="T1000" s="40">
        <f t="shared" si="424"/>
        <v>0</v>
      </c>
      <c r="U1000" s="40">
        <f t="shared" si="425"/>
        <v>0</v>
      </c>
      <c r="V1000" s="40">
        <f t="shared" si="426"/>
        <v>1</v>
      </c>
      <c r="W1000" s="40">
        <f t="shared" si="427"/>
        <v>0</v>
      </c>
      <c r="X1000" s="40">
        <f t="shared" si="428"/>
        <v>0</v>
      </c>
      <c r="Y1000" s="40">
        <f t="shared" si="429"/>
        <v>0</v>
      </c>
      <c r="Z1000" s="40">
        <f t="shared" si="430"/>
        <v>0</v>
      </c>
      <c r="AA1000" s="40">
        <f t="shared" si="431"/>
        <v>0</v>
      </c>
      <c r="AB1000" s="40">
        <f t="shared" si="432"/>
        <v>0</v>
      </c>
      <c r="AC1000" s="40">
        <f t="shared" si="433"/>
        <v>1</v>
      </c>
      <c r="AD1000" s="40">
        <f t="shared" si="434"/>
        <v>0</v>
      </c>
      <c r="AE1000" s="40">
        <f t="shared" si="435"/>
        <v>0</v>
      </c>
      <c r="AF1000" s="40">
        <f t="shared" si="436"/>
        <v>0</v>
      </c>
      <c r="AG1000" s="40">
        <f t="shared" si="437"/>
        <v>0</v>
      </c>
      <c r="AH1000" s="40">
        <f t="shared" si="438"/>
        <v>0</v>
      </c>
      <c r="AI1000" s="40">
        <f t="shared" si="439"/>
        <v>1</v>
      </c>
      <c r="AJ1000" s="40">
        <f t="shared" si="440"/>
        <v>0</v>
      </c>
      <c r="AK1000" s="40">
        <f t="shared" si="441"/>
        <v>0</v>
      </c>
      <c r="AL1000" s="40">
        <f t="shared" si="442"/>
        <v>0</v>
      </c>
      <c r="AM1000" s="40">
        <f t="shared" si="443"/>
        <v>0</v>
      </c>
      <c r="AN1000" s="40">
        <f t="shared" si="444"/>
        <v>0</v>
      </c>
      <c r="AO1000" s="40">
        <f t="shared" si="445"/>
        <v>0</v>
      </c>
      <c r="AP1000" s="40">
        <f t="shared" si="446"/>
        <v>0</v>
      </c>
      <c r="AQ1000" s="40">
        <f t="shared" si="447"/>
        <v>0</v>
      </c>
      <c r="AR1000" s="40">
        <f t="shared" si="448"/>
        <v>0</v>
      </c>
      <c r="AS1000" s="40">
        <f t="shared" si="449"/>
        <v>0</v>
      </c>
    </row>
    <row r="1001" spans="2:45" ht="14.4" customHeight="1" x14ac:dyDescent="0.25">
      <c r="B1001" s="56" t="s">
        <v>45</v>
      </c>
      <c r="C1001" s="57" t="s">
        <v>23</v>
      </c>
      <c r="D1001" s="58" t="s">
        <v>28</v>
      </c>
      <c r="E1001" s="62">
        <v>3.4399999999999986E-3</v>
      </c>
      <c r="F1001" s="65">
        <f t="shared" si="450"/>
        <v>-5.6722838075968305</v>
      </c>
      <c r="S1001" s="40">
        <f t="shared" si="423"/>
        <v>0</v>
      </c>
      <c r="T1001" s="40">
        <f t="shared" si="424"/>
        <v>0</v>
      </c>
      <c r="U1001" s="40">
        <f t="shared" si="425"/>
        <v>0</v>
      </c>
      <c r="V1001" s="40">
        <f t="shared" si="426"/>
        <v>1</v>
      </c>
      <c r="W1001" s="40">
        <f t="shared" si="427"/>
        <v>0</v>
      </c>
      <c r="X1001" s="40">
        <f t="shared" si="428"/>
        <v>0</v>
      </c>
      <c r="Y1001" s="40">
        <f t="shared" si="429"/>
        <v>0</v>
      </c>
      <c r="Z1001" s="40">
        <f t="shared" si="430"/>
        <v>0</v>
      </c>
      <c r="AA1001" s="40">
        <f t="shared" si="431"/>
        <v>0</v>
      </c>
      <c r="AB1001" s="40">
        <f t="shared" si="432"/>
        <v>0</v>
      </c>
      <c r="AC1001" s="40">
        <f t="shared" si="433"/>
        <v>1</v>
      </c>
      <c r="AD1001" s="40">
        <f t="shared" si="434"/>
        <v>0</v>
      </c>
      <c r="AE1001" s="40">
        <f t="shared" si="435"/>
        <v>0</v>
      </c>
      <c r="AF1001" s="40">
        <f t="shared" si="436"/>
        <v>0</v>
      </c>
      <c r="AG1001" s="40">
        <f t="shared" si="437"/>
        <v>0</v>
      </c>
      <c r="AH1001" s="40">
        <f t="shared" si="438"/>
        <v>0</v>
      </c>
      <c r="AI1001" s="40">
        <f t="shared" si="439"/>
        <v>1</v>
      </c>
      <c r="AJ1001" s="40">
        <f t="shared" si="440"/>
        <v>0</v>
      </c>
      <c r="AK1001" s="40">
        <f t="shared" si="441"/>
        <v>0</v>
      </c>
      <c r="AL1001" s="40">
        <f t="shared" si="442"/>
        <v>0</v>
      </c>
      <c r="AM1001" s="40">
        <f t="shared" si="443"/>
        <v>0</v>
      </c>
      <c r="AN1001" s="40">
        <f t="shared" si="444"/>
        <v>0</v>
      </c>
      <c r="AO1001" s="40">
        <f t="shared" si="445"/>
        <v>0</v>
      </c>
      <c r="AP1001" s="40">
        <f t="shared" si="446"/>
        <v>0</v>
      </c>
      <c r="AQ1001" s="40">
        <f t="shared" si="447"/>
        <v>0</v>
      </c>
      <c r="AR1001" s="40">
        <f t="shared" si="448"/>
        <v>0</v>
      </c>
      <c r="AS1001" s="40">
        <f t="shared" si="449"/>
        <v>0</v>
      </c>
    </row>
    <row r="1002" spans="2:45" ht="14.4" customHeight="1" x14ac:dyDescent="0.25">
      <c r="B1002" s="56" t="s">
        <v>45</v>
      </c>
      <c r="C1002" s="57" t="s">
        <v>23</v>
      </c>
      <c r="D1002" s="58" t="s">
        <v>28</v>
      </c>
      <c r="E1002" s="62">
        <v>4.3599999999999984E-3</v>
      </c>
      <c r="F1002" s="65">
        <f t="shared" si="450"/>
        <v>-5.4352832216211944</v>
      </c>
      <c r="S1002" s="40">
        <f t="shared" si="423"/>
        <v>0</v>
      </c>
      <c r="T1002" s="40">
        <f t="shared" si="424"/>
        <v>0</v>
      </c>
      <c r="U1002" s="40">
        <f t="shared" si="425"/>
        <v>0</v>
      </c>
      <c r="V1002" s="40">
        <f t="shared" si="426"/>
        <v>1</v>
      </c>
      <c r="W1002" s="40">
        <f t="shared" si="427"/>
        <v>0</v>
      </c>
      <c r="X1002" s="40">
        <f t="shared" si="428"/>
        <v>0</v>
      </c>
      <c r="Y1002" s="40">
        <f t="shared" si="429"/>
        <v>0</v>
      </c>
      <c r="Z1002" s="40">
        <f t="shared" si="430"/>
        <v>0</v>
      </c>
      <c r="AA1002" s="40">
        <f t="shared" si="431"/>
        <v>0</v>
      </c>
      <c r="AB1002" s="40">
        <f t="shared" si="432"/>
        <v>0</v>
      </c>
      <c r="AC1002" s="40">
        <f t="shared" si="433"/>
        <v>1</v>
      </c>
      <c r="AD1002" s="40">
        <f t="shared" si="434"/>
        <v>0</v>
      </c>
      <c r="AE1002" s="40">
        <f t="shared" si="435"/>
        <v>0</v>
      </c>
      <c r="AF1002" s="40">
        <f t="shared" si="436"/>
        <v>0</v>
      </c>
      <c r="AG1002" s="40">
        <f t="shared" si="437"/>
        <v>0</v>
      </c>
      <c r="AH1002" s="40">
        <f t="shared" si="438"/>
        <v>0</v>
      </c>
      <c r="AI1002" s="40">
        <f t="shared" si="439"/>
        <v>0</v>
      </c>
      <c r="AJ1002" s="40">
        <f t="shared" si="440"/>
        <v>0</v>
      </c>
      <c r="AK1002" s="40">
        <f t="shared" si="441"/>
        <v>0</v>
      </c>
      <c r="AL1002" s="40">
        <f t="shared" si="442"/>
        <v>0</v>
      </c>
      <c r="AM1002" s="40">
        <f t="shared" si="443"/>
        <v>0</v>
      </c>
      <c r="AN1002" s="40">
        <f t="shared" si="444"/>
        <v>1</v>
      </c>
      <c r="AO1002" s="40">
        <f t="shared" si="445"/>
        <v>0</v>
      </c>
      <c r="AP1002" s="40">
        <f t="shared" si="446"/>
        <v>0</v>
      </c>
      <c r="AQ1002" s="40">
        <f t="shared" si="447"/>
        <v>0</v>
      </c>
      <c r="AR1002" s="40">
        <f t="shared" si="448"/>
        <v>0</v>
      </c>
      <c r="AS1002" s="40">
        <f t="shared" si="449"/>
        <v>0</v>
      </c>
    </row>
    <row r="1003" spans="2:45" ht="14.4" customHeight="1" x14ac:dyDescent="0.25">
      <c r="B1003" s="56" t="s">
        <v>45</v>
      </c>
      <c r="C1003" s="57" t="s">
        <v>23</v>
      </c>
      <c r="D1003" s="58" t="s">
        <v>29</v>
      </c>
      <c r="E1003" s="62">
        <v>4.239999999999999E-3</v>
      </c>
      <c r="F1003" s="65">
        <f t="shared" si="450"/>
        <v>-5.4631920097382709</v>
      </c>
      <c r="S1003" s="40">
        <f t="shared" si="423"/>
        <v>0</v>
      </c>
      <c r="T1003" s="40">
        <f t="shared" si="424"/>
        <v>0</v>
      </c>
      <c r="U1003" s="40">
        <f t="shared" si="425"/>
        <v>0</v>
      </c>
      <c r="V1003" s="40">
        <f t="shared" si="426"/>
        <v>1</v>
      </c>
      <c r="W1003" s="40">
        <f t="shared" si="427"/>
        <v>0</v>
      </c>
      <c r="X1003" s="40">
        <f t="shared" si="428"/>
        <v>0</v>
      </c>
      <c r="Y1003" s="40">
        <f t="shared" si="429"/>
        <v>0</v>
      </c>
      <c r="Z1003" s="40">
        <f t="shared" si="430"/>
        <v>0</v>
      </c>
      <c r="AA1003" s="40">
        <f t="shared" si="431"/>
        <v>0</v>
      </c>
      <c r="AB1003" s="40">
        <f t="shared" si="432"/>
        <v>1</v>
      </c>
      <c r="AC1003" s="40">
        <f t="shared" si="433"/>
        <v>0</v>
      </c>
      <c r="AD1003" s="40">
        <f t="shared" si="434"/>
        <v>0</v>
      </c>
      <c r="AE1003" s="40">
        <f t="shared" si="435"/>
        <v>0</v>
      </c>
      <c r="AF1003" s="40">
        <f t="shared" si="436"/>
        <v>0</v>
      </c>
      <c r="AG1003" s="40">
        <f t="shared" si="437"/>
        <v>0</v>
      </c>
      <c r="AH1003" s="40">
        <f t="shared" si="438"/>
        <v>0</v>
      </c>
      <c r="AI1003" s="40">
        <f t="shared" si="439"/>
        <v>0</v>
      </c>
      <c r="AJ1003" s="40">
        <f t="shared" si="440"/>
        <v>0</v>
      </c>
      <c r="AK1003" s="40">
        <f t="shared" si="441"/>
        <v>0</v>
      </c>
      <c r="AL1003" s="40">
        <f t="shared" si="442"/>
        <v>0</v>
      </c>
      <c r="AM1003" s="40">
        <f t="shared" si="443"/>
        <v>0</v>
      </c>
      <c r="AN1003" s="40">
        <f t="shared" si="444"/>
        <v>0</v>
      </c>
      <c r="AO1003" s="40">
        <f t="shared" si="445"/>
        <v>1</v>
      </c>
      <c r="AP1003" s="40">
        <f t="shared" si="446"/>
        <v>0</v>
      </c>
      <c r="AQ1003" s="40">
        <f t="shared" si="447"/>
        <v>0</v>
      </c>
      <c r="AR1003" s="40">
        <f t="shared" si="448"/>
        <v>0</v>
      </c>
      <c r="AS1003" s="40">
        <f t="shared" si="449"/>
        <v>0</v>
      </c>
    </row>
    <row r="1004" spans="2:45" ht="14.4" customHeight="1" x14ac:dyDescent="0.25">
      <c r="B1004" s="56" t="s">
        <v>45</v>
      </c>
      <c r="C1004" s="57" t="s">
        <v>25</v>
      </c>
      <c r="D1004" s="58" t="s">
        <v>31</v>
      </c>
      <c r="E1004" s="62">
        <v>1.3310000000000002E-2</v>
      </c>
      <c r="F1004" s="65">
        <f t="shared" si="450"/>
        <v>-4.3192396465751166</v>
      </c>
      <c r="S1004" s="40">
        <f t="shared" si="423"/>
        <v>0</v>
      </c>
      <c r="T1004" s="40">
        <f t="shared" si="424"/>
        <v>0</v>
      </c>
      <c r="U1004" s="40">
        <f t="shared" si="425"/>
        <v>0</v>
      </c>
      <c r="V1004" s="40">
        <f t="shared" si="426"/>
        <v>1</v>
      </c>
      <c r="W1004" s="40">
        <f t="shared" si="427"/>
        <v>0</v>
      </c>
      <c r="X1004" s="40">
        <f t="shared" si="428"/>
        <v>0</v>
      </c>
      <c r="Y1004" s="40">
        <f t="shared" si="429"/>
        <v>0</v>
      </c>
      <c r="Z1004" s="40">
        <f t="shared" si="430"/>
        <v>0</v>
      </c>
      <c r="AA1004" s="40">
        <f t="shared" si="431"/>
        <v>0</v>
      </c>
      <c r="AB1004" s="40">
        <f t="shared" si="432"/>
        <v>1</v>
      </c>
      <c r="AC1004" s="40">
        <f t="shared" si="433"/>
        <v>0</v>
      </c>
      <c r="AD1004" s="40">
        <f t="shared" si="434"/>
        <v>0</v>
      </c>
      <c r="AE1004" s="40">
        <f t="shared" si="435"/>
        <v>0</v>
      </c>
      <c r="AF1004" s="40">
        <f t="shared" si="436"/>
        <v>0</v>
      </c>
      <c r="AG1004" s="40">
        <f t="shared" si="437"/>
        <v>0</v>
      </c>
      <c r="AH1004" s="40">
        <f t="shared" si="438"/>
        <v>0</v>
      </c>
      <c r="AI1004" s="40">
        <f t="shared" si="439"/>
        <v>1</v>
      </c>
      <c r="AJ1004" s="40">
        <f t="shared" si="440"/>
        <v>0</v>
      </c>
      <c r="AK1004" s="40">
        <f t="shared" si="441"/>
        <v>0</v>
      </c>
      <c r="AL1004" s="40">
        <f t="shared" si="442"/>
        <v>0</v>
      </c>
      <c r="AM1004" s="40">
        <f t="shared" si="443"/>
        <v>0</v>
      </c>
      <c r="AN1004" s="40">
        <f t="shared" si="444"/>
        <v>0</v>
      </c>
      <c r="AO1004" s="40">
        <f t="shared" si="445"/>
        <v>0</v>
      </c>
      <c r="AP1004" s="40">
        <f t="shared" si="446"/>
        <v>0</v>
      </c>
      <c r="AQ1004" s="40">
        <f t="shared" si="447"/>
        <v>0</v>
      </c>
      <c r="AR1004" s="40">
        <f t="shared" si="448"/>
        <v>0</v>
      </c>
      <c r="AS1004" s="40">
        <f t="shared" si="449"/>
        <v>0</v>
      </c>
    </row>
    <row r="1005" spans="2:45" ht="14.4" customHeight="1" x14ac:dyDescent="0.25">
      <c r="B1005" s="56" t="s">
        <v>45</v>
      </c>
      <c r="C1005" s="57" t="s">
        <v>25</v>
      </c>
      <c r="D1005" s="58" t="s">
        <v>28</v>
      </c>
      <c r="E1005" s="62">
        <v>2.7400000000000002E-3</v>
      </c>
      <c r="F1005" s="65">
        <f t="shared" si="450"/>
        <v>-5.8997973585821581</v>
      </c>
      <c r="S1005" s="40">
        <f t="shared" si="423"/>
        <v>0</v>
      </c>
      <c r="T1005" s="40">
        <f t="shared" si="424"/>
        <v>0</v>
      </c>
      <c r="U1005" s="40">
        <f t="shared" si="425"/>
        <v>0</v>
      </c>
      <c r="V1005" s="40">
        <f t="shared" si="426"/>
        <v>1</v>
      </c>
      <c r="W1005" s="40">
        <f t="shared" si="427"/>
        <v>0</v>
      </c>
      <c r="X1005" s="40">
        <f t="shared" si="428"/>
        <v>0</v>
      </c>
      <c r="Y1005" s="40">
        <f t="shared" si="429"/>
        <v>0</v>
      </c>
      <c r="Z1005" s="40">
        <f t="shared" si="430"/>
        <v>0</v>
      </c>
      <c r="AA1005" s="40">
        <f t="shared" si="431"/>
        <v>0</v>
      </c>
      <c r="AB1005" s="40">
        <f t="shared" si="432"/>
        <v>1</v>
      </c>
      <c r="AC1005" s="40">
        <f t="shared" si="433"/>
        <v>0</v>
      </c>
      <c r="AD1005" s="40">
        <f t="shared" si="434"/>
        <v>0</v>
      </c>
      <c r="AE1005" s="40">
        <f t="shared" si="435"/>
        <v>0</v>
      </c>
      <c r="AF1005" s="40">
        <f t="shared" si="436"/>
        <v>0</v>
      </c>
      <c r="AG1005" s="40">
        <f t="shared" si="437"/>
        <v>0</v>
      </c>
      <c r="AH1005" s="40">
        <f t="shared" si="438"/>
        <v>0</v>
      </c>
      <c r="AI1005" s="40">
        <f t="shared" si="439"/>
        <v>0</v>
      </c>
      <c r="AJ1005" s="40">
        <f t="shared" si="440"/>
        <v>0</v>
      </c>
      <c r="AK1005" s="40">
        <f t="shared" si="441"/>
        <v>0</v>
      </c>
      <c r="AL1005" s="40">
        <f t="shared" si="442"/>
        <v>1</v>
      </c>
      <c r="AM1005" s="40">
        <f t="shared" si="443"/>
        <v>0</v>
      </c>
      <c r="AN1005" s="40">
        <f t="shared" si="444"/>
        <v>0</v>
      </c>
      <c r="AO1005" s="40">
        <f t="shared" si="445"/>
        <v>0</v>
      </c>
      <c r="AP1005" s="40">
        <f t="shared" si="446"/>
        <v>0</v>
      </c>
      <c r="AQ1005" s="40">
        <f t="shared" si="447"/>
        <v>0</v>
      </c>
      <c r="AR1005" s="40">
        <f t="shared" si="448"/>
        <v>0</v>
      </c>
      <c r="AS1005" s="40">
        <f t="shared" si="449"/>
        <v>0</v>
      </c>
    </row>
    <row r="1006" spans="2:45" ht="14.4" customHeight="1" x14ac:dyDescent="0.25">
      <c r="B1006" s="56" t="s">
        <v>45</v>
      </c>
      <c r="C1006" s="57" t="s">
        <v>25</v>
      </c>
      <c r="D1006" s="58" t="s">
        <v>24</v>
      </c>
      <c r="E1006" s="62">
        <v>8.0700000000000008E-3</v>
      </c>
      <c r="F1006" s="65">
        <f t="shared" si="450"/>
        <v>-4.8196017967002796</v>
      </c>
      <c r="S1006" s="40">
        <f t="shared" si="423"/>
        <v>0</v>
      </c>
      <c r="T1006" s="40">
        <f t="shared" si="424"/>
        <v>0</v>
      </c>
      <c r="U1006" s="40">
        <f t="shared" si="425"/>
        <v>0</v>
      </c>
      <c r="V1006" s="40">
        <f t="shared" si="426"/>
        <v>1</v>
      </c>
      <c r="W1006" s="40">
        <f t="shared" si="427"/>
        <v>0</v>
      </c>
      <c r="X1006" s="40">
        <f t="shared" si="428"/>
        <v>0</v>
      </c>
      <c r="Y1006" s="40">
        <f t="shared" si="429"/>
        <v>0</v>
      </c>
      <c r="Z1006" s="40">
        <f t="shared" si="430"/>
        <v>0</v>
      </c>
      <c r="AA1006" s="40">
        <f t="shared" si="431"/>
        <v>0</v>
      </c>
      <c r="AB1006" s="40">
        <f t="shared" si="432"/>
        <v>1</v>
      </c>
      <c r="AC1006" s="40">
        <f t="shared" si="433"/>
        <v>0</v>
      </c>
      <c r="AD1006" s="40">
        <f t="shared" si="434"/>
        <v>0</v>
      </c>
      <c r="AE1006" s="40">
        <f t="shared" si="435"/>
        <v>0</v>
      </c>
      <c r="AF1006" s="40">
        <f t="shared" si="436"/>
        <v>0</v>
      </c>
      <c r="AG1006" s="40">
        <f t="shared" si="437"/>
        <v>0</v>
      </c>
      <c r="AH1006" s="40">
        <f t="shared" si="438"/>
        <v>0</v>
      </c>
      <c r="AI1006" s="40">
        <f t="shared" si="439"/>
        <v>0</v>
      </c>
      <c r="AJ1006" s="40">
        <f t="shared" si="440"/>
        <v>0</v>
      </c>
      <c r="AK1006" s="40">
        <f t="shared" si="441"/>
        <v>0</v>
      </c>
      <c r="AL1006" s="40">
        <f t="shared" si="442"/>
        <v>0</v>
      </c>
      <c r="AM1006" s="40">
        <f t="shared" si="443"/>
        <v>0</v>
      </c>
      <c r="AN1006" s="40">
        <f t="shared" si="444"/>
        <v>0</v>
      </c>
      <c r="AO1006" s="40">
        <f t="shared" si="445"/>
        <v>0</v>
      </c>
      <c r="AP1006" s="40">
        <f t="shared" si="446"/>
        <v>0</v>
      </c>
      <c r="AQ1006" s="40">
        <f t="shared" si="447"/>
        <v>0</v>
      </c>
      <c r="AR1006" s="40">
        <f t="shared" si="448"/>
        <v>0</v>
      </c>
      <c r="AS1006" s="40">
        <f t="shared" si="449"/>
        <v>1</v>
      </c>
    </row>
    <row r="1007" spans="2:45" ht="14.4" customHeight="1" x14ac:dyDescent="0.25">
      <c r="B1007" s="56" t="s">
        <v>45</v>
      </c>
      <c r="C1007" s="57" t="s">
        <v>25</v>
      </c>
      <c r="D1007" s="58" t="s">
        <v>22</v>
      </c>
      <c r="E1007" s="62">
        <v>4.5100000000000001E-3</v>
      </c>
      <c r="F1007" s="65">
        <f t="shared" si="450"/>
        <v>-5.40145812546755</v>
      </c>
      <c r="S1007" s="40">
        <f t="shared" si="423"/>
        <v>0</v>
      </c>
      <c r="T1007" s="40">
        <f t="shared" si="424"/>
        <v>0</v>
      </c>
      <c r="U1007" s="40">
        <f t="shared" si="425"/>
        <v>0</v>
      </c>
      <c r="V1007" s="40">
        <f t="shared" si="426"/>
        <v>1</v>
      </c>
      <c r="W1007" s="40">
        <f t="shared" si="427"/>
        <v>0</v>
      </c>
      <c r="X1007" s="40">
        <f t="shared" si="428"/>
        <v>0</v>
      </c>
      <c r="Y1007" s="40">
        <f t="shared" si="429"/>
        <v>0</v>
      </c>
      <c r="Z1007" s="40">
        <f t="shared" si="430"/>
        <v>0</v>
      </c>
      <c r="AA1007" s="40">
        <f t="shared" si="431"/>
        <v>0</v>
      </c>
      <c r="AB1007" s="40">
        <f t="shared" si="432"/>
        <v>1</v>
      </c>
      <c r="AC1007" s="40">
        <f t="shared" si="433"/>
        <v>0</v>
      </c>
      <c r="AD1007" s="40">
        <f t="shared" si="434"/>
        <v>0</v>
      </c>
      <c r="AE1007" s="40">
        <f t="shared" si="435"/>
        <v>0</v>
      </c>
      <c r="AF1007" s="40">
        <f t="shared" si="436"/>
        <v>0</v>
      </c>
      <c r="AG1007" s="40">
        <f t="shared" si="437"/>
        <v>0</v>
      </c>
      <c r="AH1007" s="40">
        <f t="shared" si="438"/>
        <v>0</v>
      </c>
      <c r="AI1007" s="40">
        <f t="shared" si="439"/>
        <v>1</v>
      </c>
      <c r="AJ1007" s="40">
        <f t="shared" si="440"/>
        <v>0</v>
      </c>
      <c r="AK1007" s="40">
        <f t="shared" si="441"/>
        <v>0</v>
      </c>
      <c r="AL1007" s="40">
        <f t="shared" si="442"/>
        <v>0</v>
      </c>
      <c r="AM1007" s="40">
        <f t="shared" si="443"/>
        <v>0</v>
      </c>
      <c r="AN1007" s="40">
        <f t="shared" si="444"/>
        <v>0</v>
      </c>
      <c r="AO1007" s="40">
        <f t="shared" si="445"/>
        <v>0</v>
      </c>
      <c r="AP1007" s="40">
        <f t="shared" si="446"/>
        <v>0</v>
      </c>
      <c r="AQ1007" s="40">
        <f t="shared" si="447"/>
        <v>0</v>
      </c>
      <c r="AR1007" s="40">
        <f t="shared" si="448"/>
        <v>0</v>
      </c>
      <c r="AS1007" s="40">
        <f t="shared" si="449"/>
        <v>0</v>
      </c>
    </row>
    <row r="1008" spans="2:45" ht="14.4" customHeight="1" x14ac:dyDescent="0.25">
      <c r="B1008" s="56" t="s">
        <v>45</v>
      </c>
      <c r="C1008" s="57" t="s">
        <v>25</v>
      </c>
      <c r="D1008" s="58" t="s">
        <v>28</v>
      </c>
      <c r="E1008" s="62">
        <v>9.8900000000000012E-3</v>
      </c>
      <c r="F1008" s="65">
        <f t="shared" si="450"/>
        <v>-4.6162311333475161</v>
      </c>
      <c r="S1008" s="40">
        <f t="shared" si="423"/>
        <v>0</v>
      </c>
      <c r="T1008" s="40">
        <f t="shared" si="424"/>
        <v>0</v>
      </c>
      <c r="U1008" s="40">
        <f t="shared" si="425"/>
        <v>0</v>
      </c>
      <c r="V1008" s="40">
        <f t="shared" si="426"/>
        <v>1</v>
      </c>
      <c r="W1008" s="40">
        <f t="shared" si="427"/>
        <v>0</v>
      </c>
      <c r="X1008" s="40">
        <f t="shared" si="428"/>
        <v>0</v>
      </c>
      <c r="Y1008" s="40">
        <f t="shared" si="429"/>
        <v>0</v>
      </c>
      <c r="Z1008" s="40">
        <f t="shared" si="430"/>
        <v>0</v>
      </c>
      <c r="AA1008" s="40">
        <f t="shared" si="431"/>
        <v>0</v>
      </c>
      <c r="AB1008" s="40">
        <f t="shared" si="432"/>
        <v>1</v>
      </c>
      <c r="AC1008" s="40">
        <f t="shared" si="433"/>
        <v>0</v>
      </c>
      <c r="AD1008" s="40">
        <f t="shared" si="434"/>
        <v>0</v>
      </c>
      <c r="AE1008" s="40">
        <f t="shared" si="435"/>
        <v>0</v>
      </c>
      <c r="AF1008" s="40">
        <f t="shared" si="436"/>
        <v>0</v>
      </c>
      <c r="AG1008" s="40">
        <f t="shared" si="437"/>
        <v>0</v>
      </c>
      <c r="AH1008" s="40">
        <f t="shared" si="438"/>
        <v>0</v>
      </c>
      <c r="AI1008" s="40">
        <f t="shared" si="439"/>
        <v>0</v>
      </c>
      <c r="AJ1008" s="40">
        <f t="shared" si="440"/>
        <v>0</v>
      </c>
      <c r="AK1008" s="40">
        <f t="shared" si="441"/>
        <v>0</v>
      </c>
      <c r="AL1008" s="40">
        <f t="shared" si="442"/>
        <v>0</v>
      </c>
      <c r="AM1008" s="40">
        <f t="shared" si="443"/>
        <v>0</v>
      </c>
      <c r="AN1008" s="40">
        <f t="shared" si="444"/>
        <v>0</v>
      </c>
      <c r="AO1008" s="40">
        <f t="shared" si="445"/>
        <v>0</v>
      </c>
      <c r="AP1008" s="40">
        <f t="shared" si="446"/>
        <v>0</v>
      </c>
      <c r="AQ1008" s="40">
        <f t="shared" si="447"/>
        <v>0</v>
      </c>
      <c r="AR1008" s="40">
        <f t="shared" si="448"/>
        <v>1</v>
      </c>
      <c r="AS1008" s="40">
        <f t="shared" si="449"/>
        <v>0</v>
      </c>
    </row>
    <row r="1009" spans="2:45" ht="14.4" customHeight="1" x14ac:dyDescent="0.25">
      <c r="B1009" s="56" t="s">
        <v>45</v>
      </c>
      <c r="C1009" s="57" t="s">
        <v>25</v>
      </c>
      <c r="D1009" s="58" t="s">
        <v>33</v>
      </c>
      <c r="E1009" s="62">
        <v>7.2799999999999983E-3</v>
      </c>
      <c r="F1009" s="65">
        <f t="shared" si="450"/>
        <v>-4.9226244167735427</v>
      </c>
      <c r="S1009" s="40">
        <f t="shared" si="423"/>
        <v>0</v>
      </c>
      <c r="T1009" s="40">
        <f t="shared" si="424"/>
        <v>0</v>
      </c>
      <c r="U1009" s="40">
        <f t="shared" si="425"/>
        <v>0</v>
      </c>
      <c r="V1009" s="40">
        <f t="shared" si="426"/>
        <v>1</v>
      </c>
      <c r="W1009" s="40">
        <f t="shared" si="427"/>
        <v>0</v>
      </c>
      <c r="X1009" s="40">
        <f t="shared" si="428"/>
        <v>0</v>
      </c>
      <c r="Y1009" s="40">
        <f t="shared" si="429"/>
        <v>0</v>
      </c>
      <c r="Z1009" s="40">
        <f t="shared" si="430"/>
        <v>0</v>
      </c>
      <c r="AA1009" s="40">
        <f t="shared" si="431"/>
        <v>0</v>
      </c>
      <c r="AB1009" s="40">
        <f t="shared" si="432"/>
        <v>0</v>
      </c>
      <c r="AC1009" s="40">
        <f t="shared" si="433"/>
        <v>0</v>
      </c>
      <c r="AD1009" s="40">
        <f t="shared" si="434"/>
        <v>1</v>
      </c>
      <c r="AE1009" s="40">
        <f t="shared" si="435"/>
        <v>0</v>
      </c>
      <c r="AF1009" s="40">
        <f t="shared" si="436"/>
        <v>0</v>
      </c>
      <c r="AG1009" s="40">
        <f t="shared" si="437"/>
        <v>0</v>
      </c>
      <c r="AH1009" s="40">
        <f t="shared" si="438"/>
        <v>0</v>
      </c>
      <c r="AI1009" s="40">
        <f t="shared" si="439"/>
        <v>0</v>
      </c>
      <c r="AJ1009" s="40">
        <f t="shared" si="440"/>
        <v>0</v>
      </c>
      <c r="AK1009" s="40">
        <f t="shared" si="441"/>
        <v>0</v>
      </c>
      <c r="AL1009" s="40">
        <f t="shared" si="442"/>
        <v>0</v>
      </c>
      <c r="AM1009" s="40">
        <f t="shared" si="443"/>
        <v>0</v>
      </c>
      <c r="AN1009" s="40">
        <f t="shared" si="444"/>
        <v>0</v>
      </c>
      <c r="AO1009" s="40">
        <f t="shared" si="445"/>
        <v>1</v>
      </c>
      <c r="AP1009" s="40">
        <f t="shared" si="446"/>
        <v>0</v>
      </c>
      <c r="AQ1009" s="40">
        <f t="shared" si="447"/>
        <v>0</v>
      </c>
      <c r="AR1009" s="40">
        <f t="shared" si="448"/>
        <v>0</v>
      </c>
      <c r="AS1009" s="40">
        <f t="shared" si="449"/>
        <v>0</v>
      </c>
    </row>
    <row r="1010" spans="2:45" ht="14.4" customHeight="1" x14ac:dyDescent="0.25">
      <c r="B1010" s="56" t="s">
        <v>45</v>
      </c>
      <c r="C1010" s="57" t="s">
        <v>21</v>
      </c>
      <c r="D1010" s="58" t="s">
        <v>31</v>
      </c>
      <c r="E1010" s="62">
        <v>1.0909999999999996E-2</v>
      </c>
      <c r="F1010" s="65">
        <f t="shared" si="450"/>
        <v>-4.518075479137158</v>
      </c>
      <c r="S1010" s="40">
        <f t="shared" si="423"/>
        <v>0</v>
      </c>
      <c r="T1010" s="40">
        <f t="shared" si="424"/>
        <v>0</v>
      </c>
      <c r="U1010" s="40">
        <f t="shared" si="425"/>
        <v>0</v>
      </c>
      <c r="V1010" s="40">
        <f t="shared" si="426"/>
        <v>1</v>
      </c>
      <c r="W1010" s="40">
        <f t="shared" si="427"/>
        <v>0</v>
      </c>
      <c r="X1010" s="40">
        <f t="shared" si="428"/>
        <v>0</v>
      </c>
      <c r="Y1010" s="40">
        <f t="shared" si="429"/>
        <v>0</v>
      </c>
      <c r="Z1010" s="40">
        <f t="shared" si="430"/>
        <v>0</v>
      </c>
      <c r="AA1010" s="40">
        <f t="shared" si="431"/>
        <v>0</v>
      </c>
      <c r="AB1010" s="40">
        <f t="shared" si="432"/>
        <v>1</v>
      </c>
      <c r="AC1010" s="40">
        <f t="shared" si="433"/>
        <v>0</v>
      </c>
      <c r="AD1010" s="40">
        <f t="shared" si="434"/>
        <v>0</v>
      </c>
      <c r="AE1010" s="40">
        <f t="shared" si="435"/>
        <v>0</v>
      </c>
      <c r="AF1010" s="40">
        <f t="shared" si="436"/>
        <v>0</v>
      </c>
      <c r="AG1010" s="40">
        <f t="shared" si="437"/>
        <v>0</v>
      </c>
      <c r="AH1010" s="40">
        <f t="shared" si="438"/>
        <v>0</v>
      </c>
      <c r="AI1010" s="40">
        <f t="shared" si="439"/>
        <v>0</v>
      </c>
      <c r="AJ1010" s="40">
        <f t="shared" si="440"/>
        <v>1</v>
      </c>
      <c r="AK1010" s="40">
        <f t="shared" si="441"/>
        <v>0</v>
      </c>
      <c r="AL1010" s="40">
        <f t="shared" si="442"/>
        <v>0</v>
      </c>
      <c r="AM1010" s="40">
        <f t="shared" si="443"/>
        <v>0</v>
      </c>
      <c r="AN1010" s="40">
        <f t="shared" si="444"/>
        <v>0</v>
      </c>
      <c r="AO1010" s="40">
        <f t="shared" si="445"/>
        <v>0</v>
      </c>
      <c r="AP1010" s="40">
        <f t="shared" si="446"/>
        <v>0</v>
      </c>
      <c r="AQ1010" s="40">
        <f t="shared" si="447"/>
        <v>0</v>
      </c>
      <c r="AR1010" s="40">
        <f t="shared" si="448"/>
        <v>0</v>
      </c>
      <c r="AS1010" s="40">
        <f t="shared" si="449"/>
        <v>0</v>
      </c>
    </row>
    <row r="1011" spans="2:45" ht="14.4" customHeight="1" x14ac:dyDescent="0.25">
      <c r="B1011" s="56" t="s">
        <v>45</v>
      </c>
      <c r="C1011" s="57" t="s">
        <v>25</v>
      </c>
      <c r="D1011" s="58" t="s">
        <v>37</v>
      </c>
      <c r="E1011" s="62">
        <v>4.0500000000000015E-3</v>
      </c>
      <c r="F1011" s="65">
        <f t="shared" si="450"/>
        <v>-5.509038397863689</v>
      </c>
      <c r="S1011" s="40">
        <f t="shared" si="423"/>
        <v>0</v>
      </c>
      <c r="T1011" s="40">
        <f t="shared" si="424"/>
        <v>0</v>
      </c>
      <c r="U1011" s="40">
        <f t="shared" si="425"/>
        <v>0</v>
      </c>
      <c r="V1011" s="40">
        <f t="shared" si="426"/>
        <v>1</v>
      </c>
      <c r="W1011" s="40">
        <f t="shared" si="427"/>
        <v>0</v>
      </c>
      <c r="X1011" s="40">
        <f t="shared" si="428"/>
        <v>0</v>
      </c>
      <c r="Y1011" s="40">
        <f t="shared" si="429"/>
        <v>0</v>
      </c>
      <c r="Z1011" s="40">
        <f t="shared" si="430"/>
        <v>0</v>
      </c>
      <c r="AA1011" s="40">
        <f t="shared" si="431"/>
        <v>0</v>
      </c>
      <c r="AB1011" s="40">
        <f t="shared" si="432"/>
        <v>1</v>
      </c>
      <c r="AC1011" s="40">
        <f t="shared" si="433"/>
        <v>0</v>
      </c>
      <c r="AD1011" s="40">
        <f t="shared" si="434"/>
        <v>0</v>
      </c>
      <c r="AE1011" s="40">
        <f t="shared" si="435"/>
        <v>0</v>
      </c>
      <c r="AF1011" s="40">
        <f t="shared" si="436"/>
        <v>0</v>
      </c>
      <c r="AG1011" s="40">
        <f t="shared" si="437"/>
        <v>0</v>
      </c>
      <c r="AH1011" s="40">
        <f t="shared" si="438"/>
        <v>0</v>
      </c>
      <c r="AI1011" s="40">
        <f t="shared" si="439"/>
        <v>0</v>
      </c>
      <c r="AJ1011" s="40">
        <f t="shared" si="440"/>
        <v>0</v>
      </c>
      <c r="AK1011" s="40">
        <f t="shared" si="441"/>
        <v>0</v>
      </c>
      <c r="AL1011" s="40">
        <f t="shared" si="442"/>
        <v>0</v>
      </c>
      <c r="AM1011" s="40">
        <f t="shared" si="443"/>
        <v>0</v>
      </c>
      <c r="AN1011" s="40">
        <f t="shared" si="444"/>
        <v>0</v>
      </c>
      <c r="AO1011" s="40">
        <f t="shared" si="445"/>
        <v>1</v>
      </c>
      <c r="AP1011" s="40">
        <f t="shared" si="446"/>
        <v>0</v>
      </c>
      <c r="AQ1011" s="40">
        <f t="shared" si="447"/>
        <v>0</v>
      </c>
      <c r="AR1011" s="40">
        <f t="shared" si="448"/>
        <v>0</v>
      </c>
      <c r="AS1011" s="40">
        <f t="shared" si="449"/>
        <v>0</v>
      </c>
    </row>
    <row r="1012" spans="2:45" ht="14.4" customHeight="1" x14ac:dyDescent="0.25">
      <c r="B1012" s="56" t="s">
        <v>45</v>
      </c>
      <c r="C1012" s="57" t="s">
        <v>25</v>
      </c>
      <c r="D1012" s="58" t="s">
        <v>31</v>
      </c>
      <c r="E1012" s="62">
        <v>9.8900000000000012E-3</v>
      </c>
      <c r="F1012" s="65">
        <f t="shared" si="450"/>
        <v>-4.6162311333475161</v>
      </c>
      <c r="S1012" s="40">
        <f t="shared" si="423"/>
        <v>0</v>
      </c>
      <c r="T1012" s="40">
        <f t="shared" si="424"/>
        <v>0</v>
      </c>
      <c r="U1012" s="40">
        <f t="shared" si="425"/>
        <v>0</v>
      </c>
      <c r="V1012" s="40">
        <f t="shared" si="426"/>
        <v>1</v>
      </c>
      <c r="W1012" s="40">
        <f t="shared" si="427"/>
        <v>0</v>
      </c>
      <c r="X1012" s="40">
        <f t="shared" si="428"/>
        <v>0</v>
      </c>
      <c r="Y1012" s="40">
        <f t="shared" si="429"/>
        <v>0</v>
      </c>
      <c r="Z1012" s="40">
        <f t="shared" si="430"/>
        <v>0</v>
      </c>
      <c r="AA1012" s="40">
        <f t="shared" si="431"/>
        <v>0</v>
      </c>
      <c r="AB1012" s="40">
        <f t="shared" si="432"/>
        <v>1</v>
      </c>
      <c r="AC1012" s="40">
        <f t="shared" si="433"/>
        <v>0</v>
      </c>
      <c r="AD1012" s="40">
        <f t="shared" si="434"/>
        <v>0</v>
      </c>
      <c r="AE1012" s="40">
        <f t="shared" si="435"/>
        <v>0</v>
      </c>
      <c r="AF1012" s="40">
        <f t="shared" si="436"/>
        <v>0</v>
      </c>
      <c r="AG1012" s="40">
        <f t="shared" si="437"/>
        <v>0</v>
      </c>
      <c r="AH1012" s="40">
        <f t="shared" si="438"/>
        <v>0</v>
      </c>
      <c r="AI1012" s="40">
        <f t="shared" si="439"/>
        <v>0</v>
      </c>
      <c r="AJ1012" s="40">
        <f t="shared" si="440"/>
        <v>0</v>
      </c>
      <c r="AK1012" s="40">
        <f t="shared" si="441"/>
        <v>0</v>
      </c>
      <c r="AL1012" s="40">
        <f t="shared" si="442"/>
        <v>0</v>
      </c>
      <c r="AM1012" s="40">
        <f t="shared" si="443"/>
        <v>0</v>
      </c>
      <c r="AN1012" s="40">
        <f t="shared" si="444"/>
        <v>0</v>
      </c>
      <c r="AO1012" s="40">
        <f t="shared" si="445"/>
        <v>0</v>
      </c>
      <c r="AP1012" s="40">
        <f t="shared" si="446"/>
        <v>0</v>
      </c>
      <c r="AQ1012" s="40">
        <f t="shared" si="447"/>
        <v>0</v>
      </c>
      <c r="AR1012" s="40">
        <f t="shared" si="448"/>
        <v>0</v>
      </c>
      <c r="AS1012" s="40">
        <f t="shared" si="449"/>
        <v>1</v>
      </c>
    </row>
    <row r="1013" spans="2:45" ht="14.4" customHeight="1" x14ac:dyDescent="0.25">
      <c r="B1013" s="56" t="s">
        <v>45</v>
      </c>
      <c r="C1013" s="57" t="s">
        <v>25</v>
      </c>
      <c r="D1013" s="58" t="s">
        <v>22</v>
      </c>
      <c r="E1013" s="62">
        <v>6.069999999999999E-3</v>
      </c>
      <c r="F1013" s="65">
        <f t="shared" si="450"/>
        <v>-5.1043966739107303</v>
      </c>
      <c r="S1013" s="40">
        <f t="shared" si="423"/>
        <v>0</v>
      </c>
      <c r="T1013" s="40">
        <f t="shared" si="424"/>
        <v>0</v>
      </c>
      <c r="U1013" s="40">
        <f t="shared" si="425"/>
        <v>0</v>
      </c>
      <c r="V1013" s="40">
        <f t="shared" si="426"/>
        <v>1</v>
      </c>
      <c r="W1013" s="40">
        <f t="shared" si="427"/>
        <v>0</v>
      </c>
      <c r="X1013" s="40">
        <f t="shared" si="428"/>
        <v>0</v>
      </c>
      <c r="Y1013" s="40">
        <f t="shared" si="429"/>
        <v>0</v>
      </c>
      <c r="Z1013" s="40">
        <f t="shared" si="430"/>
        <v>0</v>
      </c>
      <c r="AA1013" s="40">
        <f t="shared" si="431"/>
        <v>0</v>
      </c>
      <c r="AB1013" s="40">
        <f t="shared" si="432"/>
        <v>1</v>
      </c>
      <c r="AC1013" s="40">
        <f t="shared" si="433"/>
        <v>0</v>
      </c>
      <c r="AD1013" s="40">
        <f t="shared" si="434"/>
        <v>0</v>
      </c>
      <c r="AE1013" s="40">
        <f t="shared" si="435"/>
        <v>0</v>
      </c>
      <c r="AF1013" s="40">
        <f t="shared" si="436"/>
        <v>0</v>
      </c>
      <c r="AG1013" s="40">
        <f t="shared" si="437"/>
        <v>0</v>
      </c>
      <c r="AH1013" s="40">
        <f t="shared" si="438"/>
        <v>0</v>
      </c>
      <c r="AI1013" s="40">
        <f t="shared" si="439"/>
        <v>1</v>
      </c>
      <c r="AJ1013" s="40">
        <f t="shared" si="440"/>
        <v>0</v>
      </c>
      <c r="AK1013" s="40">
        <f t="shared" si="441"/>
        <v>0</v>
      </c>
      <c r="AL1013" s="40">
        <f t="shared" si="442"/>
        <v>0</v>
      </c>
      <c r="AM1013" s="40">
        <f t="shared" si="443"/>
        <v>0</v>
      </c>
      <c r="AN1013" s="40">
        <f t="shared" si="444"/>
        <v>0</v>
      </c>
      <c r="AO1013" s="40">
        <f t="shared" si="445"/>
        <v>0</v>
      </c>
      <c r="AP1013" s="40">
        <f t="shared" si="446"/>
        <v>0</v>
      </c>
      <c r="AQ1013" s="40">
        <f t="shared" si="447"/>
        <v>0</v>
      </c>
      <c r="AR1013" s="40">
        <f t="shared" si="448"/>
        <v>0</v>
      </c>
      <c r="AS1013" s="40">
        <f t="shared" si="449"/>
        <v>0</v>
      </c>
    </row>
    <row r="1014" spans="2:45" ht="14.4" customHeight="1" x14ac:dyDescent="0.25">
      <c r="B1014" s="56" t="s">
        <v>45</v>
      </c>
      <c r="C1014" s="57" t="s">
        <v>25</v>
      </c>
      <c r="D1014" s="58" t="s">
        <v>28</v>
      </c>
      <c r="E1014" s="62">
        <v>2.8400000000000001E-3</v>
      </c>
      <c r="F1014" s="65">
        <f t="shared" si="450"/>
        <v>-5.8639512268090224</v>
      </c>
      <c r="S1014" s="40">
        <f t="shared" si="423"/>
        <v>0</v>
      </c>
      <c r="T1014" s="40">
        <f t="shared" si="424"/>
        <v>0</v>
      </c>
      <c r="U1014" s="40">
        <f t="shared" si="425"/>
        <v>0</v>
      </c>
      <c r="V1014" s="40">
        <f t="shared" si="426"/>
        <v>1</v>
      </c>
      <c r="W1014" s="40">
        <f t="shared" si="427"/>
        <v>0</v>
      </c>
      <c r="X1014" s="40">
        <f t="shared" si="428"/>
        <v>0</v>
      </c>
      <c r="Y1014" s="40">
        <f t="shared" si="429"/>
        <v>0</v>
      </c>
      <c r="Z1014" s="40">
        <f t="shared" si="430"/>
        <v>0</v>
      </c>
      <c r="AA1014" s="40">
        <f t="shared" si="431"/>
        <v>0</v>
      </c>
      <c r="AB1014" s="40">
        <f t="shared" si="432"/>
        <v>1</v>
      </c>
      <c r="AC1014" s="40">
        <f t="shared" si="433"/>
        <v>0</v>
      </c>
      <c r="AD1014" s="40">
        <f t="shared" si="434"/>
        <v>0</v>
      </c>
      <c r="AE1014" s="40">
        <f t="shared" si="435"/>
        <v>0</v>
      </c>
      <c r="AF1014" s="40">
        <f t="shared" si="436"/>
        <v>0</v>
      </c>
      <c r="AG1014" s="40">
        <f t="shared" si="437"/>
        <v>0</v>
      </c>
      <c r="AH1014" s="40">
        <f t="shared" si="438"/>
        <v>0</v>
      </c>
      <c r="AI1014" s="40">
        <f t="shared" si="439"/>
        <v>0</v>
      </c>
      <c r="AJ1014" s="40">
        <f t="shared" si="440"/>
        <v>0</v>
      </c>
      <c r="AK1014" s="40">
        <f t="shared" si="441"/>
        <v>0</v>
      </c>
      <c r="AL1014" s="40">
        <f t="shared" si="442"/>
        <v>0</v>
      </c>
      <c r="AM1014" s="40">
        <f t="shared" si="443"/>
        <v>0</v>
      </c>
      <c r="AN1014" s="40">
        <f t="shared" si="444"/>
        <v>0</v>
      </c>
      <c r="AO1014" s="40">
        <f t="shared" si="445"/>
        <v>0</v>
      </c>
      <c r="AP1014" s="40">
        <f t="shared" si="446"/>
        <v>0</v>
      </c>
      <c r="AQ1014" s="40">
        <f t="shared" si="447"/>
        <v>0</v>
      </c>
      <c r="AR1014" s="40">
        <f t="shared" si="448"/>
        <v>1</v>
      </c>
      <c r="AS1014" s="40">
        <f t="shared" si="449"/>
        <v>0</v>
      </c>
    </row>
    <row r="1015" spans="2:45" ht="14.4" customHeight="1" x14ac:dyDescent="0.25">
      <c r="B1015" s="56" t="s">
        <v>45</v>
      </c>
      <c r="C1015" s="57" t="s">
        <v>25</v>
      </c>
      <c r="D1015" s="58" t="s">
        <v>33</v>
      </c>
      <c r="E1015" s="62">
        <v>1.141E-2</v>
      </c>
      <c r="F1015" s="65">
        <f t="shared" si="450"/>
        <v>-4.4732651151081528</v>
      </c>
      <c r="S1015" s="40">
        <f t="shared" si="423"/>
        <v>0</v>
      </c>
      <c r="T1015" s="40">
        <f t="shared" si="424"/>
        <v>0</v>
      </c>
      <c r="U1015" s="40">
        <f t="shared" si="425"/>
        <v>0</v>
      </c>
      <c r="V1015" s="40">
        <f t="shared" si="426"/>
        <v>1</v>
      </c>
      <c r="W1015" s="40">
        <f t="shared" si="427"/>
        <v>0</v>
      </c>
      <c r="X1015" s="40">
        <f t="shared" si="428"/>
        <v>0</v>
      </c>
      <c r="Y1015" s="40">
        <f t="shared" si="429"/>
        <v>0</v>
      </c>
      <c r="Z1015" s="40">
        <f t="shared" si="430"/>
        <v>0</v>
      </c>
      <c r="AA1015" s="40">
        <f t="shared" si="431"/>
        <v>0</v>
      </c>
      <c r="AB1015" s="40">
        <f t="shared" si="432"/>
        <v>1</v>
      </c>
      <c r="AC1015" s="40">
        <f t="shared" si="433"/>
        <v>0</v>
      </c>
      <c r="AD1015" s="40">
        <f t="shared" si="434"/>
        <v>0</v>
      </c>
      <c r="AE1015" s="40">
        <f t="shared" si="435"/>
        <v>0</v>
      </c>
      <c r="AF1015" s="40">
        <f t="shared" si="436"/>
        <v>0</v>
      </c>
      <c r="AG1015" s="40">
        <f t="shared" si="437"/>
        <v>0</v>
      </c>
      <c r="AH1015" s="40">
        <f t="shared" si="438"/>
        <v>0</v>
      </c>
      <c r="AI1015" s="40">
        <f t="shared" si="439"/>
        <v>1</v>
      </c>
      <c r="AJ1015" s="40">
        <f t="shared" si="440"/>
        <v>0</v>
      </c>
      <c r="AK1015" s="40">
        <f t="shared" si="441"/>
        <v>0</v>
      </c>
      <c r="AL1015" s="40">
        <f t="shared" si="442"/>
        <v>0</v>
      </c>
      <c r="AM1015" s="40">
        <f t="shared" si="443"/>
        <v>0</v>
      </c>
      <c r="AN1015" s="40">
        <f t="shared" si="444"/>
        <v>0</v>
      </c>
      <c r="AO1015" s="40">
        <f t="shared" si="445"/>
        <v>0</v>
      </c>
      <c r="AP1015" s="40">
        <f t="shared" si="446"/>
        <v>0</v>
      </c>
      <c r="AQ1015" s="40">
        <f t="shared" si="447"/>
        <v>0</v>
      </c>
      <c r="AR1015" s="40">
        <f t="shared" si="448"/>
        <v>0</v>
      </c>
      <c r="AS1015" s="40">
        <f t="shared" si="449"/>
        <v>0</v>
      </c>
    </row>
    <row r="1016" spans="2:45" ht="14.4" customHeight="1" x14ac:dyDescent="0.25">
      <c r="B1016" s="56" t="s">
        <v>45</v>
      </c>
      <c r="C1016" s="57" t="s">
        <v>25</v>
      </c>
      <c r="D1016" s="58" t="s">
        <v>28</v>
      </c>
      <c r="E1016" s="62">
        <v>2.0400000000000006E-3</v>
      </c>
      <c r="F1016" s="65">
        <f t="shared" si="450"/>
        <v>-6.1948054711260117</v>
      </c>
      <c r="S1016" s="40">
        <f t="shared" si="423"/>
        <v>0</v>
      </c>
      <c r="T1016" s="40">
        <f t="shared" si="424"/>
        <v>0</v>
      </c>
      <c r="U1016" s="40">
        <f t="shared" si="425"/>
        <v>0</v>
      </c>
      <c r="V1016" s="40">
        <f t="shared" si="426"/>
        <v>1</v>
      </c>
      <c r="W1016" s="40">
        <f t="shared" si="427"/>
        <v>0</v>
      </c>
      <c r="X1016" s="40">
        <f t="shared" si="428"/>
        <v>0</v>
      </c>
      <c r="Y1016" s="40">
        <f t="shared" si="429"/>
        <v>0</v>
      </c>
      <c r="Z1016" s="40">
        <f t="shared" si="430"/>
        <v>0</v>
      </c>
      <c r="AA1016" s="40">
        <f t="shared" si="431"/>
        <v>0</v>
      </c>
      <c r="AB1016" s="40">
        <f t="shared" si="432"/>
        <v>1</v>
      </c>
      <c r="AC1016" s="40">
        <f t="shared" si="433"/>
        <v>0</v>
      </c>
      <c r="AD1016" s="40">
        <f t="shared" si="434"/>
        <v>0</v>
      </c>
      <c r="AE1016" s="40">
        <f t="shared" si="435"/>
        <v>0</v>
      </c>
      <c r="AF1016" s="40">
        <f t="shared" si="436"/>
        <v>0</v>
      </c>
      <c r="AG1016" s="40">
        <f t="shared" si="437"/>
        <v>0</v>
      </c>
      <c r="AH1016" s="40">
        <f t="shared" si="438"/>
        <v>0</v>
      </c>
      <c r="AI1016" s="40">
        <f t="shared" si="439"/>
        <v>0</v>
      </c>
      <c r="AJ1016" s="40">
        <f t="shared" si="440"/>
        <v>0</v>
      </c>
      <c r="AK1016" s="40">
        <f t="shared" si="441"/>
        <v>0</v>
      </c>
      <c r="AL1016" s="40">
        <f t="shared" si="442"/>
        <v>0</v>
      </c>
      <c r="AM1016" s="40">
        <f t="shared" si="443"/>
        <v>0</v>
      </c>
      <c r="AN1016" s="40">
        <f t="shared" si="444"/>
        <v>0</v>
      </c>
      <c r="AO1016" s="40">
        <f t="shared" si="445"/>
        <v>1</v>
      </c>
      <c r="AP1016" s="40">
        <f t="shared" si="446"/>
        <v>0</v>
      </c>
      <c r="AQ1016" s="40">
        <f t="shared" si="447"/>
        <v>0</v>
      </c>
      <c r="AR1016" s="40">
        <f t="shared" si="448"/>
        <v>0</v>
      </c>
      <c r="AS1016" s="40">
        <f t="shared" si="449"/>
        <v>0</v>
      </c>
    </row>
    <row r="1017" spans="2:45" ht="14.4" customHeight="1" x14ac:dyDescent="0.25">
      <c r="B1017" s="56" t="s">
        <v>45</v>
      </c>
      <c r="C1017" s="57" t="s">
        <v>25</v>
      </c>
      <c r="D1017" s="58" t="s">
        <v>31</v>
      </c>
      <c r="E1017" s="62">
        <v>8.1199999999999987E-3</v>
      </c>
      <c r="F1017" s="65">
        <f t="shared" si="450"/>
        <v>-4.8134251248085507</v>
      </c>
      <c r="S1017" s="40">
        <f t="shared" si="423"/>
        <v>0</v>
      </c>
      <c r="T1017" s="40">
        <f t="shared" si="424"/>
        <v>0</v>
      </c>
      <c r="U1017" s="40">
        <f t="shared" si="425"/>
        <v>0</v>
      </c>
      <c r="V1017" s="40">
        <f t="shared" si="426"/>
        <v>1</v>
      </c>
      <c r="W1017" s="40">
        <f t="shared" si="427"/>
        <v>0</v>
      </c>
      <c r="X1017" s="40">
        <f t="shared" si="428"/>
        <v>0</v>
      </c>
      <c r="Y1017" s="40">
        <f t="shared" si="429"/>
        <v>0</v>
      </c>
      <c r="Z1017" s="40">
        <f t="shared" si="430"/>
        <v>0</v>
      </c>
      <c r="AA1017" s="40">
        <f t="shared" si="431"/>
        <v>0</v>
      </c>
      <c r="AB1017" s="40">
        <f t="shared" si="432"/>
        <v>1</v>
      </c>
      <c r="AC1017" s="40">
        <f t="shared" si="433"/>
        <v>0</v>
      </c>
      <c r="AD1017" s="40">
        <f t="shared" si="434"/>
        <v>0</v>
      </c>
      <c r="AE1017" s="40">
        <f t="shared" si="435"/>
        <v>0</v>
      </c>
      <c r="AF1017" s="40">
        <f t="shared" si="436"/>
        <v>0</v>
      </c>
      <c r="AG1017" s="40">
        <f t="shared" si="437"/>
        <v>0</v>
      </c>
      <c r="AH1017" s="40">
        <f t="shared" si="438"/>
        <v>0</v>
      </c>
      <c r="AI1017" s="40">
        <f t="shared" si="439"/>
        <v>1</v>
      </c>
      <c r="AJ1017" s="40">
        <f t="shared" si="440"/>
        <v>0</v>
      </c>
      <c r="AK1017" s="40">
        <f t="shared" si="441"/>
        <v>0</v>
      </c>
      <c r="AL1017" s="40">
        <f t="shared" si="442"/>
        <v>0</v>
      </c>
      <c r="AM1017" s="40">
        <f t="shared" si="443"/>
        <v>0</v>
      </c>
      <c r="AN1017" s="40">
        <f t="shared" si="444"/>
        <v>0</v>
      </c>
      <c r="AO1017" s="40">
        <f t="shared" si="445"/>
        <v>0</v>
      </c>
      <c r="AP1017" s="40">
        <f t="shared" si="446"/>
        <v>0</v>
      </c>
      <c r="AQ1017" s="40">
        <f t="shared" si="447"/>
        <v>0</v>
      </c>
      <c r="AR1017" s="40">
        <f t="shared" si="448"/>
        <v>0</v>
      </c>
      <c r="AS1017" s="40">
        <f t="shared" si="449"/>
        <v>0</v>
      </c>
    </row>
    <row r="1018" spans="2:45" ht="14.4" customHeight="1" x14ac:dyDescent="0.25">
      <c r="B1018" s="56" t="s">
        <v>45</v>
      </c>
      <c r="C1018" s="57" t="s">
        <v>25</v>
      </c>
      <c r="D1018" s="58" t="s">
        <v>28</v>
      </c>
      <c r="E1018" s="62">
        <v>1.0919999999999999E-2</v>
      </c>
      <c r="F1018" s="65">
        <f t="shared" si="450"/>
        <v>-4.5171593086653781</v>
      </c>
      <c r="S1018" s="40">
        <f t="shared" si="423"/>
        <v>0</v>
      </c>
      <c r="T1018" s="40">
        <f t="shared" si="424"/>
        <v>0</v>
      </c>
      <c r="U1018" s="40">
        <f t="shared" si="425"/>
        <v>0</v>
      </c>
      <c r="V1018" s="40">
        <f t="shared" si="426"/>
        <v>1</v>
      </c>
      <c r="W1018" s="40">
        <f t="shared" si="427"/>
        <v>0</v>
      </c>
      <c r="X1018" s="40">
        <f t="shared" si="428"/>
        <v>0</v>
      </c>
      <c r="Y1018" s="40">
        <f t="shared" si="429"/>
        <v>0</v>
      </c>
      <c r="Z1018" s="40">
        <f t="shared" si="430"/>
        <v>0</v>
      </c>
      <c r="AA1018" s="40">
        <f t="shared" si="431"/>
        <v>0</v>
      </c>
      <c r="AB1018" s="40">
        <f t="shared" si="432"/>
        <v>0</v>
      </c>
      <c r="AC1018" s="40">
        <f t="shared" si="433"/>
        <v>0</v>
      </c>
      <c r="AD1018" s="40">
        <f t="shared" si="434"/>
        <v>0</v>
      </c>
      <c r="AE1018" s="40">
        <f t="shared" si="435"/>
        <v>1</v>
      </c>
      <c r="AF1018" s="40">
        <f t="shared" si="436"/>
        <v>0</v>
      </c>
      <c r="AG1018" s="40">
        <f t="shared" si="437"/>
        <v>0</v>
      </c>
      <c r="AH1018" s="40">
        <f t="shared" si="438"/>
        <v>0</v>
      </c>
      <c r="AI1018" s="40">
        <f t="shared" si="439"/>
        <v>0</v>
      </c>
      <c r="AJ1018" s="40">
        <f t="shared" si="440"/>
        <v>0</v>
      </c>
      <c r="AK1018" s="40">
        <f t="shared" si="441"/>
        <v>0</v>
      </c>
      <c r="AL1018" s="40">
        <f t="shared" si="442"/>
        <v>0</v>
      </c>
      <c r="AM1018" s="40">
        <f t="shared" si="443"/>
        <v>0</v>
      </c>
      <c r="AN1018" s="40">
        <f t="shared" si="444"/>
        <v>0</v>
      </c>
      <c r="AO1018" s="40">
        <f t="shared" si="445"/>
        <v>0</v>
      </c>
      <c r="AP1018" s="40">
        <f t="shared" si="446"/>
        <v>0</v>
      </c>
      <c r="AQ1018" s="40">
        <f t="shared" si="447"/>
        <v>0</v>
      </c>
      <c r="AR1018" s="40">
        <f t="shared" si="448"/>
        <v>0</v>
      </c>
      <c r="AS1018" s="40">
        <f t="shared" si="449"/>
        <v>1</v>
      </c>
    </row>
    <row r="1019" spans="2:45" ht="14.4" customHeight="1" x14ac:dyDescent="0.25">
      <c r="B1019" s="56" t="s">
        <v>45</v>
      </c>
      <c r="C1019" s="57" t="s">
        <v>34</v>
      </c>
      <c r="D1019" s="58" t="s">
        <v>22</v>
      </c>
      <c r="E1019" s="62">
        <v>9.6099999999999988E-3</v>
      </c>
      <c r="F1019" s="65">
        <f t="shared" si="450"/>
        <v>-4.6449510559999361</v>
      </c>
      <c r="S1019" s="40">
        <f t="shared" si="423"/>
        <v>0</v>
      </c>
      <c r="T1019" s="40">
        <f t="shared" si="424"/>
        <v>0</v>
      </c>
      <c r="U1019" s="40">
        <f t="shared" si="425"/>
        <v>0</v>
      </c>
      <c r="V1019" s="40">
        <f t="shared" si="426"/>
        <v>1</v>
      </c>
      <c r="W1019" s="40">
        <f t="shared" si="427"/>
        <v>0</v>
      </c>
      <c r="X1019" s="40">
        <f t="shared" si="428"/>
        <v>0</v>
      </c>
      <c r="Y1019" s="40">
        <f t="shared" si="429"/>
        <v>0</v>
      </c>
      <c r="Z1019" s="40">
        <f t="shared" si="430"/>
        <v>0</v>
      </c>
      <c r="AA1019" s="40">
        <f t="shared" si="431"/>
        <v>0</v>
      </c>
      <c r="AB1019" s="40">
        <f t="shared" si="432"/>
        <v>0</v>
      </c>
      <c r="AC1019" s="40">
        <f t="shared" si="433"/>
        <v>0</v>
      </c>
      <c r="AD1019" s="40">
        <f t="shared" si="434"/>
        <v>0</v>
      </c>
      <c r="AE1019" s="40">
        <f t="shared" si="435"/>
        <v>1</v>
      </c>
      <c r="AF1019" s="40">
        <f t="shared" si="436"/>
        <v>0</v>
      </c>
      <c r="AG1019" s="40">
        <f t="shared" si="437"/>
        <v>0</v>
      </c>
      <c r="AH1019" s="40">
        <f t="shared" si="438"/>
        <v>0</v>
      </c>
      <c r="AI1019" s="40">
        <f t="shared" si="439"/>
        <v>0</v>
      </c>
      <c r="AJ1019" s="40">
        <f t="shared" si="440"/>
        <v>1</v>
      </c>
      <c r="AK1019" s="40">
        <f t="shared" si="441"/>
        <v>0</v>
      </c>
      <c r="AL1019" s="40">
        <f t="shared" si="442"/>
        <v>0</v>
      </c>
      <c r="AM1019" s="40">
        <f t="shared" si="443"/>
        <v>0</v>
      </c>
      <c r="AN1019" s="40">
        <f t="shared" si="444"/>
        <v>0</v>
      </c>
      <c r="AO1019" s="40">
        <f t="shared" si="445"/>
        <v>0</v>
      </c>
      <c r="AP1019" s="40">
        <f t="shared" si="446"/>
        <v>0</v>
      </c>
      <c r="AQ1019" s="40">
        <f t="shared" si="447"/>
        <v>0</v>
      </c>
      <c r="AR1019" s="40">
        <f t="shared" si="448"/>
        <v>0</v>
      </c>
      <c r="AS1019" s="40">
        <f t="shared" si="449"/>
        <v>0</v>
      </c>
    </row>
    <row r="1020" spans="2:45" ht="14.4" customHeight="1" x14ac:dyDescent="0.25">
      <c r="B1020" s="56" t="s">
        <v>45</v>
      </c>
      <c r="C1020" s="57" t="s">
        <v>34</v>
      </c>
      <c r="D1020" s="58" t="s">
        <v>37</v>
      </c>
      <c r="E1020" s="62">
        <v>1.2389999999999995E-2</v>
      </c>
      <c r="F1020" s="65">
        <f t="shared" si="450"/>
        <v>-4.3908655833410863</v>
      </c>
      <c r="S1020" s="40">
        <f t="shared" si="423"/>
        <v>0</v>
      </c>
      <c r="T1020" s="40">
        <f t="shared" si="424"/>
        <v>0</v>
      </c>
      <c r="U1020" s="40">
        <f t="shared" si="425"/>
        <v>0</v>
      </c>
      <c r="V1020" s="40">
        <f t="shared" si="426"/>
        <v>1</v>
      </c>
      <c r="W1020" s="40">
        <f t="shared" si="427"/>
        <v>0</v>
      </c>
      <c r="X1020" s="40">
        <f t="shared" si="428"/>
        <v>0</v>
      </c>
      <c r="Y1020" s="40">
        <f t="shared" si="429"/>
        <v>0</v>
      </c>
      <c r="Z1020" s="40">
        <f t="shared" si="430"/>
        <v>0</v>
      </c>
      <c r="AA1020" s="40">
        <f t="shared" si="431"/>
        <v>0</v>
      </c>
      <c r="AB1020" s="40">
        <f t="shared" si="432"/>
        <v>0</v>
      </c>
      <c r="AC1020" s="40">
        <f t="shared" si="433"/>
        <v>0</v>
      </c>
      <c r="AD1020" s="40">
        <f t="shared" si="434"/>
        <v>0</v>
      </c>
      <c r="AE1020" s="40">
        <f t="shared" si="435"/>
        <v>1</v>
      </c>
      <c r="AF1020" s="40">
        <f t="shared" si="436"/>
        <v>0</v>
      </c>
      <c r="AG1020" s="40">
        <f t="shared" si="437"/>
        <v>0</v>
      </c>
      <c r="AH1020" s="40">
        <f t="shared" si="438"/>
        <v>1</v>
      </c>
      <c r="AI1020" s="40">
        <f t="shared" si="439"/>
        <v>0</v>
      </c>
      <c r="AJ1020" s="40">
        <f t="shared" si="440"/>
        <v>0</v>
      </c>
      <c r="AK1020" s="40">
        <f t="shared" si="441"/>
        <v>0</v>
      </c>
      <c r="AL1020" s="40">
        <f t="shared" si="442"/>
        <v>0</v>
      </c>
      <c r="AM1020" s="40">
        <f t="shared" si="443"/>
        <v>0</v>
      </c>
      <c r="AN1020" s="40">
        <f t="shared" si="444"/>
        <v>0</v>
      </c>
      <c r="AO1020" s="40">
        <f t="shared" si="445"/>
        <v>0</v>
      </c>
      <c r="AP1020" s="40">
        <f t="shared" si="446"/>
        <v>0</v>
      </c>
      <c r="AQ1020" s="40">
        <f t="shared" si="447"/>
        <v>0</v>
      </c>
      <c r="AR1020" s="40">
        <f t="shared" si="448"/>
        <v>0</v>
      </c>
      <c r="AS1020" s="40">
        <f t="shared" si="449"/>
        <v>0</v>
      </c>
    </row>
    <row r="1021" spans="2:45" ht="14.4" customHeight="1" x14ac:dyDescent="0.25">
      <c r="B1021" s="56" t="s">
        <v>45</v>
      </c>
      <c r="C1021" s="57" t="s">
        <v>34</v>
      </c>
      <c r="D1021" s="58" t="s">
        <v>27</v>
      </c>
      <c r="E1021" s="62">
        <v>1.1189999999999995E-2</v>
      </c>
      <c r="F1021" s="65">
        <f t="shared" si="450"/>
        <v>-4.4927347566583036</v>
      </c>
      <c r="S1021" s="40">
        <f t="shared" si="423"/>
        <v>0</v>
      </c>
      <c r="T1021" s="40">
        <f t="shared" si="424"/>
        <v>0</v>
      </c>
      <c r="U1021" s="40">
        <f t="shared" si="425"/>
        <v>0</v>
      </c>
      <c r="V1021" s="40">
        <f t="shared" si="426"/>
        <v>1</v>
      </c>
      <c r="W1021" s="40">
        <f t="shared" si="427"/>
        <v>0</v>
      </c>
      <c r="X1021" s="40">
        <f t="shared" si="428"/>
        <v>0</v>
      </c>
      <c r="Y1021" s="40">
        <f t="shared" si="429"/>
        <v>0</v>
      </c>
      <c r="Z1021" s="40">
        <f t="shared" si="430"/>
        <v>0</v>
      </c>
      <c r="AA1021" s="40">
        <f t="shared" si="431"/>
        <v>0</v>
      </c>
      <c r="AB1021" s="40">
        <f t="shared" si="432"/>
        <v>0</v>
      </c>
      <c r="AC1021" s="40">
        <f t="shared" si="433"/>
        <v>0</v>
      </c>
      <c r="AD1021" s="40">
        <f t="shared" si="434"/>
        <v>0</v>
      </c>
      <c r="AE1021" s="40">
        <f t="shared" si="435"/>
        <v>0</v>
      </c>
      <c r="AF1021" s="40">
        <f t="shared" si="436"/>
        <v>0</v>
      </c>
      <c r="AG1021" s="40">
        <f t="shared" si="437"/>
        <v>1</v>
      </c>
      <c r="AH1021" s="40">
        <f t="shared" si="438"/>
        <v>0</v>
      </c>
      <c r="AI1021" s="40">
        <f t="shared" si="439"/>
        <v>0</v>
      </c>
      <c r="AJ1021" s="40">
        <f t="shared" si="440"/>
        <v>0</v>
      </c>
      <c r="AK1021" s="40">
        <f t="shared" si="441"/>
        <v>1</v>
      </c>
      <c r="AL1021" s="40">
        <f t="shared" si="442"/>
        <v>0</v>
      </c>
      <c r="AM1021" s="40">
        <f t="shared" si="443"/>
        <v>0</v>
      </c>
      <c r="AN1021" s="40">
        <f t="shared" si="444"/>
        <v>0</v>
      </c>
      <c r="AO1021" s="40">
        <f t="shared" si="445"/>
        <v>0</v>
      </c>
      <c r="AP1021" s="40">
        <f t="shared" si="446"/>
        <v>0</v>
      </c>
      <c r="AQ1021" s="40">
        <f t="shared" si="447"/>
        <v>0</v>
      </c>
      <c r="AR1021" s="40">
        <f t="shared" si="448"/>
        <v>0</v>
      </c>
      <c r="AS1021" s="40">
        <f t="shared" si="449"/>
        <v>0</v>
      </c>
    </row>
    <row r="1022" spans="2:45" ht="14.4" customHeight="1" x14ac:dyDescent="0.25">
      <c r="B1022" s="56" t="s">
        <v>45</v>
      </c>
      <c r="C1022" s="57" t="s">
        <v>38</v>
      </c>
      <c r="D1022" s="58" t="s">
        <v>32</v>
      </c>
      <c r="E1022" s="62">
        <v>9.219999999999999E-3</v>
      </c>
      <c r="F1022" s="65">
        <f t="shared" si="450"/>
        <v>-4.6863802414136346</v>
      </c>
      <c r="S1022" s="40">
        <f t="shared" si="423"/>
        <v>0</v>
      </c>
      <c r="T1022" s="40">
        <f t="shared" si="424"/>
        <v>0</v>
      </c>
      <c r="U1022" s="40">
        <f t="shared" si="425"/>
        <v>0</v>
      </c>
      <c r="V1022" s="40">
        <f t="shared" si="426"/>
        <v>1</v>
      </c>
      <c r="W1022" s="40">
        <f t="shared" si="427"/>
        <v>0</v>
      </c>
      <c r="X1022" s="40">
        <f t="shared" si="428"/>
        <v>0</v>
      </c>
      <c r="Y1022" s="40">
        <f t="shared" si="429"/>
        <v>0</v>
      </c>
      <c r="Z1022" s="40">
        <f t="shared" si="430"/>
        <v>0</v>
      </c>
      <c r="AA1022" s="40">
        <f t="shared" si="431"/>
        <v>0</v>
      </c>
      <c r="AB1022" s="40">
        <f t="shared" si="432"/>
        <v>0</v>
      </c>
      <c r="AC1022" s="40">
        <f t="shared" si="433"/>
        <v>0</v>
      </c>
      <c r="AD1022" s="40">
        <f t="shared" si="434"/>
        <v>0</v>
      </c>
      <c r="AE1022" s="40">
        <f t="shared" si="435"/>
        <v>0</v>
      </c>
      <c r="AF1022" s="40">
        <f t="shared" si="436"/>
        <v>0</v>
      </c>
      <c r="AG1022" s="40">
        <f t="shared" si="437"/>
        <v>1</v>
      </c>
      <c r="AH1022" s="40">
        <f t="shared" si="438"/>
        <v>0</v>
      </c>
      <c r="AI1022" s="40">
        <f t="shared" si="439"/>
        <v>0</v>
      </c>
      <c r="AJ1022" s="40">
        <f t="shared" si="440"/>
        <v>0</v>
      </c>
      <c r="AK1022" s="40">
        <f t="shared" si="441"/>
        <v>0</v>
      </c>
      <c r="AL1022" s="40">
        <f t="shared" si="442"/>
        <v>0</v>
      </c>
      <c r="AM1022" s="40">
        <f t="shared" si="443"/>
        <v>0</v>
      </c>
      <c r="AN1022" s="40">
        <f t="shared" si="444"/>
        <v>0</v>
      </c>
      <c r="AO1022" s="40">
        <f t="shared" si="445"/>
        <v>0</v>
      </c>
      <c r="AP1022" s="40">
        <f t="shared" si="446"/>
        <v>0</v>
      </c>
      <c r="AQ1022" s="40">
        <f t="shared" si="447"/>
        <v>0</v>
      </c>
      <c r="AR1022" s="40">
        <f t="shared" si="448"/>
        <v>1</v>
      </c>
      <c r="AS1022" s="40">
        <f t="shared" si="449"/>
        <v>0</v>
      </c>
    </row>
    <row r="1023" spans="2:45" ht="14.4" customHeight="1" x14ac:dyDescent="0.25">
      <c r="B1023" s="56" t="s">
        <v>45</v>
      </c>
      <c r="C1023" s="57" t="s">
        <v>38</v>
      </c>
      <c r="D1023" s="58" t="s">
        <v>33</v>
      </c>
      <c r="E1023" s="62">
        <v>6.2900000000000013E-3</v>
      </c>
      <c r="F1023" s="65">
        <f t="shared" si="450"/>
        <v>-5.0687942082697877</v>
      </c>
      <c r="S1023" s="40">
        <f t="shared" si="423"/>
        <v>0</v>
      </c>
      <c r="T1023" s="40">
        <f t="shared" si="424"/>
        <v>0</v>
      </c>
      <c r="U1023" s="40">
        <f t="shared" si="425"/>
        <v>0</v>
      </c>
      <c r="V1023" s="40">
        <f t="shared" si="426"/>
        <v>1</v>
      </c>
      <c r="W1023" s="40">
        <f t="shared" si="427"/>
        <v>0</v>
      </c>
      <c r="X1023" s="40">
        <f t="shared" si="428"/>
        <v>0</v>
      </c>
      <c r="Y1023" s="40">
        <f t="shared" si="429"/>
        <v>0</v>
      </c>
      <c r="Z1023" s="40">
        <f t="shared" si="430"/>
        <v>0</v>
      </c>
      <c r="AA1023" s="40">
        <f t="shared" si="431"/>
        <v>0</v>
      </c>
      <c r="AB1023" s="40">
        <f t="shared" si="432"/>
        <v>0</v>
      </c>
      <c r="AC1023" s="40">
        <f t="shared" si="433"/>
        <v>0</v>
      </c>
      <c r="AD1023" s="40">
        <f t="shared" si="434"/>
        <v>0</v>
      </c>
      <c r="AE1023" s="40">
        <f t="shared" si="435"/>
        <v>0</v>
      </c>
      <c r="AF1023" s="40">
        <f t="shared" si="436"/>
        <v>0</v>
      </c>
      <c r="AG1023" s="40">
        <f t="shared" si="437"/>
        <v>1</v>
      </c>
      <c r="AH1023" s="40">
        <f t="shared" si="438"/>
        <v>0</v>
      </c>
      <c r="AI1023" s="40">
        <f t="shared" si="439"/>
        <v>0</v>
      </c>
      <c r="AJ1023" s="40">
        <f t="shared" si="440"/>
        <v>1</v>
      </c>
      <c r="AK1023" s="40">
        <f t="shared" si="441"/>
        <v>0</v>
      </c>
      <c r="AL1023" s="40">
        <f t="shared" si="442"/>
        <v>0</v>
      </c>
      <c r="AM1023" s="40">
        <f t="shared" si="443"/>
        <v>0</v>
      </c>
      <c r="AN1023" s="40">
        <f t="shared" si="444"/>
        <v>0</v>
      </c>
      <c r="AO1023" s="40">
        <f t="shared" si="445"/>
        <v>0</v>
      </c>
      <c r="AP1023" s="40">
        <f t="shared" si="446"/>
        <v>0</v>
      </c>
      <c r="AQ1023" s="40">
        <f t="shared" si="447"/>
        <v>0</v>
      </c>
      <c r="AR1023" s="40">
        <f t="shared" si="448"/>
        <v>0</v>
      </c>
      <c r="AS1023" s="40">
        <f t="shared" si="449"/>
        <v>0</v>
      </c>
    </row>
    <row r="1024" spans="2:45" ht="14.4" customHeight="1" x14ac:dyDescent="0.25">
      <c r="B1024" s="56" t="s">
        <v>45</v>
      </c>
      <c r="C1024" s="57" t="s">
        <v>38</v>
      </c>
      <c r="D1024" s="58" t="s">
        <v>37</v>
      </c>
      <c r="E1024" s="62">
        <v>4.2600000000000008E-3</v>
      </c>
      <c r="F1024" s="65">
        <f t="shared" si="450"/>
        <v>-5.4584861187008578</v>
      </c>
      <c r="S1024" s="40">
        <f t="shared" si="423"/>
        <v>0</v>
      </c>
      <c r="T1024" s="40">
        <f t="shared" si="424"/>
        <v>0</v>
      </c>
      <c r="U1024" s="40">
        <f t="shared" si="425"/>
        <v>0</v>
      </c>
      <c r="V1024" s="40">
        <f t="shared" si="426"/>
        <v>1</v>
      </c>
      <c r="W1024" s="40">
        <f t="shared" si="427"/>
        <v>0</v>
      </c>
      <c r="X1024" s="40">
        <f t="shared" si="428"/>
        <v>0</v>
      </c>
      <c r="Y1024" s="40">
        <f t="shared" si="429"/>
        <v>0</v>
      </c>
      <c r="Z1024" s="40">
        <f t="shared" si="430"/>
        <v>0</v>
      </c>
      <c r="AA1024" s="40">
        <f t="shared" si="431"/>
        <v>0</v>
      </c>
      <c r="AB1024" s="40">
        <f t="shared" si="432"/>
        <v>0</v>
      </c>
      <c r="AC1024" s="40">
        <f t="shared" si="433"/>
        <v>0</v>
      </c>
      <c r="AD1024" s="40">
        <f t="shared" si="434"/>
        <v>0</v>
      </c>
      <c r="AE1024" s="40">
        <f t="shared" si="435"/>
        <v>0</v>
      </c>
      <c r="AF1024" s="40">
        <f t="shared" si="436"/>
        <v>0</v>
      </c>
      <c r="AG1024" s="40">
        <f t="shared" si="437"/>
        <v>1</v>
      </c>
      <c r="AH1024" s="40">
        <f t="shared" si="438"/>
        <v>0</v>
      </c>
      <c r="AI1024" s="40">
        <f t="shared" si="439"/>
        <v>0</v>
      </c>
      <c r="AJ1024" s="40">
        <f t="shared" si="440"/>
        <v>0</v>
      </c>
      <c r="AK1024" s="40">
        <f t="shared" si="441"/>
        <v>0</v>
      </c>
      <c r="AL1024" s="40">
        <f t="shared" si="442"/>
        <v>0</v>
      </c>
      <c r="AM1024" s="40">
        <f t="shared" si="443"/>
        <v>0</v>
      </c>
      <c r="AN1024" s="40">
        <f t="shared" si="444"/>
        <v>0</v>
      </c>
      <c r="AO1024" s="40">
        <f t="shared" si="445"/>
        <v>1</v>
      </c>
      <c r="AP1024" s="40">
        <f t="shared" si="446"/>
        <v>0</v>
      </c>
      <c r="AQ1024" s="40">
        <f t="shared" si="447"/>
        <v>0</v>
      </c>
      <c r="AR1024" s="40">
        <f t="shared" si="448"/>
        <v>0</v>
      </c>
      <c r="AS1024" s="40">
        <f t="shared" si="449"/>
        <v>0</v>
      </c>
    </row>
    <row r="1025" spans="2:45" ht="14.4" customHeight="1" x14ac:dyDescent="0.25">
      <c r="B1025" s="56" t="s">
        <v>45</v>
      </c>
      <c r="C1025" s="57" t="s">
        <v>38</v>
      </c>
      <c r="D1025" s="58" t="s">
        <v>31</v>
      </c>
      <c r="E1025" s="62">
        <v>1.2449999999999996E-2</v>
      </c>
      <c r="F1025" s="65">
        <f t="shared" si="450"/>
        <v>-4.3860346560714207</v>
      </c>
      <c r="S1025" s="40">
        <f t="shared" si="423"/>
        <v>0</v>
      </c>
      <c r="T1025" s="40">
        <f t="shared" si="424"/>
        <v>0</v>
      </c>
      <c r="U1025" s="40">
        <f t="shared" si="425"/>
        <v>0</v>
      </c>
      <c r="V1025" s="40">
        <f t="shared" si="426"/>
        <v>1</v>
      </c>
      <c r="W1025" s="40">
        <f t="shared" si="427"/>
        <v>0</v>
      </c>
      <c r="X1025" s="40">
        <f t="shared" si="428"/>
        <v>0</v>
      </c>
      <c r="Y1025" s="40">
        <f t="shared" si="429"/>
        <v>0</v>
      </c>
      <c r="Z1025" s="40">
        <f t="shared" si="430"/>
        <v>0</v>
      </c>
      <c r="AA1025" s="40">
        <f t="shared" si="431"/>
        <v>0</v>
      </c>
      <c r="AB1025" s="40">
        <f t="shared" si="432"/>
        <v>0</v>
      </c>
      <c r="AC1025" s="40">
        <f t="shared" si="433"/>
        <v>0</v>
      </c>
      <c r="AD1025" s="40">
        <f t="shared" si="434"/>
        <v>0</v>
      </c>
      <c r="AE1025" s="40">
        <f t="shared" si="435"/>
        <v>0</v>
      </c>
      <c r="AF1025" s="40">
        <f t="shared" si="436"/>
        <v>0</v>
      </c>
      <c r="AG1025" s="40">
        <f t="shared" si="437"/>
        <v>1</v>
      </c>
      <c r="AH1025" s="40">
        <f t="shared" si="438"/>
        <v>0</v>
      </c>
      <c r="AI1025" s="40">
        <f t="shared" si="439"/>
        <v>0</v>
      </c>
      <c r="AJ1025" s="40">
        <f t="shared" si="440"/>
        <v>0</v>
      </c>
      <c r="AK1025" s="40">
        <f t="shared" si="441"/>
        <v>0</v>
      </c>
      <c r="AL1025" s="40">
        <f t="shared" si="442"/>
        <v>0</v>
      </c>
      <c r="AM1025" s="40">
        <f t="shared" si="443"/>
        <v>0</v>
      </c>
      <c r="AN1025" s="40">
        <f t="shared" si="444"/>
        <v>0</v>
      </c>
      <c r="AO1025" s="40">
        <f t="shared" si="445"/>
        <v>1</v>
      </c>
      <c r="AP1025" s="40">
        <f t="shared" si="446"/>
        <v>0</v>
      </c>
      <c r="AQ1025" s="40">
        <f t="shared" si="447"/>
        <v>0</v>
      </c>
      <c r="AR1025" s="40">
        <f t="shared" si="448"/>
        <v>0</v>
      </c>
      <c r="AS1025" s="40">
        <f t="shared" si="449"/>
        <v>0</v>
      </c>
    </row>
    <row r="1026" spans="2:45" ht="14.4" customHeight="1" x14ac:dyDescent="0.25">
      <c r="B1026" s="56" t="s">
        <v>45</v>
      </c>
      <c r="C1026" s="57" t="s">
        <v>38</v>
      </c>
      <c r="D1026" s="58" t="s">
        <v>31</v>
      </c>
      <c r="E1026" s="62">
        <v>1.157E-2</v>
      </c>
      <c r="F1026" s="65">
        <f t="shared" si="450"/>
        <v>-4.4593397377765518</v>
      </c>
      <c r="S1026" s="40">
        <f t="shared" si="423"/>
        <v>0</v>
      </c>
      <c r="T1026" s="40">
        <f t="shared" si="424"/>
        <v>0</v>
      </c>
      <c r="U1026" s="40">
        <f t="shared" si="425"/>
        <v>0</v>
      </c>
      <c r="V1026" s="40">
        <f t="shared" si="426"/>
        <v>1</v>
      </c>
      <c r="W1026" s="40">
        <f t="shared" si="427"/>
        <v>0</v>
      </c>
      <c r="X1026" s="40">
        <f t="shared" si="428"/>
        <v>0</v>
      </c>
      <c r="Y1026" s="40">
        <f t="shared" si="429"/>
        <v>0</v>
      </c>
      <c r="Z1026" s="40">
        <f t="shared" si="430"/>
        <v>0</v>
      </c>
      <c r="AA1026" s="40">
        <f t="shared" si="431"/>
        <v>0</v>
      </c>
      <c r="AB1026" s="40">
        <f t="shared" si="432"/>
        <v>0</v>
      </c>
      <c r="AC1026" s="40">
        <f t="shared" si="433"/>
        <v>0</v>
      </c>
      <c r="AD1026" s="40">
        <f t="shared" si="434"/>
        <v>0</v>
      </c>
      <c r="AE1026" s="40">
        <f t="shared" si="435"/>
        <v>0</v>
      </c>
      <c r="AF1026" s="40">
        <f t="shared" si="436"/>
        <v>0</v>
      </c>
      <c r="AG1026" s="40">
        <f t="shared" si="437"/>
        <v>1</v>
      </c>
      <c r="AH1026" s="40">
        <f t="shared" si="438"/>
        <v>0</v>
      </c>
      <c r="AI1026" s="40">
        <f t="shared" si="439"/>
        <v>0</v>
      </c>
      <c r="AJ1026" s="40">
        <f t="shared" si="440"/>
        <v>1</v>
      </c>
      <c r="AK1026" s="40">
        <f t="shared" si="441"/>
        <v>0</v>
      </c>
      <c r="AL1026" s="40">
        <f t="shared" si="442"/>
        <v>0</v>
      </c>
      <c r="AM1026" s="40">
        <f t="shared" si="443"/>
        <v>0</v>
      </c>
      <c r="AN1026" s="40">
        <f t="shared" si="444"/>
        <v>0</v>
      </c>
      <c r="AO1026" s="40">
        <f t="shared" si="445"/>
        <v>0</v>
      </c>
      <c r="AP1026" s="40">
        <f t="shared" si="446"/>
        <v>0</v>
      </c>
      <c r="AQ1026" s="40">
        <f t="shared" si="447"/>
        <v>0</v>
      </c>
      <c r="AR1026" s="40">
        <f t="shared" si="448"/>
        <v>0</v>
      </c>
      <c r="AS1026" s="40">
        <f t="shared" si="449"/>
        <v>0</v>
      </c>
    </row>
    <row r="1027" spans="2:45" ht="14.4" customHeight="1" x14ac:dyDescent="0.25">
      <c r="B1027" s="56" t="s">
        <v>45</v>
      </c>
      <c r="C1027" s="57" t="s">
        <v>38</v>
      </c>
      <c r="D1027" s="58" t="s">
        <v>37</v>
      </c>
      <c r="E1027" s="62">
        <v>6.5299999999999985E-3</v>
      </c>
      <c r="F1027" s="65">
        <f t="shared" si="450"/>
        <v>-5.0313483356937976</v>
      </c>
      <c r="S1027" s="40">
        <f t="shared" si="423"/>
        <v>0</v>
      </c>
      <c r="T1027" s="40">
        <f t="shared" si="424"/>
        <v>0</v>
      </c>
      <c r="U1027" s="40">
        <f t="shared" si="425"/>
        <v>0</v>
      </c>
      <c r="V1027" s="40">
        <f t="shared" si="426"/>
        <v>1</v>
      </c>
      <c r="W1027" s="40">
        <f t="shared" si="427"/>
        <v>0</v>
      </c>
      <c r="X1027" s="40">
        <f t="shared" si="428"/>
        <v>0</v>
      </c>
      <c r="Y1027" s="40">
        <f t="shared" si="429"/>
        <v>0</v>
      </c>
      <c r="Z1027" s="40">
        <f t="shared" si="430"/>
        <v>0</v>
      </c>
      <c r="AA1027" s="40">
        <f t="shared" si="431"/>
        <v>0</v>
      </c>
      <c r="AB1027" s="40">
        <f t="shared" si="432"/>
        <v>1</v>
      </c>
      <c r="AC1027" s="40">
        <f t="shared" si="433"/>
        <v>0</v>
      </c>
      <c r="AD1027" s="40">
        <f t="shared" si="434"/>
        <v>0</v>
      </c>
      <c r="AE1027" s="40">
        <f t="shared" si="435"/>
        <v>0</v>
      </c>
      <c r="AF1027" s="40">
        <f t="shared" si="436"/>
        <v>0</v>
      </c>
      <c r="AG1027" s="40">
        <f t="shared" si="437"/>
        <v>0</v>
      </c>
      <c r="AH1027" s="40">
        <f t="shared" si="438"/>
        <v>0</v>
      </c>
      <c r="AI1027" s="40">
        <f t="shared" si="439"/>
        <v>0</v>
      </c>
      <c r="AJ1027" s="40">
        <f t="shared" si="440"/>
        <v>0</v>
      </c>
      <c r="AK1027" s="40">
        <f t="shared" si="441"/>
        <v>0</v>
      </c>
      <c r="AL1027" s="40">
        <f t="shared" si="442"/>
        <v>1</v>
      </c>
      <c r="AM1027" s="40">
        <f t="shared" si="443"/>
        <v>0</v>
      </c>
      <c r="AN1027" s="40">
        <f t="shared" si="444"/>
        <v>0</v>
      </c>
      <c r="AO1027" s="40">
        <f t="shared" si="445"/>
        <v>0</v>
      </c>
      <c r="AP1027" s="40">
        <f t="shared" si="446"/>
        <v>0</v>
      </c>
      <c r="AQ1027" s="40">
        <f t="shared" si="447"/>
        <v>0</v>
      </c>
      <c r="AR1027" s="40">
        <f t="shared" si="448"/>
        <v>0</v>
      </c>
      <c r="AS1027" s="40">
        <f t="shared" si="449"/>
        <v>0</v>
      </c>
    </row>
    <row r="1028" spans="2:45" ht="14.4" customHeight="1" x14ac:dyDescent="0.25">
      <c r="B1028" s="56" t="s">
        <v>45</v>
      </c>
      <c r="C1028" s="57" t="s">
        <v>25</v>
      </c>
      <c r="D1028" s="58" t="s">
        <v>24</v>
      </c>
      <c r="E1028" s="62">
        <v>1.1090000000000001E-2</v>
      </c>
      <c r="F1028" s="65">
        <f t="shared" si="450"/>
        <v>-4.5017114776198612</v>
      </c>
      <c r="S1028" s="40">
        <f t="shared" si="423"/>
        <v>0</v>
      </c>
      <c r="T1028" s="40">
        <f t="shared" si="424"/>
        <v>0</v>
      </c>
      <c r="U1028" s="40">
        <f t="shared" si="425"/>
        <v>0</v>
      </c>
      <c r="V1028" s="40">
        <f t="shared" si="426"/>
        <v>1</v>
      </c>
      <c r="W1028" s="40">
        <f t="shared" si="427"/>
        <v>0</v>
      </c>
      <c r="X1028" s="40">
        <f t="shared" si="428"/>
        <v>0</v>
      </c>
      <c r="Y1028" s="40">
        <f t="shared" si="429"/>
        <v>0</v>
      </c>
      <c r="Z1028" s="40">
        <f t="shared" si="430"/>
        <v>0</v>
      </c>
      <c r="AA1028" s="40">
        <f t="shared" si="431"/>
        <v>0</v>
      </c>
      <c r="AB1028" s="40">
        <f t="shared" si="432"/>
        <v>1</v>
      </c>
      <c r="AC1028" s="40">
        <f t="shared" si="433"/>
        <v>0</v>
      </c>
      <c r="AD1028" s="40">
        <f t="shared" si="434"/>
        <v>0</v>
      </c>
      <c r="AE1028" s="40">
        <f t="shared" si="435"/>
        <v>0</v>
      </c>
      <c r="AF1028" s="40">
        <f t="shared" si="436"/>
        <v>0</v>
      </c>
      <c r="AG1028" s="40">
        <f t="shared" si="437"/>
        <v>0</v>
      </c>
      <c r="AH1028" s="40">
        <f t="shared" si="438"/>
        <v>0</v>
      </c>
      <c r="AI1028" s="40">
        <f t="shared" si="439"/>
        <v>0</v>
      </c>
      <c r="AJ1028" s="40">
        <f t="shared" si="440"/>
        <v>0</v>
      </c>
      <c r="AK1028" s="40">
        <f t="shared" si="441"/>
        <v>0</v>
      </c>
      <c r="AL1028" s="40">
        <f t="shared" si="442"/>
        <v>0</v>
      </c>
      <c r="AM1028" s="40">
        <f t="shared" si="443"/>
        <v>0</v>
      </c>
      <c r="AN1028" s="40">
        <f t="shared" si="444"/>
        <v>0</v>
      </c>
      <c r="AO1028" s="40">
        <f t="shared" si="445"/>
        <v>1</v>
      </c>
      <c r="AP1028" s="40">
        <f t="shared" si="446"/>
        <v>0</v>
      </c>
      <c r="AQ1028" s="40">
        <f t="shared" si="447"/>
        <v>0</v>
      </c>
      <c r="AR1028" s="40">
        <f t="shared" si="448"/>
        <v>0</v>
      </c>
      <c r="AS1028" s="40">
        <f t="shared" si="449"/>
        <v>0</v>
      </c>
    </row>
    <row r="1029" spans="2:45" ht="14.4" customHeight="1" x14ac:dyDescent="0.25">
      <c r="B1029" s="56" t="s">
        <v>45</v>
      </c>
      <c r="C1029" s="57" t="s">
        <v>25</v>
      </c>
      <c r="D1029" s="58" t="s">
        <v>31</v>
      </c>
      <c r="E1029" s="62">
        <v>1.4179999999999998E-2</v>
      </c>
      <c r="F1029" s="65">
        <f t="shared" si="450"/>
        <v>-4.2559227578781558</v>
      </c>
      <c r="S1029" s="40">
        <f t="shared" si="423"/>
        <v>0</v>
      </c>
      <c r="T1029" s="40">
        <f t="shared" si="424"/>
        <v>0</v>
      </c>
      <c r="U1029" s="40">
        <f t="shared" si="425"/>
        <v>0</v>
      </c>
      <c r="V1029" s="40">
        <f t="shared" si="426"/>
        <v>1</v>
      </c>
      <c r="W1029" s="40">
        <f t="shared" si="427"/>
        <v>0</v>
      </c>
      <c r="X1029" s="40">
        <f t="shared" si="428"/>
        <v>0</v>
      </c>
      <c r="Y1029" s="40">
        <f t="shared" si="429"/>
        <v>0</v>
      </c>
      <c r="Z1029" s="40">
        <f t="shared" si="430"/>
        <v>0</v>
      </c>
      <c r="AA1029" s="40">
        <f t="shared" si="431"/>
        <v>0</v>
      </c>
      <c r="AB1029" s="40">
        <f t="shared" si="432"/>
        <v>1</v>
      </c>
      <c r="AC1029" s="40">
        <f t="shared" si="433"/>
        <v>0</v>
      </c>
      <c r="AD1029" s="40">
        <f t="shared" si="434"/>
        <v>0</v>
      </c>
      <c r="AE1029" s="40">
        <f t="shared" si="435"/>
        <v>0</v>
      </c>
      <c r="AF1029" s="40">
        <f t="shared" si="436"/>
        <v>0</v>
      </c>
      <c r="AG1029" s="40">
        <f t="shared" si="437"/>
        <v>0</v>
      </c>
      <c r="AH1029" s="40">
        <f t="shared" si="438"/>
        <v>0</v>
      </c>
      <c r="AI1029" s="40">
        <f t="shared" si="439"/>
        <v>0</v>
      </c>
      <c r="AJ1029" s="40">
        <f t="shared" si="440"/>
        <v>0</v>
      </c>
      <c r="AK1029" s="40">
        <f t="shared" si="441"/>
        <v>0</v>
      </c>
      <c r="AL1029" s="40">
        <f t="shared" si="442"/>
        <v>1</v>
      </c>
      <c r="AM1029" s="40">
        <f t="shared" si="443"/>
        <v>0</v>
      </c>
      <c r="AN1029" s="40">
        <f t="shared" si="444"/>
        <v>0</v>
      </c>
      <c r="AO1029" s="40">
        <f t="shared" si="445"/>
        <v>0</v>
      </c>
      <c r="AP1029" s="40">
        <f t="shared" si="446"/>
        <v>0</v>
      </c>
      <c r="AQ1029" s="40">
        <f t="shared" si="447"/>
        <v>0</v>
      </c>
      <c r="AR1029" s="40">
        <f t="shared" si="448"/>
        <v>0</v>
      </c>
      <c r="AS1029" s="40">
        <f t="shared" si="449"/>
        <v>0</v>
      </c>
    </row>
    <row r="1030" spans="2:45" ht="14.4" customHeight="1" x14ac:dyDescent="0.25">
      <c r="B1030" s="56" t="s">
        <v>45</v>
      </c>
      <c r="C1030" s="57" t="s">
        <v>25</v>
      </c>
      <c r="D1030" s="58" t="s">
        <v>24</v>
      </c>
      <c r="E1030" s="62">
        <v>3.4899999999999987E-3</v>
      </c>
      <c r="F1030" s="65">
        <f t="shared" si="450"/>
        <v>-5.6578535427678016</v>
      </c>
      <c r="S1030" s="40">
        <f t="shared" si="423"/>
        <v>0</v>
      </c>
      <c r="T1030" s="40">
        <f t="shared" si="424"/>
        <v>0</v>
      </c>
      <c r="U1030" s="40">
        <f t="shared" si="425"/>
        <v>0</v>
      </c>
      <c r="V1030" s="40">
        <f t="shared" si="426"/>
        <v>1</v>
      </c>
      <c r="W1030" s="40">
        <f t="shared" si="427"/>
        <v>0</v>
      </c>
      <c r="X1030" s="40">
        <f t="shared" si="428"/>
        <v>0</v>
      </c>
      <c r="Y1030" s="40">
        <f t="shared" si="429"/>
        <v>0</v>
      </c>
      <c r="Z1030" s="40">
        <f t="shared" si="430"/>
        <v>0</v>
      </c>
      <c r="AA1030" s="40">
        <f t="shared" si="431"/>
        <v>0</v>
      </c>
      <c r="AB1030" s="40">
        <f t="shared" si="432"/>
        <v>1</v>
      </c>
      <c r="AC1030" s="40">
        <f t="shared" si="433"/>
        <v>0</v>
      </c>
      <c r="AD1030" s="40">
        <f t="shared" si="434"/>
        <v>0</v>
      </c>
      <c r="AE1030" s="40">
        <f t="shared" si="435"/>
        <v>0</v>
      </c>
      <c r="AF1030" s="40">
        <f t="shared" si="436"/>
        <v>0</v>
      </c>
      <c r="AG1030" s="40">
        <f t="shared" si="437"/>
        <v>0</v>
      </c>
      <c r="AH1030" s="40">
        <f t="shared" si="438"/>
        <v>0</v>
      </c>
      <c r="AI1030" s="40">
        <f t="shared" si="439"/>
        <v>0</v>
      </c>
      <c r="AJ1030" s="40">
        <f t="shared" si="440"/>
        <v>0</v>
      </c>
      <c r="AK1030" s="40">
        <f t="shared" si="441"/>
        <v>0</v>
      </c>
      <c r="AL1030" s="40">
        <f t="shared" si="442"/>
        <v>0</v>
      </c>
      <c r="AM1030" s="40">
        <f t="shared" si="443"/>
        <v>0</v>
      </c>
      <c r="AN1030" s="40">
        <f t="shared" si="444"/>
        <v>0</v>
      </c>
      <c r="AO1030" s="40">
        <f t="shared" si="445"/>
        <v>0</v>
      </c>
      <c r="AP1030" s="40">
        <f t="shared" si="446"/>
        <v>0</v>
      </c>
      <c r="AQ1030" s="40">
        <f t="shared" si="447"/>
        <v>0</v>
      </c>
      <c r="AR1030" s="40">
        <f t="shared" si="448"/>
        <v>0</v>
      </c>
      <c r="AS1030" s="40">
        <f t="shared" si="449"/>
        <v>1</v>
      </c>
    </row>
    <row r="1031" spans="2:45" ht="14.4" customHeight="1" x14ac:dyDescent="0.25">
      <c r="B1031" s="56" t="s">
        <v>45</v>
      </c>
      <c r="C1031" s="57" t="s">
        <v>25</v>
      </c>
      <c r="D1031" s="58" t="s">
        <v>22</v>
      </c>
      <c r="E1031" s="62">
        <v>5.3099999999999987E-3</v>
      </c>
      <c r="F1031" s="65">
        <f t="shared" si="450"/>
        <v>-5.2381634437282898</v>
      </c>
      <c r="S1031" s="40">
        <f t="shared" si="423"/>
        <v>0</v>
      </c>
      <c r="T1031" s="40">
        <f t="shared" si="424"/>
        <v>0</v>
      </c>
      <c r="U1031" s="40">
        <f t="shared" si="425"/>
        <v>0</v>
      </c>
      <c r="V1031" s="40">
        <f t="shared" si="426"/>
        <v>1</v>
      </c>
      <c r="W1031" s="40">
        <f t="shared" si="427"/>
        <v>0</v>
      </c>
      <c r="X1031" s="40">
        <f t="shared" si="428"/>
        <v>0</v>
      </c>
      <c r="Y1031" s="40">
        <f t="shared" si="429"/>
        <v>0</v>
      </c>
      <c r="Z1031" s="40">
        <f t="shared" si="430"/>
        <v>0</v>
      </c>
      <c r="AA1031" s="40">
        <f t="shared" si="431"/>
        <v>0</v>
      </c>
      <c r="AB1031" s="40">
        <f t="shared" si="432"/>
        <v>1</v>
      </c>
      <c r="AC1031" s="40">
        <f t="shared" si="433"/>
        <v>0</v>
      </c>
      <c r="AD1031" s="40">
        <f t="shared" si="434"/>
        <v>0</v>
      </c>
      <c r="AE1031" s="40">
        <f t="shared" si="435"/>
        <v>0</v>
      </c>
      <c r="AF1031" s="40">
        <f t="shared" si="436"/>
        <v>0</v>
      </c>
      <c r="AG1031" s="40">
        <f t="shared" si="437"/>
        <v>0</v>
      </c>
      <c r="AH1031" s="40">
        <f t="shared" si="438"/>
        <v>0</v>
      </c>
      <c r="AI1031" s="40">
        <f t="shared" si="439"/>
        <v>0</v>
      </c>
      <c r="AJ1031" s="40">
        <f t="shared" si="440"/>
        <v>0</v>
      </c>
      <c r="AK1031" s="40">
        <f t="shared" si="441"/>
        <v>0</v>
      </c>
      <c r="AL1031" s="40">
        <f t="shared" si="442"/>
        <v>1</v>
      </c>
      <c r="AM1031" s="40">
        <f t="shared" si="443"/>
        <v>0</v>
      </c>
      <c r="AN1031" s="40">
        <f t="shared" si="444"/>
        <v>0</v>
      </c>
      <c r="AO1031" s="40">
        <f t="shared" si="445"/>
        <v>0</v>
      </c>
      <c r="AP1031" s="40">
        <f t="shared" si="446"/>
        <v>0</v>
      </c>
      <c r="AQ1031" s="40">
        <f t="shared" si="447"/>
        <v>0</v>
      </c>
      <c r="AR1031" s="40">
        <f t="shared" si="448"/>
        <v>0</v>
      </c>
      <c r="AS1031" s="40">
        <f t="shared" si="449"/>
        <v>0</v>
      </c>
    </row>
    <row r="1032" spans="2:45" ht="14.4" customHeight="1" x14ac:dyDescent="0.25">
      <c r="B1032" s="56" t="s">
        <v>45</v>
      </c>
      <c r="C1032" s="57" t="s">
        <v>25</v>
      </c>
      <c r="D1032" s="58" t="s">
        <v>24</v>
      </c>
      <c r="E1032" s="62">
        <v>1.1500000000000002E-2</v>
      </c>
      <c r="F1032" s="65">
        <f t="shared" si="450"/>
        <v>-4.4654082436129325</v>
      </c>
      <c r="S1032" s="40">
        <f t="shared" si="423"/>
        <v>0</v>
      </c>
      <c r="T1032" s="40">
        <f t="shared" si="424"/>
        <v>0</v>
      </c>
      <c r="U1032" s="40">
        <f t="shared" si="425"/>
        <v>0</v>
      </c>
      <c r="V1032" s="40">
        <f t="shared" si="426"/>
        <v>1</v>
      </c>
      <c r="W1032" s="40">
        <f t="shared" si="427"/>
        <v>0</v>
      </c>
      <c r="X1032" s="40">
        <f t="shared" si="428"/>
        <v>0</v>
      </c>
      <c r="Y1032" s="40">
        <f t="shared" si="429"/>
        <v>0</v>
      </c>
      <c r="Z1032" s="40">
        <f t="shared" si="430"/>
        <v>0</v>
      </c>
      <c r="AA1032" s="40">
        <f t="shared" si="431"/>
        <v>0</v>
      </c>
      <c r="AB1032" s="40">
        <f t="shared" si="432"/>
        <v>1</v>
      </c>
      <c r="AC1032" s="40">
        <f t="shared" si="433"/>
        <v>0</v>
      </c>
      <c r="AD1032" s="40">
        <f t="shared" si="434"/>
        <v>0</v>
      </c>
      <c r="AE1032" s="40">
        <f t="shared" si="435"/>
        <v>0</v>
      </c>
      <c r="AF1032" s="40">
        <f t="shared" si="436"/>
        <v>0</v>
      </c>
      <c r="AG1032" s="40">
        <f t="shared" si="437"/>
        <v>0</v>
      </c>
      <c r="AH1032" s="40">
        <f t="shared" si="438"/>
        <v>0</v>
      </c>
      <c r="AI1032" s="40">
        <f t="shared" si="439"/>
        <v>0</v>
      </c>
      <c r="AJ1032" s="40">
        <f t="shared" si="440"/>
        <v>0</v>
      </c>
      <c r="AK1032" s="40">
        <f t="shared" si="441"/>
        <v>0</v>
      </c>
      <c r="AL1032" s="40">
        <f t="shared" si="442"/>
        <v>1</v>
      </c>
      <c r="AM1032" s="40">
        <f t="shared" si="443"/>
        <v>0</v>
      </c>
      <c r="AN1032" s="40">
        <f t="shared" si="444"/>
        <v>0</v>
      </c>
      <c r="AO1032" s="40">
        <f t="shared" si="445"/>
        <v>0</v>
      </c>
      <c r="AP1032" s="40">
        <f t="shared" si="446"/>
        <v>0</v>
      </c>
      <c r="AQ1032" s="40">
        <f t="shared" si="447"/>
        <v>0</v>
      </c>
      <c r="AR1032" s="40">
        <f t="shared" si="448"/>
        <v>0</v>
      </c>
      <c r="AS1032" s="40">
        <f t="shared" si="449"/>
        <v>0</v>
      </c>
    </row>
    <row r="1033" spans="2:45" ht="14.4" customHeight="1" x14ac:dyDescent="0.25">
      <c r="B1033" s="56" t="s">
        <v>45</v>
      </c>
      <c r="C1033" s="57" t="s">
        <v>25</v>
      </c>
      <c r="D1033" s="58" t="s">
        <v>24</v>
      </c>
      <c r="E1033" s="62">
        <v>1.1030000000000002E-2</v>
      </c>
      <c r="F1033" s="65">
        <f t="shared" si="450"/>
        <v>-4.5071364457167258</v>
      </c>
      <c r="S1033" s="40">
        <f t="shared" si="423"/>
        <v>0</v>
      </c>
      <c r="T1033" s="40">
        <f t="shared" si="424"/>
        <v>0</v>
      </c>
      <c r="U1033" s="40">
        <f t="shared" si="425"/>
        <v>0</v>
      </c>
      <c r="V1033" s="40">
        <f t="shared" si="426"/>
        <v>1</v>
      </c>
      <c r="W1033" s="40">
        <f t="shared" si="427"/>
        <v>0</v>
      </c>
      <c r="X1033" s="40">
        <f t="shared" si="428"/>
        <v>0</v>
      </c>
      <c r="Y1033" s="40">
        <f t="shared" si="429"/>
        <v>0</v>
      </c>
      <c r="Z1033" s="40">
        <f t="shared" si="430"/>
        <v>0</v>
      </c>
      <c r="AA1033" s="40">
        <f t="shared" si="431"/>
        <v>0</v>
      </c>
      <c r="AB1033" s="40">
        <f t="shared" si="432"/>
        <v>0</v>
      </c>
      <c r="AC1033" s="40">
        <f t="shared" si="433"/>
        <v>0</v>
      </c>
      <c r="AD1033" s="40">
        <f t="shared" si="434"/>
        <v>0</v>
      </c>
      <c r="AE1033" s="40">
        <f t="shared" si="435"/>
        <v>0</v>
      </c>
      <c r="AF1033" s="40">
        <f t="shared" si="436"/>
        <v>1</v>
      </c>
      <c r="AG1033" s="40">
        <f t="shared" si="437"/>
        <v>0</v>
      </c>
      <c r="AH1033" s="40">
        <f t="shared" si="438"/>
        <v>0</v>
      </c>
      <c r="AI1033" s="40">
        <f t="shared" si="439"/>
        <v>0</v>
      </c>
      <c r="AJ1033" s="40">
        <f t="shared" si="440"/>
        <v>0</v>
      </c>
      <c r="AK1033" s="40">
        <f t="shared" si="441"/>
        <v>0</v>
      </c>
      <c r="AL1033" s="40">
        <f t="shared" si="442"/>
        <v>0</v>
      </c>
      <c r="AM1033" s="40">
        <f t="shared" si="443"/>
        <v>0</v>
      </c>
      <c r="AN1033" s="40">
        <f t="shared" si="444"/>
        <v>1</v>
      </c>
      <c r="AO1033" s="40">
        <f t="shared" si="445"/>
        <v>0</v>
      </c>
      <c r="AP1033" s="40">
        <f t="shared" si="446"/>
        <v>0</v>
      </c>
      <c r="AQ1033" s="40">
        <f t="shared" si="447"/>
        <v>0</v>
      </c>
      <c r="AR1033" s="40">
        <f t="shared" si="448"/>
        <v>0</v>
      </c>
      <c r="AS1033" s="40">
        <f t="shared" si="449"/>
        <v>0</v>
      </c>
    </row>
    <row r="1034" spans="2:45" ht="14.4" customHeight="1" x14ac:dyDescent="0.25">
      <c r="B1034" s="56" t="s">
        <v>45</v>
      </c>
      <c r="C1034" s="57" t="s">
        <v>26</v>
      </c>
      <c r="D1034" s="58" t="s">
        <v>29</v>
      </c>
      <c r="E1034" s="62">
        <v>4.8499999999999993E-3</v>
      </c>
      <c r="F1034" s="65">
        <f t="shared" si="450"/>
        <v>-5.3287765740327453</v>
      </c>
      <c r="S1034" s="40">
        <f t="shared" ref="S1034:S1081" si="451">IF($B1035=S$9,1,0)</f>
        <v>0</v>
      </c>
      <c r="T1034" s="40">
        <f t="shared" ref="T1034:T1081" si="452">IF($B1035=T$9,1,0)</f>
        <v>0</v>
      </c>
      <c r="U1034" s="40">
        <f t="shared" ref="U1034:U1081" si="453">IF($B1035=U$9,1,0)</f>
        <v>0</v>
      </c>
      <c r="V1034" s="40">
        <f t="shared" ref="V1034:V1081" si="454">IF($B1035=V$9,1,0)</f>
        <v>1</v>
      </c>
      <c r="W1034" s="40">
        <f t="shared" ref="W1034:W1081" si="455">IF($B1035=W$9,1,0)</f>
        <v>0</v>
      </c>
      <c r="X1034" s="40">
        <f t="shared" ref="X1034:X1081" si="456">IF($B1035=X$9,1,0)</f>
        <v>0</v>
      </c>
      <c r="Y1034" s="40">
        <f t="shared" ref="Y1034:Y1081" si="457">IF($B1035=Y$9,1,0)</f>
        <v>0</v>
      </c>
      <c r="Z1034" s="40">
        <f t="shared" ref="Z1034:Z1081" si="458">IF($C1035=Z$9,1,0)</f>
        <v>0</v>
      </c>
      <c r="AA1034" s="40">
        <f t="shared" ref="AA1034:AA1081" si="459">IF($C1035=AA$9,1,0)</f>
        <v>0</v>
      </c>
      <c r="AB1034" s="40">
        <f t="shared" ref="AB1034:AB1081" si="460">IF($C1035=AB$9,1,0)</f>
        <v>0</v>
      </c>
      <c r="AC1034" s="40">
        <f t="shared" ref="AC1034:AC1081" si="461">IF($C1035=AC$9,1,0)</f>
        <v>0</v>
      </c>
      <c r="AD1034" s="40">
        <f t="shared" ref="AD1034:AD1081" si="462">IF($C1035=AD$9,1,0)</f>
        <v>0</v>
      </c>
      <c r="AE1034" s="40">
        <f t="shared" ref="AE1034:AE1081" si="463">IF($C1035=AE$9,1,0)</f>
        <v>0</v>
      </c>
      <c r="AF1034" s="40">
        <f t="shared" ref="AF1034:AF1081" si="464">IF($C1035=AF$9,1,0)</f>
        <v>1</v>
      </c>
      <c r="AG1034" s="40">
        <f t="shared" ref="AG1034:AG1081" si="465">IF($C1035=AG$9,1,0)</f>
        <v>0</v>
      </c>
      <c r="AH1034" s="40">
        <f t="shared" ref="AH1034:AH1081" si="466">IF($D1035=AH$9,1,0)</f>
        <v>0</v>
      </c>
      <c r="AI1034" s="40">
        <f t="shared" ref="AI1034:AI1081" si="467">IF($D1035=AI$9,1,0)</f>
        <v>0</v>
      </c>
      <c r="AJ1034" s="40">
        <f t="shared" ref="AJ1034:AJ1081" si="468">IF($D1035=AJ$9,1,0)</f>
        <v>0</v>
      </c>
      <c r="AK1034" s="40">
        <f t="shared" ref="AK1034:AK1081" si="469">IF($D1035=AK$9,1,0)</f>
        <v>0</v>
      </c>
      <c r="AL1034" s="40">
        <f t="shared" ref="AL1034:AL1081" si="470">IF($D1035=AL$9,1,0)</f>
        <v>0</v>
      </c>
      <c r="AM1034" s="40">
        <f t="shared" ref="AM1034:AM1081" si="471">IF($D1035=AM$9,1,0)</f>
        <v>0</v>
      </c>
      <c r="AN1034" s="40">
        <f t="shared" ref="AN1034:AN1081" si="472">IF($D1035=AN$9,1,0)</f>
        <v>1</v>
      </c>
      <c r="AO1034" s="40">
        <f t="shared" ref="AO1034:AO1081" si="473">IF($D1035=AO$9,1,0)</f>
        <v>0</v>
      </c>
      <c r="AP1034" s="40">
        <f t="shared" ref="AP1034:AP1081" si="474">IF($D1035=AP$9,1,0)</f>
        <v>0</v>
      </c>
      <c r="AQ1034" s="40">
        <f t="shared" ref="AQ1034:AQ1081" si="475">IF($D1035=AQ$9,1,0)</f>
        <v>0</v>
      </c>
      <c r="AR1034" s="40">
        <f t="shared" ref="AR1034:AR1081" si="476">IF($D1035=AR$9,1,0)</f>
        <v>0</v>
      </c>
      <c r="AS1034" s="40">
        <f t="shared" ref="AS1034:AS1081" si="477">IF($D1035=AS$9,1,0)</f>
        <v>0</v>
      </c>
    </row>
    <row r="1035" spans="2:45" ht="14.4" customHeight="1" x14ac:dyDescent="0.25">
      <c r="B1035" s="56" t="s">
        <v>45</v>
      </c>
      <c r="C1035" s="57" t="s">
        <v>26</v>
      </c>
      <c r="D1035" s="58" t="s">
        <v>29</v>
      </c>
      <c r="E1035" s="62">
        <v>9.389999999999999E-3</v>
      </c>
      <c r="F1035" s="65">
        <f t="shared" si="450"/>
        <v>-4.6681099857619657</v>
      </c>
      <c r="S1035" s="40">
        <f t="shared" si="451"/>
        <v>0</v>
      </c>
      <c r="T1035" s="40">
        <f t="shared" si="452"/>
        <v>0</v>
      </c>
      <c r="U1035" s="40">
        <f t="shared" si="453"/>
        <v>0</v>
      </c>
      <c r="V1035" s="40">
        <f t="shared" si="454"/>
        <v>1</v>
      </c>
      <c r="W1035" s="40">
        <f t="shared" si="455"/>
        <v>0</v>
      </c>
      <c r="X1035" s="40">
        <f t="shared" si="456"/>
        <v>0</v>
      </c>
      <c r="Y1035" s="40">
        <f t="shared" si="457"/>
        <v>0</v>
      </c>
      <c r="Z1035" s="40">
        <f t="shared" si="458"/>
        <v>0</v>
      </c>
      <c r="AA1035" s="40">
        <f t="shared" si="459"/>
        <v>0</v>
      </c>
      <c r="AB1035" s="40">
        <f t="shared" si="460"/>
        <v>1</v>
      </c>
      <c r="AC1035" s="40">
        <f t="shared" si="461"/>
        <v>0</v>
      </c>
      <c r="AD1035" s="40">
        <f t="shared" si="462"/>
        <v>0</v>
      </c>
      <c r="AE1035" s="40">
        <f t="shared" si="463"/>
        <v>0</v>
      </c>
      <c r="AF1035" s="40">
        <f t="shared" si="464"/>
        <v>0</v>
      </c>
      <c r="AG1035" s="40">
        <f t="shared" si="465"/>
        <v>0</v>
      </c>
      <c r="AH1035" s="40">
        <f t="shared" si="466"/>
        <v>0</v>
      </c>
      <c r="AI1035" s="40">
        <f t="shared" si="467"/>
        <v>0</v>
      </c>
      <c r="AJ1035" s="40">
        <f t="shared" si="468"/>
        <v>0</v>
      </c>
      <c r="AK1035" s="40">
        <f t="shared" si="469"/>
        <v>0</v>
      </c>
      <c r="AL1035" s="40">
        <f t="shared" si="470"/>
        <v>0</v>
      </c>
      <c r="AM1035" s="40">
        <f t="shared" si="471"/>
        <v>0</v>
      </c>
      <c r="AN1035" s="40">
        <f t="shared" si="472"/>
        <v>0</v>
      </c>
      <c r="AO1035" s="40">
        <f t="shared" si="473"/>
        <v>1</v>
      </c>
      <c r="AP1035" s="40">
        <f t="shared" si="474"/>
        <v>0</v>
      </c>
      <c r="AQ1035" s="40">
        <f t="shared" si="475"/>
        <v>0</v>
      </c>
      <c r="AR1035" s="40">
        <f t="shared" si="476"/>
        <v>0</v>
      </c>
      <c r="AS1035" s="40">
        <f t="shared" si="477"/>
        <v>0</v>
      </c>
    </row>
    <row r="1036" spans="2:45" ht="14.4" customHeight="1" x14ac:dyDescent="0.25">
      <c r="B1036" s="56" t="s">
        <v>45</v>
      </c>
      <c r="C1036" s="57" t="s">
        <v>25</v>
      </c>
      <c r="D1036" s="58" t="s">
        <v>31</v>
      </c>
      <c r="E1036" s="62">
        <v>5.9100000000000003E-3</v>
      </c>
      <c r="F1036" s="65">
        <f t="shared" ref="F1036:F1082" si="478">LN(E1036)</f>
        <v>-5.1311094475641301</v>
      </c>
      <c r="S1036" s="40">
        <f t="shared" si="451"/>
        <v>0</v>
      </c>
      <c r="T1036" s="40">
        <f t="shared" si="452"/>
        <v>0</v>
      </c>
      <c r="U1036" s="40">
        <f t="shared" si="453"/>
        <v>0</v>
      </c>
      <c r="V1036" s="40">
        <f t="shared" si="454"/>
        <v>1</v>
      </c>
      <c r="W1036" s="40">
        <f t="shared" si="455"/>
        <v>0</v>
      </c>
      <c r="X1036" s="40">
        <f t="shared" si="456"/>
        <v>0</v>
      </c>
      <c r="Y1036" s="40">
        <f t="shared" si="457"/>
        <v>0</v>
      </c>
      <c r="Z1036" s="40">
        <f t="shared" si="458"/>
        <v>0</v>
      </c>
      <c r="AA1036" s="40">
        <f t="shared" si="459"/>
        <v>0</v>
      </c>
      <c r="AB1036" s="40">
        <f t="shared" si="460"/>
        <v>1</v>
      </c>
      <c r="AC1036" s="40">
        <f t="shared" si="461"/>
        <v>0</v>
      </c>
      <c r="AD1036" s="40">
        <f t="shared" si="462"/>
        <v>0</v>
      </c>
      <c r="AE1036" s="40">
        <f t="shared" si="463"/>
        <v>0</v>
      </c>
      <c r="AF1036" s="40">
        <f t="shared" si="464"/>
        <v>0</v>
      </c>
      <c r="AG1036" s="40">
        <f t="shared" si="465"/>
        <v>0</v>
      </c>
      <c r="AH1036" s="40">
        <f t="shared" si="466"/>
        <v>0</v>
      </c>
      <c r="AI1036" s="40">
        <f t="shared" si="467"/>
        <v>0</v>
      </c>
      <c r="AJ1036" s="40">
        <f t="shared" si="468"/>
        <v>0</v>
      </c>
      <c r="AK1036" s="40">
        <f t="shared" si="469"/>
        <v>0</v>
      </c>
      <c r="AL1036" s="40">
        <f t="shared" si="470"/>
        <v>0</v>
      </c>
      <c r="AM1036" s="40">
        <f t="shared" si="471"/>
        <v>0</v>
      </c>
      <c r="AN1036" s="40">
        <f t="shared" si="472"/>
        <v>0</v>
      </c>
      <c r="AO1036" s="40">
        <f t="shared" si="473"/>
        <v>0</v>
      </c>
      <c r="AP1036" s="40">
        <f t="shared" si="474"/>
        <v>0</v>
      </c>
      <c r="AQ1036" s="40">
        <f t="shared" si="475"/>
        <v>0</v>
      </c>
      <c r="AR1036" s="40">
        <f t="shared" si="476"/>
        <v>1</v>
      </c>
      <c r="AS1036" s="40">
        <f t="shared" si="477"/>
        <v>0</v>
      </c>
    </row>
    <row r="1037" spans="2:45" ht="14.4" customHeight="1" x14ac:dyDescent="0.25">
      <c r="B1037" s="56" t="s">
        <v>45</v>
      </c>
      <c r="C1037" s="57" t="s">
        <v>25</v>
      </c>
      <c r="D1037" s="58" t="s">
        <v>33</v>
      </c>
      <c r="E1037" s="62">
        <v>3.4300000000000008E-3</v>
      </c>
      <c r="F1037" s="65">
        <f t="shared" si="478"/>
        <v>-5.6751950178042883</v>
      </c>
      <c r="S1037" s="40">
        <f t="shared" si="451"/>
        <v>0</v>
      </c>
      <c r="T1037" s="40">
        <f t="shared" si="452"/>
        <v>0</v>
      </c>
      <c r="U1037" s="40">
        <f t="shared" si="453"/>
        <v>0</v>
      </c>
      <c r="V1037" s="40">
        <f t="shared" si="454"/>
        <v>1</v>
      </c>
      <c r="W1037" s="40">
        <f t="shared" si="455"/>
        <v>0</v>
      </c>
      <c r="X1037" s="40">
        <f t="shared" si="456"/>
        <v>0</v>
      </c>
      <c r="Y1037" s="40">
        <f t="shared" si="457"/>
        <v>0</v>
      </c>
      <c r="Z1037" s="40">
        <f t="shared" si="458"/>
        <v>0</v>
      </c>
      <c r="AA1037" s="40">
        <f t="shared" si="459"/>
        <v>0</v>
      </c>
      <c r="AB1037" s="40">
        <f t="shared" si="460"/>
        <v>1</v>
      </c>
      <c r="AC1037" s="40">
        <f t="shared" si="461"/>
        <v>0</v>
      </c>
      <c r="AD1037" s="40">
        <f t="shared" si="462"/>
        <v>0</v>
      </c>
      <c r="AE1037" s="40">
        <f t="shared" si="463"/>
        <v>0</v>
      </c>
      <c r="AF1037" s="40">
        <f t="shared" si="464"/>
        <v>0</v>
      </c>
      <c r="AG1037" s="40">
        <f t="shared" si="465"/>
        <v>0</v>
      </c>
      <c r="AH1037" s="40">
        <f t="shared" si="466"/>
        <v>0</v>
      </c>
      <c r="AI1037" s="40">
        <f t="shared" si="467"/>
        <v>0</v>
      </c>
      <c r="AJ1037" s="40">
        <f t="shared" si="468"/>
        <v>0</v>
      </c>
      <c r="AK1037" s="40">
        <f t="shared" si="469"/>
        <v>0</v>
      </c>
      <c r="AL1037" s="40">
        <f t="shared" si="470"/>
        <v>0</v>
      </c>
      <c r="AM1037" s="40">
        <f t="shared" si="471"/>
        <v>0</v>
      </c>
      <c r="AN1037" s="40">
        <f t="shared" si="472"/>
        <v>0</v>
      </c>
      <c r="AO1037" s="40">
        <f t="shared" si="473"/>
        <v>0</v>
      </c>
      <c r="AP1037" s="40">
        <f t="shared" si="474"/>
        <v>0</v>
      </c>
      <c r="AQ1037" s="40">
        <f t="shared" si="475"/>
        <v>0</v>
      </c>
      <c r="AR1037" s="40">
        <f t="shared" si="476"/>
        <v>0</v>
      </c>
      <c r="AS1037" s="40">
        <f t="shared" si="477"/>
        <v>1</v>
      </c>
    </row>
    <row r="1038" spans="2:45" ht="14.4" customHeight="1" x14ac:dyDescent="0.25">
      <c r="B1038" s="56" t="s">
        <v>45</v>
      </c>
      <c r="C1038" s="57" t="s">
        <v>25</v>
      </c>
      <c r="D1038" s="58" t="s">
        <v>22</v>
      </c>
      <c r="E1038" s="62">
        <v>2.8100000000000009E-3</v>
      </c>
      <c r="F1038" s="65">
        <f t="shared" si="478"/>
        <v>-5.8745707956364823</v>
      </c>
      <c r="S1038" s="40">
        <f t="shared" si="451"/>
        <v>0</v>
      </c>
      <c r="T1038" s="40">
        <f t="shared" si="452"/>
        <v>0</v>
      </c>
      <c r="U1038" s="40">
        <f t="shared" si="453"/>
        <v>0</v>
      </c>
      <c r="V1038" s="40">
        <f t="shared" si="454"/>
        <v>1</v>
      </c>
      <c r="W1038" s="40">
        <f t="shared" si="455"/>
        <v>0</v>
      </c>
      <c r="X1038" s="40">
        <f t="shared" si="456"/>
        <v>0</v>
      </c>
      <c r="Y1038" s="40">
        <f t="shared" si="457"/>
        <v>0</v>
      </c>
      <c r="Z1038" s="40">
        <f t="shared" si="458"/>
        <v>0</v>
      </c>
      <c r="AA1038" s="40">
        <f t="shared" si="459"/>
        <v>0</v>
      </c>
      <c r="AB1038" s="40">
        <f t="shared" si="460"/>
        <v>1</v>
      </c>
      <c r="AC1038" s="40">
        <f t="shared" si="461"/>
        <v>0</v>
      </c>
      <c r="AD1038" s="40">
        <f t="shared" si="462"/>
        <v>0</v>
      </c>
      <c r="AE1038" s="40">
        <f t="shared" si="463"/>
        <v>0</v>
      </c>
      <c r="AF1038" s="40">
        <f t="shared" si="464"/>
        <v>0</v>
      </c>
      <c r="AG1038" s="40">
        <f t="shared" si="465"/>
        <v>0</v>
      </c>
      <c r="AH1038" s="40">
        <f t="shared" si="466"/>
        <v>0</v>
      </c>
      <c r="AI1038" s="40">
        <f t="shared" si="467"/>
        <v>0</v>
      </c>
      <c r="AJ1038" s="40">
        <f t="shared" si="468"/>
        <v>0</v>
      </c>
      <c r="AK1038" s="40">
        <f t="shared" si="469"/>
        <v>0</v>
      </c>
      <c r="AL1038" s="40">
        <f t="shared" si="470"/>
        <v>1</v>
      </c>
      <c r="AM1038" s="40">
        <f t="shared" si="471"/>
        <v>0</v>
      </c>
      <c r="AN1038" s="40">
        <f t="shared" si="472"/>
        <v>0</v>
      </c>
      <c r="AO1038" s="40">
        <f t="shared" si="473"/>
        <v>0</v>
      </c>
      <c r="AP1038" s="40">
        <f t="shared" si="474"/>
        <v>0</v>
      </c>
      <c r="AQ1038" s="40">
        <f t="shared" si="475"/>
        <v>0</v>
      </c>
      <c r="AR1038" s="40">
        <f t="shared" si="476"/>
        <v>0</v>
      </c>
      <c r="AS1038" s="40">
        <f t="shared" si="477"/>
        <v>0</v>
      </c>
    </row>
    <row r="1039" spans="2:45" ht="14.4" customHeight="1" x14ac:dyDescent="0.25">
      <c r="B1039" s="56" t="s">
        <v>45</v>
      </c>
      <c r="C1039" s="57" t="s">
        <v>25</v>
      </c>
      <c r="D1039" s="58" t="s">
        <v>24</v>
      </c>
      <c r="E1039" s="62">
        <v>1.3199999999999996E-2</v>
      </c>
      <c r="F1039" s="65">
        <f t="shared" si="478"/>
        <v>-4.3275384493898121</v>
      </c>
      <c r="S1039" s="40">
        <f t="shared" si="451"/>
        <v>0</v>
      </c>
      <c r="T1039" s="40">
        <f t="shared" si="452"/>
        <v>0</v>
      </c>
      <c r="U1039" s="40">
        <f t="shared" si="453"/>
        <v>0</v>
      </c>
      <c r="V1039" s="40">
        <f t="shared" si="454"/>
        <v>1</v>
      </c>
      <c r="W1039" s="40">
        <f t="shared" si="455"/>
        <v>0</v>
      </c>
      <c r="X1039" s="40">
        <f t="shared" si="456"/>
        <v>0</v>
      </c>
      <c r="Y1039" s="40">
        <f t="shared" si="457"/>
        <v>0</v>
      </c>
      <c r="Z1039" s="40">
        <f t="shared" si="458"/>
        <v>0</v>
      </c>
      <c r="AA1039" s="40">
        <f t="shared" si="459"/>
        <v>0</v>
      </c>
      <c r="AB1039" s="40">
        <f t="shared" si="460"/>
        <v>1</v>
      </c>
      <c r="AC1039" s="40">
        <f t="shared" si="461"/>
        <v>0</v>
      </c>
      <c r="AD1039" s="40">
        <f t="shared" si="462"/>
        <v>0</v>
      </c>
      <c r="AE1039" s="40">
        <f t="shared" si="463"/>
        <v>0</v>
      </c>
      <c r="AF1039" s="40">
        <f t="shared" si="464"/>
        <v>0</v>
      </c>
      <c r="AG1039" s="40">
        <f t="shared" si="465"/>
        <v>0</v>
      </c>
      <c r="AH1039" s="40">
        <f t="shared" si="466"/>
        <v>0</v>
      </c>
      <c r="AI1039" s="40">
        <f t="shared" si="467"/>
        <v>0</v>
      </c>
      <c r="AJ1039" s="40">
        <f t="shared" si="468"/>
        <v>0</v>
      </c>
      <c r="AK1039" s="40">
        <f t="shared" si="469"/>
        <v>0</v>
      </c>
      <c r="AL1039" s="40">
        <f t="shared" si="470"/>
        <v>0</v>
      </c>
      <c r="AM1039" s="40">
        <f t="shared" si="471"/>
        <v>0</v>
      </c>
      <c r="AN1039" s="40">
        <f t="shared" si="472"/>
        <v>0</v>
      </c>
      <c r="AO1039" s="40">
        <f t="shared" si="473"/>
        <v>0</v>
      </c>
      <c r="AP1039" s="40">
        <f t="shared" si="474"/>
        <v>0</v>
      </c>
      <c r="AQ1039" s="40">
        <f t="shared" si="475"/>
        <v>0</v>
      </c>
      <c r="AR1039" s="40">
        <f t="shared" si="476"/>
        <v>0</v>
      </c>
      <c r="AS1039" s="40">
        <f t="shared" si="477"/>
        <v>1</v>
      </c>
    </row>
    <row r="1040" spans="2:45" ht="14.4" customHeight="1" x14ac:dyDescent="0.25">
      <c r="B1040" s="56" t="s">
        <v>45</v>
      </c>
      <c r="C1040" s="57" t="s">
        <v>25</v>
      </c>
      <c r="D1040" s="58" t="s">
        <v>22</v>
      </c>
      <c r="E1040" s="62">
        <v>5.6700000000000014E-3</v>
      </c>
      <c r="F1040" s="65">
        <f t="shared" si="478"/>
        <v>-5.172566161242476</v>
      </c>
      <c r="S1040" s="40">
        <f t="shared" si="451"/>
        <v>0</v>
      </c>
      <c r="T1040" s="40">
        <f t="shared" si="452"/>
        <v>0</v>
      </c>
      <c r="U1040" s="40">
        <f t="shared" si="453"/>
        <v>0</v>
      </c>
      <c r="V1040" s="40">
        <f t="shared" si="454"/>
        <v>1</v>
      </c>
      <c r="W1040" s="40">
        <f t="shared" si="455"/>
        <v>0</v>
      </c>
      <c r="X1040" s="40">
        <f t="shared" si="456"/>
        <v>0</v>
      </c>
      <c r="Y1040" s="40">
        <f t="shared" si="457"/>
        <v>0</v>
      </c>
      <c r="Z1040" s="40">
        <f t="shared" si="458"/>
        <v>0</v>
      </c>
      <c r="AA1040" s="40">
        <f t="shared" si="459"/>
        <v>1</v>
      </c>
      <c r="AB1040" s="40">
        <f t="shared" si="460"/>
        <v>0</v>
      </c>
      <c r="AC1040" s="40">
        <f t="shared" si="461"/>
        <v>0</v>
      </c>
      <c r="AD1040" s="40">
        <f t="shared" si="462"/>
        <v>0</v>
      </c>
      <c r="AE1040" s="40">
        <f t="shared" si="463"/>
        <v>0</v>
      </c>
      <c r="AF1040" s="40">
        <f t="shared" si="464"/>
        <v>0</v>
      </c>
      <c r="AG1040" s="40">
        <f t="shared" si="465"/>
        <v>0</v>
      </c>
      <c r="AH1040" s="40">
        <f t="shared" si="466"/>
        <v>0</v>
      </c>
      <c r="AI1040" s="40">
        <f t="shared" si="467"/>
        <v>0</v>
      </c>
      <c r="AJ1040" s="40">
        <f t="shared" si="468"/>
        <v>0</v>
      </c>
      <c r="AK1040" s="40">
        <f t="shared" si="469"/>
        <v>0</v>
      </c>
      <c r="AL1040" s="40">
        <f t="shared" si="470"/>
        <v>0</v>
      </c>
      <c r="AM1040" s="40">
        <f t="shared" si="471"/>
        <v>1</v>
      </c>
      <c r="AN1040" s="40">
        <f t="shared" si="472"/>
        <v>0</v>
      </c>
      <c r="AO1040" s="40">
        <f t="shared" si="473"/>
        <v>0</v>
      </c>
      <c r="AP1040" s="40">
        <f t="shared" si="474"/>
        <v>0</v>
      </c>
      <c r="AQ1040" s="40">
        <f t="shared" si="475"/>
        <v>0</v>
      </c>
      <c r="AR1040" s="40">
        <f t="shared" si="476"/>
        <v>0</v>
      </c>
      <c r="AS1040" s="40">
        <f t="shared" si="477"/>
        <v>0</v>
      </c>
    </row>
    <row r="1041" spans="2:45" ht="14.4" customHeight="1" x14ac:dyDescent="0.25">
      <c r="B1041" s="56" t="s">
        <v>45</v>
      </c>
      <c r="C1041" s="57" t="s">
        <v>39</v>
      </c>
      <c r="D1041" s="58" t="s">
        <v>35</v>
      </c>
      <c r="E1041" s="62">
        <v>1.1740000000000002E-2</v>
      </c>
      <c r="F1041" s="65">
        <f t="shared" si="478"/>
        <v>-4.4447534645821865</v>
      </c>
      <c r="S1041" s="40">
        <f t="shared" si="451"/>
        <v>0</v>
      </c>
      <c r="T1041" s="40">
        <f t="shared" si="452"/>
        <v>0</v>
      </c>
      <c r="U1041" s="40">
        <f t="shared" si="453"/>
        <v>0</v>
      </c>
      <c r="V1041" s="40">
        <f t="shared" si="454"/>
        <v>1</v>
      </c>
      <c r="W1041" s="40">
        <f t="shared" si="455"/>
        <v>0</v>
      </c>
      <c r="X1041" s="40">
        <f t="shared" si="456"/>
        <v>0</v>
      </c>
      <c r="Y1041" s="40">
        <f t="shared" si="457"/>
        <v>0</v>
      </c>
      <c r="Z1041" s="40">
        <f t="shared" si="458"/>
        <v>0</v>
      </c>
      <c r="AA1041" s="40">
        <f t="shared" si="459"/>
        <v>1</v>
      </c>
      <c r="AB1041" s="40">
        <f t="shared" si="460"/>
        <v>0</v>
      </c>
      <c r="AC1041" s="40">
        <f t="shared" si="461"/>
        <v>0</v>
      </c>
      <c r="AD1041" s="40">
        <f t="shared" si="462"/>
        <v>0</v>
      </c>
      <c r="AE1041" s="40">
        <f t="shared" si="463"/>
        <v>0</v>
      </c>
      <c r="AF1041" s="40">
        <f t="shared" si="464"/>
        <v>0</v>
      </c>
      <c r="AG1041" s="40">
        <f t="shared" si="465"/>
        <v>0</v>
      </c>
      <c r="AH1041" s="40">
        <f t="shared" si="466"/>
        <v>0</v>
      </c>
      <c r="AI1041" s="40">
        <f t="shared" si="467"/>
        <v>0</v>
      </c>
      <c r="AJ1041" s="40">
        <f t="shared" si="468"/>
        <v>0</v>
      </c>
      <c r="AK1041" s="40">
        <f t="shared" si="469"/>
        <v>0</v>
      </c>
      <c r="AL1041" s="40">
        <f t="shared" si="470"/>
        <v>1</v>
      </c>
      <c r="AM1041" s="40">
        <f t="shared" si="471"/>
        <v>0</v>
      </c>
      <c r="AN1041" s="40">
        <f t="shared" si="472"/>
        <v>0</v>
      </c>
      <c r="AO1041" s="40">
        <f t="shared" si="473"/>
        <v>0</v>
      </c>
      <c r="AP1041" s="40">
        <f t="shared" si="474"/>
        <v>0</v>
      </c>
      <c r="AQ1041" s="40">
        <f t="shared" si="475"/>
        <v>0</v>
      </c>
      <c r="AR1041" s="40">
        <f t="shared" si="476"/>
        <v>0</v>
      </c>
      <c r="AS1041" s="40">
        <f t="shared" si="477"/>
        <v>0</v>
      </c>
    </row>
    <row r="1042" spans="2:45" ht="14.4" customHeight="1" x14ac:dyDescent="0.25">
      <c r="B1042" s="56" t="s">
        <v>45</v>
      </c>
      <c r="C1042" s="57" t="s">
        <v>39</v>
      </c>
      <c r="D1042" s="58" t="s">
        <v>24</v>
      </c>
      <c r="E1042" s="62">
        <v>1.3899999999999997E-2</v>
      </c>
      <c r="F1042" s="65">
        <f t="shared" si="478"/>
        <v>-4.2758664388454912</v>
      </c>
      <c r="S1042" s="40">
        <f t="shared" si="451"/>
        <v>0</v>
      </c>
      <c r="T1042" s="40">
        <f t="shared" si="452"/>
        <v>0</v>
      </c>
      <c r="U1042" s="40">
        <f t="shared" si="453"/>
        <v>0</v>
      </c>
      <c r="V1042" s="40">
        <f t="shared" si="454"/>
        <v>1</v>
      </c>
      <c r="W1042" s="40">
        <f t="shared" si="455"/>
        <v>0</v>
      </c>
      <c r="X1042" s="40">
        <f t="shared" si="456"/>
        <v>0</v>
      </c>
      <c r="Y1042" s="40">
        <f t="shared" si="457"/>
        <v>0</v>
      </c>
      <c r="Z1042" s="40">
        <f t="shared" si="458"/>
        <v>0</v>
      </c>
      <c r="AA1042" s="40">
        <f t="shared" si="459"/>
        <v>1</v>
      </c>
      <c r="AB1042" s="40">
        <f t="shared" si="460"/>
        <v>0</v>
      </c>
      <c r="AC1042" s="40">
        <f t="shared" si="461"/>
        <v>0</v>
      </c>
      <c r="AD1042" s="40">
        <f t="shared" si="462"/>
        <v>0</v>
      </c>
      <c r="AE1042" s="40">
        <f t="shared" si="463"/>
        <v>0</v>
      </c>
      <c r="AF1042" s="40">
        <f t="shared" si="464"/>
        <v>0</v>
      </c>
      <c r="AG1042" s="40">
        <f t="shared" si="465"/>
        <v>0</v>
      </c>
      <c r="AH1042" s="40">
        <f t="shared" si="466"/>
        <v>0</v>
      </c>
      <c r="AI1042" s="40">
        <f t="shared" si="467"/>
        <v>0</v>
      </c>
      <c r="AJ1042" s="40">
        <f t="shared" si="468"/>
        <v>0</v>
      </c>
      <c r="AK1042" s="40">
        <f t="shared" si="469"/>
        <v>1</v>
      </c>
      <c r="AL1042" s="40">
        <f t="shared" si="470"/>
        <v>0</v>
      </c>
      <c r="AM1042" s="40">
        <f t="shared" si="471"/>
        <v>0</v>
      </c>
      <c r="AN1042" s="40">
        <f t="shared" si="472"/>
        <v>0</v>
      </c>
      <c r="AO1042" s="40">
        <f t="shared" si="473"/>
        <v>0</v>
      </c>
      <c r="AP1042" s="40">
        <f t="shared" si="474"/>
        <v>0</v>
      </c>
      <c r="AQ1042" s="40">
        <f t="shared" si="475"/>
        <v>0</v>
      </c>
      <c r="AR1042" s="40">
        <f t="shared" si="476"/>
        <v>0</v>
      </c>
      <c r="AS1042" s="40">
        <f t="shared" si="477"/>
        <v>0</v>
      </c>
    </row>
    <row r="1043" spans="2:45" ht="14.4" customHeight="1" x14ac:dyDescent="0.25">
      <c r="B1043" s="56" t="s">
        <v>45</v>
      </c>
      <c r="C1043" s="57" t="s">
        <v>39</v>
      </c>
      <c r="D1043" s="58" t="s">
        <v>32</v>
      </c>
      <c r="E1043" s="62">
        <v>1.2449999999999996E-2</v>
      </c>
      <c r="F1043" s="65">
        <f t="shared" si="478"/>
        <v>-4.3860346560714207</v>
      </c>
      <c r="S1043" s="40">
        <f t="shared" si="451"/>
        <v>0</v>
      </c>
      <c r="T1043" s="40">
        <f t="shared" si="452"/>
        <v>0</v>
      </c>
      <c r="U1043" s="40">
        <f t="shared" si="453"/>
        <v>0</v>
      </c>
      <c r="V1043" s="40">
        <f t="shared" si="454"/>
        <v>1</v>
      </c>
      <c r="W1043" s="40">
        <f t="shared" si="455"/>
        <v>0</v>
      </c>
      <c r="X1043" s="40">
        <f t="shared" si="456"/>
        <v>0</v>
      </c>
      <c r="Y1043" s="40">
        <f t="shared" si="457"/>
        <v>0</v>
      </c>
      <c r="Z1043" s="40">
        <f t="shared" si="458"/>
        <v>0</v>
      </c>
      <c r="AA1043" s="40">
        <f t="shared" si="459"/>
        <v>1</v>
      </c>
      <c r="AB1043" s="40">
        <f t="shared" si="460"/>
        <v>0</v>
      </c>
      <c r="AC1043" s="40">
        <f t="shared" si="461"/>
        <v>0</v>
      </c>
      <c r="AD1043" s="40">
        <f t="shared" si="462"/>
        <v>0</v>
      </c>
      <c r="AE1043" s="40">
        <f t="shared" si="463"/>
        <v>0</v>
      </c>
      <c r="AF1043" s="40">
        <f t="shared" si="464"/>
        <v>0</v>
      </c>
      <c r="AG1043" s="40">
        <f t="shared" si="465"/>
        <v>0</v>
      </c>
      <c r="AH1043" s="40">
        <f t="shared" si="466"/>
        <v>0</v>
      </c>
      <c r="AI1043" s="40">
        <f t="shared" si="467"/>
        <v>0</v>
      </c>
      <c r="AJ1043" s="40">
        <f t="shared" si="468"/>
        <v>0</v>
      </c>
      <c r="AK1043" s="40">
        <f t="shared" si="469"/>
        <v>0</v>
      </c>
      <c r="AL1043" s="40">
        <f t="shared" si="470"/>
        <v>1</v>
      </c>
      <c r="AM1043" s="40">
        <f t="shared" si="471"/>
        <v>0</v>
      </c>
      <c r="AN1043" s="40">
        <f t="shared" si="472"/>
        <v>0</v>
      </c>
      <c r="AO1043" s="40">
        <f t="shared" si="473"/>
        <v>0</v>
      </c>
      <c r="AP1043" s="40">
        <f t="shared" si="474"/>
        <v>0</v>
      </c>
      <c r="AQ1043" s="40">
        <f t="shared" si="475"/>
        <v>0</v>
      </c>
      <c r="AR1043" s="40">
        <f t="shared" si="476"/>
        <v>0</v>
      </c>
      <c r="AS1043" s="40">
        <f t="shared" si="477"/>
        <v>0</v>
      </c>
    </row>
    <row r="1044" spans="2:45" ht="14.4" customHeight="1" x14ac:dyDescent="0.25">
      <c r="B1044" s="56" t="s">
        <v>45</v>
      </c>
      <c r="C1044" s="57" t="s">
        <v>39</v>
      </c>
      <c r="D1044" s="58" t="s">
        <v>24</v>
      </c>
      <c r="E1044" s="62">
        <v>1.3609999999999995E-2</v>
      </c>
      <c r="F1044" s="65">
        <f t="shared" si="478"/>
        <v>-4.2969504623187627</v>
      </c>
      <c r="S1044" s="40">
        <f t="shared" si="451"/>
        <v>0</v>
      </c>
      <c r="T1044" s="40">
        <f t="shared" si="452"/>
        <v>0</v>
      </c>
      <c r="U1044" s="40">
        <f t="shared" si="453"/>
        <v>0</v>
      </c>
      <c r="V1044" s="40">
        <f t="shared" si="454"/>
        <v>1</v>
      </c>
      <c r="W1044" s="40">
        <f t="shared" si="455"/>
        <v>0</v>
      </c>
      <c r="X1044" s="40">
        <f t="shared" si="456"/>
        <v>0</v>
      </c>
      <c r="Y1044" s="40">
        <f t="shared" si="457"/>
        <v>0</v>
      </c>
      <c r="Z1044" s="40">
        <f t="shared" si="458"/>
        <v>0</v>
      </c>
      <c r="AA1044" s="40">
        <f t="shared" si="459"/>
        <v>1</v>
      </c>
      <c r="AB1044" s="40">
        <f t="shared" si="460"/>
        <v>0</v>
      </c>
      <c r="AC1044" s="40">
        <f t="shared" si="461"/>
        <v>0</v>
      </c>
      <c r="AD1044" s="40">
        <f t="shared" si="462"/>
        <v>0</v>
      </c>
      <c r="AE1044" s="40">
        <f t="shared" si="463"/>
        <v>0</v>
      </c>
      <c r="AF1044" s="40">
        <f t="shared" si="464"/>
        <v>0</v>
      </c>
      <c r="AG1044" s="40">
        <f t="shared" si="465"/>
        <v>0</v>
      </c>
      <c r="AH1044" s="40">
        <f t="shared" si="466"/>
        <v>0</v>
      </c>
      <c r="AI1044" s="40">
        <f t="shared" si="467"/>
        <v>0</v>
      </c>
      <c r="AJ1044" s="40">
        <f t="shared" si="468"/>
        <v>0</v>
      </c>
      <c r="AK1044" s="40">
        <f t="shared" si="469"/>
        <v>1</v>
      </c>
      <c r="AL1044" s="40">
        <f t="shared" si="470"/>
        <v>0</v>
      </c>
      <c r="AM1044" s="40">
        <f t="shared" si="471"/>
        <v>0</v>
      </c>
      <c r="AN1044" s="40">
        <f t="shared" si="472"/>
        <v>0</v>
      </c>
      <c r="AO1044" s="40">
        <f t="shared" si="473"/>
        <v>0</v>
      </c>
      <c r="AP1044" s="40">
        <f t="shared" si="474"/>
        <v>0</v>
      </c>
      <c r="AQ1044" s="40">
        <f t="shared" si="475"/>
        <v>0</v>
      </c>
      <c r="AR1044" s="40">
        <f t="shared" si="476"/>
        <v>0</v>
      </c>
      <c r="AS1044" s="40">
        <f t="shared" si="477"/>
        <v>0</v>
      </c>
    </row>
    <row r="1045" spans="2:45" ht="14.4" customHeight="1" x14ac:dyDescent="0.25">
      <c r="B1045" s="56" t="s">
        <v>45</v>
      </c>
      <c r="C1045" s="57" t="s">
        <v>39</v>
      </c>
      <c r="D1045" s="58" t="s">
        <v>32</v>
      </c>
      <c r="E1045" s="62">
        <v>1.0880000000000004E-2</v>
      </c>
      <c r="F1045" s="65">
        <f t="shared" si="478"/>
        <v>-4.5208290375543401</v>
      </c>
      <c r="S1045" s="40">
        <f t="shared" si="451"/>
        <v>0</v>
      </c>
      <c r="T1045" s="40">
        <f t="shared" si="452"/>
        <v>0</v>
      </c>
      <c r="U1045" s="40">
        <f t="shared" si="453"/>
        <v>0</v>
      </c>
      <c r="V1045" s="40">
        <f t="shared" si="454"/>
        <v>1</v>
      </c>
      <c r="W1045" s="40">
        <f t="shared" si="455"/>
        <v>0</v>
      </c>
      <c r="X1045" s="40">
        <f t="shared" si="456"/>
        <v>0</v>
      </c>
      <c r="Y1045" s="40">
        <f t="shared" si="457"/>
        <v>0</v>
      </c>
      <c r="Z1045" s="40">
        <f t="shared" si="458"/>
        <v>0</v>
      </c>
      <c r="AA1045" s="40">
        <f t="shared" si="459"/>
        <v>1</v>
      </c>
      <c r="AB1045" s="40">
        <f t="shared" si="460"/>
        <v>0</v>
      </c>
      <c r="AC1045" s="40">
        <f t="shared" si="461"/>
        <v>0</v>
      </c>
      <c r="AD1045" s="40">
        <f t="shared" si="462"/>
        <v>0</v>
      </c>
      <c r="AE1045" s="40">
        <f t="shared" si="463"/>
        <v>0</v>
      </c>
      <c r="AF1045" s="40">
        <f t="shared" si="464"/>
        <v>0</v>
      </c>
      <c r="AG1045" s="40">
        <f t="shared" si="465"/>
        <v>0</v>
      </c>
      <c r="AH1045" s="40">
        <f t="shared" si="466"/>
        <v>0</v>
      </c>
      <c r="AI1045" s="40">
        <f t="shared" si="467"/>
        <v>0</v>
      </c>
      <c r="AJ1045" s="40">
        <f t="shared" si="468"/>
        <v>0</v>
      </c>
      <c r="AK1045" s="40">
        <f t="shared" si="469"/>
        <v>0</v>
      </c>
      <c r="AL1045" s="40">
        <f t="shared" si="470"/>
        <v>0</v>
      </c>
      <c r="AM1045" s="40">
        <f t="shared" si="471"/>
        <v>1</v>
      </c>
      <c r="AN1045" s="40">
        <f t="shared" si="472"/>
        <v>0</v>
      </c>
      <c r="AO1045" s="40">
        <f t="shared" si="473"/>
        <v>0</v>
      </c>
      <c r="AP1045" s="40">
        <f t="shared" si="474"/>
        <v>0</v>
      </c>
      <c r="AQ1045" s="40">
        <f t="shared" si="475"/>
        <v>0</v>
      </c>
      <c r="AR1045" s="40">
        <f t="shared" si="476"/>
        <v>0</v>
      </c>
      <c r="AS1045" s="40">
        <f t="shared" si="477"/>
        <v>0</v>
      </c>
    </row>
    <row r="1046" spans="2:45" ht="14.4" customHeight="1" x14ac:dyDescent="0.25">
      <c r="B1046" s="56" t="s">
        <v>45</v>
      </c>
      <c r="C1046" s="57" t="s">
        <v>39</v>
      </c>
      <c r="D1046" s="58" t="s">
        <v>35</v>
      </c>
      <c r="E1046" s="62">
        <v>6.5299999999999985E-3</v>
      </c>
      <c r="F1046" s="65">
        <f t="shared" si="478"/>
        <v>-5.0313483356937976</v>
      </c>
      <c r="S1046" s="40">
        <f t="shared" si="451"/>
        <v>0</v>
      </c>
      <c r="T1046" s="40">
        <f t="shared" si="452"/>
        <v>0</v>
      </c>
      <c r="U1046" s="40">
        <f t="shared" si="453"/>
        <v>0</v>
      </c>
      <c r="V1046" s="40">
        <f t="shared" si="454"/>
        <v>1</v>
      </c>
      <c r="W1046" s="40">
        <f t="shared" si="455"/>
        <v>0</v>
      </c>
      <c r="X1046" s="40">
        <f t="shared" si="456"/>
        <v>0</v>
      </c>
      <c r="Y1046" s="40">
        <f t="shared" si="457"/>
        <v>0</v>
      </c>
      <c r="Z1046" s="40">
        <f t="shared" si="458"/>
        <v>0</v>
      </c>
      <c r="AA1046" s="40">
        <f t="shared" si="459"/>
        <v>0</v>
      </c>
      <c r="AB1046" s="40">
        <f t="shared" si="460"/>
        <v>1</v>
      </c>
      <c r="AC1046" s="40">
        <f t="shared" si="461"/>
        <v>0</v>
      </c>
      <c r="AD1046" s="40">
        <f t="shared" si="462"/>
        <v>0</v>
      </c>
      <c r="AE1046" s="40">
        <f t="shared" si="463"/>
        <v>0</v>
      </c>
      <c r="AF1046" s="40">
        <f t="shared" si="464"/>
        <v>0</v>
      </c>
      <c r="AG1046" s="40">
        <f t="shared" si="465"/>
        <v>0</v>
      </c>
      <c r="AH1046" s="40">
        <f t="shared" si="466"/>
        <v>1</v>
      </c>
      <c r="AI1046" s="40">
        <f t="shared" si="467"/>
        <v>0</v>
      </c>
      <c r="AJ1046" s="40">
        <f t="shared" si="468"/>
        <v>0</v>
      </c>
      <c r="AK1046" s="40">
        <f t="shared" si="469"/>
        <v>0</v>
      </c>
      <c r="AL1046" s="40">
        <f t="shared" si="470"/>
        <v>0</v>
      </c>
      <c r="AM1046" s="40">
        <f t="shared" si="471"/>
        <v>0</v>
      </c>
      <c r="AN1046" s="40">
        <f t="shared" si="472"/>
        <v>0</v>
      </c>
      <c r="AO1046" s="40">
        <f t="shared" si="473"/>
        <v>0</v>
      </c>
      <c r="AP1046" s="40">
        <f t="shared" si="474"/>
        <v>0</v>
      </c>
      <c r="AQ1046" s="40">
        <f t="shared" si="475"/>
        <v>0</v>
      </c>
      <c r="AR1046" s="40">
        <f t="shared" si="476"/>
        <v>0</v>
      </c>
      <c r="AS1046" s="40">
        <f t="shared" si="477"/>
        <v>0</v>
      </c>
    </row>
    <row r="1047" spans="2:45" ht="14.4" customHeight="1" x14ac:dyDescent="0.25">
      <c r="B1047" s="56" t="s">
        <v>45</v>
      </c>
      <c r="C1047" s="57" t="s">
        <v>25</v>
      </c>
      <c r="D1047" s="58" t="s">
        <v>27</v>
      </c>
      <c r="E1047" s="62">
        <v>5.5299999999999993E-3</v>
      </c>
      <c r="F1047" s="65">
        <f t="shared" si="478"/>
        <v>-5.1975674634478937</v>
      </c>
      <c r="S1047" s="40">
        <f t="shared" si="451"/>
        <v>0</v>
      </c>
      <c r="T1047" s="40">
        <f t="shared" si="452"/>
        <v>0</v>
      </c>
      <c r="U1047" s="40">
        <f t="shared" si="453"/>
        <v>0</v>
      </c>
      <c r="V1047" s="40">
        <f t="shared" si="454"/>
        <v>1</v>
      </c>
      <c r="W1047" s="40">
        <f t="shared" si="455"/>
        <v>0</v>
      </c>
      <c r="X1047" s="40">
        <f t="shared" si="456"/>
        <v>0</v>
      </c>
      <c r="Y1047" s="40">
        <f t="shared" si="457"/>
        <v>0</v>
      </c>
      <c r="Z1047" s="40">
        <f t="shared" si="458"/>
        <v>0</v>
      </c>
      <c r="AA1047" s="40">
        <f t="shared" si="459"/>
        <v>1</v>
      </c>
      <c r="AB1047" s="40">
        <f t="shared" si="460"/>
        <v>0</v>
      </c>
      <c r="AC1047" s="40">
        <f t="shared" si="461"/>
        <v>0</v>
      </c>
      <c r="AD1047" s="40">
        <f t="shared" si="462"/>
        <v>0</v>
      </c>
      <c r="AE1047" s="40">
        <f t="shared" si="463"/>
        <v>0</v>
      </c>
      <c r="AF1047" s="40">
        <f t="shared" si="464"/>
        <v>0</v>
      </c>
      <c r="AG1047" s="40">
        <f t="shared" si="465"/>
        <v>0</v>
      </c>
      <c r="AH1047" s="40">
        <f t="shared" si="466"/>
        <v>0</v>
      </c>
      <c r="AI1047" s="40">
        <f t="shared" si="467"/>
        <v>0</v>
      </c>
      <c r="AJ1047" s="40">
        <f t="shared" si="468"/>
        <v>0</v>
      </c>
      <c r="AK1047" s="40">
        <f t="shared" si="469"/>
        <v>1</v>
      </c>
      <c r="AL1047" s="40">
        <f t="shared" si="470"/>
        <v>0</v>
      </c>
      <c r="AM1047" s="40">
        <f t="shared" si="471"/>
        <v>0</v>
      </c>
      <c r="AN1047" s="40">
        <f t="shared" si="472"/>
        <v>0</v>
      </c>
      <c r="AO1047" s="40">
        <f t="shared" si="473"/>
        <v>0</v>
      </c>
      <c r="AP1047" s="40">
        <f t="shared" si="474"/>
        <v>0</v>
      </c>
      <c r="AQ1047" s="40">
        <f t="shared" si="475"/>
        <v>0</v>
      </c>
      <c r="AR1047" s="40">
        <f t="shared" si="476"/>
        <v>0</v>
      </c>
      <c r="AS1047" s="40">
        <f t="shared" si="477"/>
        <v>0</v>
      </c>
    </row>
    <row r="1048" spans="2:45" ht="14.4" customHeight="1" x14ac:dyDescent="0.25">
      <c r="B1048" s="56" t="s">
        <v>45</v>
      </c>
      <c r="C1048" s="57" t="s">
        <v>39</v>
      </c>
      <c r="D1048" s="58" t="s">
        <v>32</v>
      </c>
      <c r="E1048" s="62">
        <v>1.1669999999999996E-2</v>
      </c>
      <c r="F1048" s="65">
        <f t="shared" si="478"/>
        <v>-4.4507338326836727</v>
      </c>
      <c r="S1048" s="40">
        <f t="shared" si="451"/>
        <v>0</v>
      </c>
      <c r="T1048" s="40">
        <f t="shared" si="452"/>
        <v>0</v>
      </c>
      <c r="U1048" s="40">
        <f t="shared" si="453"/>
        <v>0</v>
      </c>
      <c r="V1048" s="40">
        <f t="shared" si="454"/>
        <v>1</v>
      </c>
      <c r="W1048" s="40">
        <f t="shared" si="455"/>
        <v>0</v>
      </c>
      <c r="X1048" s="40">
        <f t="shared" si="456"/>
        <v>0</v>
      </c>
      <c r="Y1048" s="40">
        <f t="shared" si="457"/>
        <v>0</v>
      </c>
      <c r="Z1048" s="40">
        <f t="shared" si="458"/>
        <v>0</v>
      </c>
      <c r="AA1048" s="40">
        <f t="shared" si="459"/>
        <v>0</v>
      </c>
      <c r="AB1048" s="40">
        <f t="shared" si="460"/>
        <v>1</v>
      </c>
      <c r="AC1048" s="40">
        <f t="shared" si="461"/>
        <v>0</v>
      </c>
      <c r="AD1048" s="40">
        <f t="shared" si="462"/>
        <v>0</v>
      </c>
      <c r="AE1048" s="40">
        <f t="shared" si="463"/>
        <v>0</v>
      </c>
      <c r="AF1048" s="40">
        <f t="shared" si="464"/>
        <v>0</v>
      </c>
      <c r="AG1048" s="40">
        <f t="shared" si="465"/>
        <v>0</v>
      </c>
      <c r="AH1048" s="40">
        <f t="shared" si="466"/>
        <v>0</v>
      </c>
      <c r="AI1048" s="40">
        <f t="shared" si="467"/>
        <v>0</v>
      </c>
      <c r="AJ1048" s="40">
        <f t="shared" si="468"/>
        <v>0</v>
      </c>
      <c r="AK1048" s="40">
        <f t="shared" si="469"/>
        <v>0</v>
      </c>
      <c r="AL1048" s="40">
        <f t="shared" si="470"/>
        <v>1</v>
      </c>
      <c r="AM1048" s="40">
        <f t="shared" si="471"/>
        <v>0</v>
      </c>
      <c r="AN1048" s="40">
        <f t="shared" si="472"/>
        <v>0</v>
      </c>
      <c r="AO1048" s="40">
        <f t="shared" si="473"/>
        <v>0</v>
      </c>
      <c r="AP1048" s="40">
        <f t="shared" si="474"/>
        <v>0</v>
      </c>
      <c r="AQ1048" s="40">
        <f t="shared" si="475"/>
        <v>0</v>
      </c>
      <c r="AR1048" s="40">
        <f t="shared" si="476"/>
        <v>0</v>
      </c>
      <c r="AS1048" s="40">
        <f t="shared" si="477"/>
        <v>0</v>
      </c>
    </row>
    <row r="1049" spans="2:45" ht="14.4" customHeight="1" x14ac:dyDescent="0.25">
      <c r="B1049" s="56" t="s">
        <v>45</v>
      </c>
      <c r="C1049" s="57" t="s">
        <v>25</v>
      </c>
      <c r="D1049" s="58" t="s">
        <v>24</v>
      </c>
      <c r="E1049" s="62">
        <v>1.2200000000000003E-2</v>
      </c>
      <c r="F1049" s="65">
        <f t="shared" si="478"/>
        <v>-4.406319327242926</v>
      </c>
      <c r="S1049" s="40">
        <f t="shared" si="451"/>
        <v>0</v>
      </c>
      <c r="T1049" s="40">
        <f t="shared" si="452"/>
        <v>0</v>
      </c>
      <c r="U1049" s="40">
        <f t="shared" si="453"/>
        <v>0</v>
      </c>
      <c r="V1049" s="40">
        <f t="shared" si="454"/>
        <v>1</v>
      </c>
      <c r="W1049" s="40">
        <f t="shared" si="455"/>
        <v>0</v>
      </c>
      <c r="X1049" s="40">
        <f t="shared" si="456"/>
        <v>0</v>
      </c>
      <c r="Y1049" s="40">
        <f t="shared" si="457"/>
        <v>0</v>
      </c>
      <c r="Z1049" s="40">
        <f t="shared" si="458"/>
        <v>0</v>
      </c>
      <c r="AA1049" s="40">
        <f t="shared" si="459"/>
        <v>0</v>
      </c>
      <c r="AB1049" s="40">
        <f t="shared" si="460"/>
        <v>1</v>
      </c>
      <c r="AC1049" s="40">
        <f t="shared" si="461"/>
        <v>0</v>
      </c>
      <c r="AD1049" s="40">
        <f t="shared" si="462"/>
        <v>0</v>
      </c>
      <c r="AE1049" s="40">
        <f t="shared" si="463"/>
        <v>0</v>
      </c>
      <c r="AF1049" s="40">
        <f t="shared" si="464"/>
        <v>0</v>
      </c>
      <c r="AG1049" s="40">
        <f t="shared" si="465"/>
        <v>0</v>
      </c>
      <c r="AH1049" s="40">
        <f t="shared" si="466"/>
        <v>0</v>
      </c>
      <c r="AI1049" s="40">
        <f t="shared" si="467"/>
        <v>0</v>
      </c>
      <c r="AJ1049" s="40">
        <f t="shared" si="468"/>
        <v>0</v>
      </c>
      <c r="AK1049" s="40">
        <f t="shared" si="469"/>
        <v>0</v>
      </c>
      <c r="AL1049" s="40">
        <f t="shared" si="470"/>
        <v>0</v>
      </c>
      <c r="AM1049" s="40">
        <f t="shared" si="471"/>
        <v>0</v>
      </c>
      <c r="AN1049" s="40">
        <f t="shared" si="472"/>
        <v>0</v>
      </c>
      <c r="AO1049" s="40">
        <f t="shared" si="473"/>
        <v>1</v>
      </c>
      <c r="AP1049" s="40">
        <f t="shared" si="474"/>
        <v>0</v>
      </c>
      <c r="AQ1049" s="40">
        <f t="shared" si="475"/>
        <v>0</v>
      </c>
      <c r="AR1049" s="40">
        <f t="shared" si="476"/>
        <v>0</v>
      </c>
      <c r="AS1049" s="40">
        <f t="shared" si="477"/>
        <v>0</v>
      </c>
    </row>
    <row r="1050" spans="2:45" ht="14.4" customHeight="1" x14ac:dyDescent="0.25">
      <c r="B1050" s="56" t="s">
        <v>45</v>
      </c>
      <c r="C1050" s="57" t="s">
        <v>25</v>
      </c>
      <c r="D1050" s="58" t="s">
        <v>31</v>
      </c>
      <c r="E1050" s="62">
        <v>4.6699999999999997E-3</v>
      </c>
      <c r="F1050" s="65">
        <f t="shared" si="478"/>
        <v>-5.3665962073013311</v>
      </c>
      <c r="S1050" s="40">
        <f t="shared" si="451"/>
        <v>0</v>
      </c>
      <c r="T1050" s="40">
        <f t="shared" si="452"/>
        <v>0</v>
      </c>
      <c r="U1050" s="40">
        <f t="shared" si="453"/>
        <v>0</v>
      </c>
      <c r="V1050" s="40">
        <f t="shared" si="454"/>
        <v>1</v>
      </c>
      <c r="W1050" s="40">
        <f t="shared" si="455"/>
        <v>0</v>
      </c>
      <c r="X1050" s="40">
        <f t="shared" si="456"/>
        <v>0</v>
      </c>
      <c r="Y1050" s="40">
        <f t="shared" si="457"/>
        <v>0</v>
      </c>
      <c r="Z1050" s="40">
        <f t="shared" si="458"/>
        <v>0</v>
      </c>
      <c r="AA1050" s="40">
        <f t="shared" si="459"/>
        <v>0</v>
      </c>
      <c r="AB1050" s="40">
        <f t="shared" si="460"/>
        <v>1</v>
      </c>
      <c r="AC1050" s="40">
        <f t="shared" si="461"/>
        <v>0</v>
      </c>
      <c r="AD1050" s="40">
        <f t="shared" si="462"/>
        <v>0</v>
      </c>
      <c r="AE1050" s="40">
        <f t="shared" si="463"/>
        <v>0</v>
      </c>
      <c r="AF1050" s="40">
        <f t="shared" si="464"/>
        <v>0</v>
      </c>
      <c r="AG1050" s="40">
        <f t="shared" si="465"/>
        <v>0</v>
      </c>
      <c r="AH1050" s="40">
        <f t="shared" si="466"/>
        <v>0</v>
      </c>
      <c r="AI1050" s="40">
        <f t="shared" si="467"/>
        <v>0</v>
      </c>
      <c r="AJ1050" s="40">
        <f t="shared" si="468"/>
        <v>0</v>
      </c>
      <c r="AK1050" s="40">
        <f t="shared" si="469"/>
        <v>0</v>
      </c>
      <c r="AL1050" s="40">
        <f t="shared" si="470"/>
        <v>0</v>
      </c>
      <c r="AM1050" s="40">
        <f t="shared" si="471"/>
        <v>0</v>
      </c>
      <c r="AN1050" s="40">
        <f t="shared" si="472"/>
        <v>0</v>
      </c>
      <c r="AO1050" s="40">
        <f t="shared" si="473"/>
        <v>0</v>
      </c>
      <c r="AP1050" s="40">
        <f t="shared" si="474"/>
        <v>0</v>
      </c>
      <c r="AQ1050" s="40">
        <f t="shared" si="475"/>
        <v>0</v>
      </c>
      <c r="AR1050" s="40">
        <f t="shared" si="476"/>
        <v>1</v>
      </c>
      <c r="AS1050" s="40">
        <f t="shared" si="477"/>
        <v>0</v>
      </c>
    </row>
    <row r="1051" spans="2:45" ht="14.4" customHeight="1" x14ac:dyDescent="0.25">
      <c r="B1051" s="56" t="s">
        <v>45</v>
      </c>
      <c r="C1051" s="57" t="s">
        <v>25</v>
      </c>
      <c r="D1051" s="58" t="s">
        <v>33</v>
      </c>
      <c r="E1051" s="62">
        <v>1.1489999999999997E-2</v>
      </c>
      <c r="F1051" s="65">
        <f t="shared" si="478"/>
        <v>-4.466278187121473</v>
      </c>
      <c r="S1051" s="40">
        <f t="shared" si="451"/>
        <v>0</v>
      </c>
      <c r="T1051" s="40">
        <f t="shared" si="452"/>
        <v>0</v>
      </c>
      <c r="U1051" s="40">
        <f t="shared" si="453"/>
        <v>0</v>
      </c>
      <c r="V1051" s="40">
        <f t="shared" si="454"/>
        <v>1</v>
      </c>
      <c r="W1051" s="40">
        <f t="shared" si="455"/>
        <v>0</v>
      </c>
      <c r="X1051" s="40">
        <f t="shared" si="456"/>
        <v>0</v>
      </c>
      <c r="Y1051" s="40">
        <f t="shared" si="457"/>
        <v>0</v>
      </c>
      <c r="Z1051" s="40">
        <f t="shared" si="458"/>
        <v>0</v>
      </c>
      <c r="AA1051" s="40">
        <f t="shared" si="459"/>
        <v>0</v>
      </c>
      <c r="AB1051" s="40">
        <f t="shared" si="460"/>
        <v>1</v>
      </c>
      <c r="AC1051" s="40">
        <f t="shared" si="461"/>
        <v>0</v>
      </c>
      <c r="AD1051" s="40">
        <f t="shared" si="462"/>
        <v>0</v>
      </c>
      <c r="AE1051" s="40">
        <f t="shared" si="463"/>
        <v>0</v>
      </c>
      <c r="AF1051" s="40">
        <f t="shared" si="464"/>
        <v>0</v>
      </c>
      <c r="AG1051" s="40">
        <f t="shared" si="465"/>
        <v>0</v>
      </c>
      <c r="AH1051" s="40">
        <f t="shared" si="466"/>
        <v>0</v>
      </c>
      <c r="AI1051" s="40">
        <f t="shared" si="467"/>
        <v>0</v>
      </c>
      <c r="AJ1051" s="40">
        <f t="shared" si="468"/>
        <v>0</v>
      </c>
      <c r="AK1051" s="40">
        <f t="shared" si="469"/>
        <v>0</v>
      </c>
      <c r="AL1051" s="40">
        <f t="shared" si="470"/>
        <v>0</v>
      </c>
      <c r="AM1051" s="40">
        <f t="shared" si="471"/>
        <v>0</v>
      </c>
      <c r="AN1051" s="40">
        <f t="shared" si="472"/>
        <v>0</v>
      </c>
      <c r="AO1051" s="40">
        <f t="shared" si="473"/>
        <v>0</v>
      </c>
      <c r="AP1051" s="40">
        <f t="shared" si="474"/>
        <v>0</v>
      </c>
      <c r="AQ1051" s="40">
        <f t="shared" si="475"/>
        <v>0</v>
      </c>
      <c r="AR1051" s="40">
        <f t="shared" si="476"/>
        <v>0</v>
      </c>
      <c r="AS1051" s="40">
        <f t="shared" si="477"/>
        <v>1</v>
      </c>
    </row>
    <row r="1052" spans="2:45" ht="14.4" customHeight="1" x14ac:dyDescent="0.25">
      <c r="B1052" s="56" t="s">
        <v>45</v>
      </c>
      <c r="C1052" s="57" t="s">
        <v>25</v>
      </c>
      <c r="D1052" s="58" t="s">
        <v>22</v>
      </c>
      <c r="E1052" s="62">
        <v>4.9799999999999983E-3</v>
      </c>
      <c r="F1052" s="65">
        <f t="shared" si="478"/>
        <v>-5.3023253879455758</v>
      </c>
      <c r="S1052" s="40">
        <f t="shared" si="451"/>
        <v>0</v>
      </c>
      <c r="T1052" s="40">
        <f t="shared" si="452"/>
        <v>0</v>
      </c>
      <c r="U1052" s="40">
        <f t="shared" si="453"/>
        <v>0</v>
      </c>
      <c r="V1052" s="40">
        <f t="shared" si="454"/>
        <v>1</v>
      </c>
      <c r="W1052" s="40">
        <f t="shared" si="455"/>
        <v>0</v>
      </c>
      <c r="X1052" s="40">
        <f t="shared" si="456"/>
        <v>0</v>
      </c>
      <c r="Y1052" s="40">
        <f t="shared" si="457"/>
        <v>0</v>
      </c>
      <c r="Z1052" s="40">
        <f t="shared" si="458"/>
        <v>1</v>
      </c>
      <c r="AA1052" s="40">
        <f t="shared" si="459"/>
        <v>0</v>
      </c>
      <c r="AB1052" s="40">
        <f t="shared" si="460"/>
        <v>0</v>
      </c>
      <c r="AC1052" s="40">
        <f t="shared" si="461"/>
        <v>0</v>
      </c>
      <c r="AD1052" s="40">
        <f t="shared" si="462"/>
        <v>0</v>
      </c>
      <c r="AE1052" s="40">
        <f t="shared" si="463"/>
        <v>0</v>
      </c>
      <c r="AF1052" s="40">
        <f t="shared" si="464"/>
        <v>0</v>
      </c>
      <c r="AG1052" s="40">
        <f t="shared" si="465"/>
        <v>0</v>
      </c>
      <c r="AH1052" s="40">
        <f t="shared" si="466"/>
        <v>0</v>
      </c>
      <c r="AI1052" s="40">
        <f t="shared" si="467"/>
        <v>0</v>
      </c>
      <c r="AJ1052" s="40">
        <f t="shared" si="468"/>
        <v>0</v>
      </c>
      <c r="AK1052" s="40">
        <f t="shared" si="469"/>
        <v>0</v>
      </c>
      <c r="AL1052" s="40">
        <f t="shared" si="470"/>
        <v>0</v>
      </c>
      <c r="AM1052" s="40">
        <f t="shared" si="471"/>
        <v>0</v>
      </c>
      <c r="AN1052" s="40">
        <f t="shared" si="472"/>
        <v>0</v>
      </c>
      <c r="AO1052" s="40">
        <f t="shared" si="473"/>
        <v>1</v>
      </c>
      <c r="AP1052" s="40">
        <f t="shared" si="474"/>
        <v>0</v>
      </c>
      <c r="AQ1052" s="40">
        <f t="shared" si="475"/>
        <v>0</v>
      </c>
      <c r="AR1052" s="40">
        <f t="shared" si="476"/>
        <v>0</v>
      </c>
      <c r="AS1052" s="40">
        <f t="shared" si="477"/>
        <v>0</v>
      </c>
    </row>
    <row r="1053" spans="2:45" ht="14.4" customHeight="1" x14ac:dyDescent="0.25">
      <c r="B1053" s="56" t="s">
        <v>45</v>
      </c>
      <c r="C1053" s="57" t="s">
        <v>36</v>
      </c>
      <c r="D1053" s="58" t="s">
        <v>31</v>
      </c>
      <c r="E1053" s="62">
        <v>6.8399999999999971E-3</v>
      </c>
      <c r="F1053" s="65">
        <f t="shared" si="478"/>
        <v>-4.9849675473476784</v>
      </c>
      <c r="S1053" s="40">
        <f t="shared" si="451"/>
        <v>0</v>
      </c>
      <c r="T1053" s="40">
        <f t="shared" si="452"/>
        <v>0</v>
      </c>
      <c r="U1053" s="40">
        <f t="shared" si="453"/>
        <v>0</v>
      </c>
      <c r="V1053" s="40">
        <f t="shared" si="454"/>
        <v>1</v>
      </c>
      <c r="W1053" s="40">
        <f t="shared" si="455"/>
        <v>0</v>
      </c>
      <c r="X1053" s="40">
        <f t="shared" si="456"/>
        <v>0</v>
      </c>
      <c r="Y1053" s="40">
        <f t="shared" si="457"/>
        <v>0</v>
      </c>
      <c r="Z1053" s="40">
        <f t="shared" si="458"/>
        <v>1</v>
      </c>
      <c r="AA1053" s="40">
        <f t="shared" si="459"/>
        <v>0</v>
      </c>
      <c r="AB1053" s="40">
        <f t="shared" si="460"/>
        <v>0</v>
      </c>
      <c r="AC1053" s="40">
        <f t="shared" si="461"/>
        <v>0</v>
      </c>
      <c r="AD1053" s="40">
        <f t="shared" si="462"/>
        <v>0</v>
      </c>
      <c r="AE1053" s="40">
        <f t="shared" si="463"/>
        <v>0</v>
      </c>
      <c r="AF1053" s="40">
        <f t="shared" si="464"/>
        <v>0</v>
      </c>
      <c r="AG1053" s="40">
        <f t="shared" si="465"/>
        <v>0</v>
      </c>
      <c r="AH1053" s="40">
        <f t="shared" si="466"/>
        <v>0</v>
      </c>
      <c r="AI1053" s="40">
        <f t="shared" si="467"/>
        <v>0</v>
      </c>
      <c r="AJ1053" s="40">
        <f t="shared" si="468"/>
        <v>0</v>
      </c>
      <c r="AK1053" s="40">
        <f t="shared" si="469"/>
        <v>1</v>
      </c>
      <c r="AL1053" s="40">
        <f t="shared" si="470"/>
        <v>0</v>
      </c>
      <c r="AM1053" s="40">
        <f t="shared" si="471"/>
        <v>0</v>
      </c>
      <c r="AN1053" s="40">
        <f t="shared" si="472"/>
        <v>0</v>
      </c>
      <c r="AO1053" s="40">
        <f t="shared" si="473"/>
        <v>0</v>
      </c>
      <c r="AP1053" s="40">
        <f t="shared" si="474"/>
        <v>0</v>
      </c>
      <c r="AQ1053" s="40">
        <f t="shared" si="475"/>
        <v>0</v>
      </c>
      <c r="AR1053" s="40">
        <f t="shared" si="476"/>
        <v>0</v>
      </c>
      <c r="AS1053" s="40">
        <f t="shared" si="477"/>
        <v>0</v>
      </c>
    </row>
    <row r="1054" spans="2:45" ht="14.4" customHeight="1" x14ac:dyDescent="0.25">
      <c r="B1054" s="56" t="s">
        <v>45</v>
      </c>
      <c r="C1054" s="57" t="s">
        <v>36</v>
      </c>
      <c r="D1054" s="58" t="s">
        <v>32</v>
      </c>
      <c r="E1054" s="62">
        <v>4.0500000000000015E-3</v>
      </c>
      <c r="F1054" s="65">
        <f t="shared" si="478"/>
        <v>-5.509038397863689</v>
      </c>
      <c r="S1054" s="40">
        <f t="shared" si="451"/>
        <v>0</v>
      </c>
      <c r="T1054" s="40">
        <f t="shared" si="452"/>
        <v>0</v>
      </c>
      <c r="U1054" s="40">
        <f t="shared" si="453"/>
        <v>0</v>
      </c>
      <c r="V1054" s="40">
        <f t="shared" si="454"/>
        <v>1</v>
      </c>
      <c r="W1054" s="40">
        <f t="shared" si="455"/>
        <v>0</v>
      </c>
      <c r="X1054" s="40">
        <f t="shared" si="456"/>
        <v>0</v>
      </c>
      <c r="Y1054" s="40">
        <f t="shared" si="457"/>
        <v>0</v>
      </c>
      <c r="Z1054" s="40">
        <f t="shared" si="458"/>
        <v>1</v>
      </c>
      <c r="AA1054" s="40">
        <f t="shared" si="459"/>
        <v>0</v>
      </c>
      <c r="AB1054" s="40">
        <f t="shared" si="460"/>
        <v>0</v>
      </c>
      <c r="AC1054" s="40">
        <f t="shared" si="461"/>
        <v>0</v>
      </c>
      <c r="AD1054" s="40">
        <f t="shared" si="462"/>
        <v>0</v>
      </c>
      <c r="AE1054" s="40">
        <f t="shared" si="463"/>
        <v>0</v>
      </c>
      <c r="AF1054" s="40">
        <f t="shared" si="464"/>
        <v>0</v>
      </c>
      <c r="AG1054" s="40">
        <f t="shared" si="465"/>
        <v>0</v>
      </c>
      <c r="AH1054" s="40">
        <f t="shared" si="466"/>
        <v>0</v>
      </c>
      <c r="AI1054" s="40">
        <f t="shared" si="467"/>
        <v>0</v>
      </c>
      <c r="AJ1054" s="40">
        <f t="shared" si="468"/>
        <v>0</v>
      </c>
      <c r="AK1054" s="40">
        <f t="shared" si="469"/>
        <v>0</v>
      </c>
      <c r="AL1054" s="40">
        <f t="shared" si="470"/>
        <v>1</v>
      </c>
      <c r="AM1054" s="40">
        <f t="shared" si="471"/>
        <v>0</v>
      </c>
      <c r="AN1054" s="40">
        <f t="shared" si="472"/>
        <v>0</v>
      </c>
      <c r="AO1054" s="40">
        <f t="shared" si="473"/>
        <v>0</v>
      </c>
      <c r="AP1054" s="40">
        <f t="shared" si="474"/>
        <v>0</v>
      </c>
      <c r="AQ1054" s="40">
        <f t="shared" si="475"/>
        <v>0</v>
      </c>
      <c r="AR1054" s="40">
        <f t="shared" si="476"/>
        <v>0</v>
      </c>
      <c r="AS1054" s="40">
        <f t="shared" si="477"/>
        <v>0</v>
      </c>
    </row>
    <row r="1055" spans="2:45" ht="14.4" customHeight="1" x14ac:dyDescent="0.25">
      <c r="B1055" s="56" t="s">
        <v>45</v>
      </c>
      <c r="C1055" s="57" t="s">
        <v>36</v>
      </c>
      <c r="D1055" s="58" t="s">
        <v>24</v>
      </c>
      <c r="E1055" s="62">
        <v>3.9299999999999986E-3</v>
      </c>
      <c r="F1055" s="65">
        <f t="shared" si="478"/>
        <v>-5.5391158531009674</v>
      </c>
      <c r="S1055" s="40">
        <f t="shared" si="451"/>
        <v>0</v>
      </c>
      <c r="T1055" s="40">
        <f t="shared" si="452"/>
        <v>0</v>
      </c>
      <c r="U1055" s="40">
        <f t="shared" si="453"/>
        <v>0</v>
      </c>
      <c r="V1055" s="40">
        <f t="shared" si="454"/>
        <v>1</v>
      </c>
      <c r="W1055" s="40">
        <f t="shared" si="455"/>
        <v>0</v>
      </c>
      <c r="X1055" s="40">
        <f t="shared" si="456"/>
        <v>0</v>
      </c>
      <c r="Y1055" s="40">
        <f t="shared" si="457"/>
        <v>0</v>
      </c>
      <c r="Z1055" s="40">
        <f t="shared" si="458"/>
        <v>1</v>
      </c>
      <c r="AA1055" s="40">
        <f t="shared" si="459"/>
        <v>0</v>
      </c>
      <c r="AB1055" s="40">
        <f t="shared" si="460"/>
        <v>0</v>
      </c>
      <c r="AC1055" s="40">
        <f t="shared" si="461"/>
        <v>0</v>
      </c>
      <c r="AD1055" s="40">
        <f t="shared" si="462"/>
        <v>0</v>
      </c>
      <c r="AE1055" s="40">
        <f t="shared" si="463"/>
        <v>0</v>
      </c>
      <c r="AF1055" s="40">
        <f t="shared" si="464"/>
        <v>0</v>
      </c>
      <c r="AG1055" s="40">
        <f t="shared" si="465"/>
        <v>0</v>
      </c>
      <c r="AH1055" s="40">
        <f t="shared" si="466"/>
        <v>0</v>
      </c>
      <c r="AI1055" s="40">
        <f t="shared" si="467"/>
        <v>0</v>
      </c>
      <c r="AJ1055" s="40">
        <f t="shared" si="468"/>
        <v>0</v>
      </c>
      <c r="AK1055" s="40">
        <f t="shared" si="469"/>
        <v>0</v>
      </c>
      <c r="AL1055" s="40">
        <f t="shared" si="470"/>
        <v>0</v>
      </c>
      <c r="AM1055" s="40">
        <f t="shared" si="471"/>
        <v>0</v>
      </c>
      <c r="AN1055" s="40">
        <f t="shared" si="472"/>
        <v>0</v>
      </c>
      <c r="AO1055" s="40">
        <f t="shared" si="473"/>
        <v>0</v>
      </c>
      <c r="AP1055" s="40">
        <f t="shared" si="474"/>
        <v>0</v>
      </c>
      <c r="AQ1055" s="40">
        <f t="shared" si="475"/>
        <v>0</v>
      </c>
      <c r="AR1055" s="40">
        <f t="shared" si="476"/>
        <v>1</v>
      </c>
      <c r="AS1055" s="40">
        <f t="shared" si="477"/>
        <v>0</v>
      </c>
    </row>
    <row r="1056" spans="2:45" ht="14.4" customHeight="1" x14ac:dyDescent="0.25">
      <c r="B1056" s="56" t="s">
        <v>45</v>
      </c>
      <c r="C1056" s="57" t="s">
        <v>36</v>
      </c>
      <c r="D1056" s="58" t="s">
        <v>33</v>
      </c>
      <c r="E1056" s="62">
        <v>5.510000000000001E-3</v>
      </c>
      <c r="F1056" s="65">
        <f t="shared" si="478"/>
        <v>-5.2011906558173138</v>
      </c>
      <c r="S1056" s="40">
        <f t="shared" si="451"/>
        <v>0</v>
      </c>
      <c r="T1056" s="40">
        <f t="shared" si="452"/>
        <v>0</v>
      </c>
      <c r="U1056" s="40">
        <f t="shared" si="453"/>
        <v>0</v>
      </c>
      <c r="V1056" s="40">
        <f t="shared" si="454"/>
        <v>1</v>
      </c>
      <c r="W1056" s="40">
        <f t="shared" si="455"/>
        <v>0</v>
      </c>
      <c r="X1056" s="40">
        <f t="shared" si="456"/>
        <v>0</v>
      </c>
      <c r="Y1056" s="40">
        <f t="shared" si="457"/>
        <v>0</v>
      </c>
      <c r="Z1056" s="40">
        <f t="shared" si="458"/>
        <v>1</v>
      </c>
      <c r="AA1056" s="40">
        <f t="shared" si="459"/>
        <v>0</v>
      </c>
      <c r="AB1056" s="40">
        <f t="shared" si="460"/>
        <v>0</v>
      </c>
      <c r="AC1056" s="40">
        <f t="shared" si="461"/>
        <v>0</v>
      </c>
      <c r="AD1056" s="40">
        <f t="shared" si="462"/>
        <v>0</v>
      </c>
      <c r="AE1056" s="40">
        <f t="shared" si="463"/>
        <v>0</v>
      </c>
      <c r="AF1056" s="40">
        <f t="shared" si="464"/>
        <v>0</v>
      </c>
      <c r="AG1056" s="40">
        <f t="shared" si="465"/>
        <v>0</v>
      </c>
      <c r="AH1056" s="40">
        <f t="shared" si="466"/>
        <v>0</v>
      </c>
      <c r="AI1056" s="40">
        <f t="shared" si="467"/>
        <v>0</v>
      </c>
      <c r="AJ1056" s="40">
        <f t="shared" si="468"/>
        <v>0</v>
      </c>
      <c r="AK1056" s="40">
        <f t="shared" si="469"/>
        <v>1</v>
      </c>
      <c r="AL1056" s="40">
        <f t="shared" si="470"/>
        <v>0</v>
      </c>
      <c r="AM1056" s="40">
        <f t="shared" si="471"/>
        <v>0</v>
      </c>
      <c r="AN1056" s="40">
        <f t="shared" si="472"/>
        <v>0</v>
      </c>
      <c r="AO1056" s="40">
        <f t="shared" si="473"/>
        <v>0</v>
      </c>
      <c r="AP1056" s="40">
        <f t="shared" si="474"/>
        <v>0</v>
      </c>
      <c r="AQ1056" s="40">
        <f t="shared" si="475"/>
        <v>0</v>
      </c>
      <c r="AR1056" s="40">
        <f t="shared" si="476"/>
        <v>0</v>
      </c>
      <c r="AS1056" s="40">
        <f t="shared" si="477"/>
        <v>0</v>
      </c>
    </row>
    <row r="1057" spans="2:45" ht="14.4" customHeight="1" x14ac:dyDescent="0.25">
      <c r="B1057" s="56" t="s">
        <v>45</v>
      </c>
      <c r="C1057" s="57" t="s">
        <v>36</v>
      </c>
      <c r="D1057" s="58" t="s">
        <v>32</v>
      </c>
      <c r="E1057" s="62">
        <v>3.9599999999999991E-3</v>
      </c>
      <c r="F1057" s="65">
        <f t="shared" si="478"/>
        <v>-5.531511253715748</v>
      </c>
      <c r="S1057" s="40">
        <f t="shared" si="451"/>
        <v>0</v>
      </c>
      <c r="T1057" s="40">
        <f t="shared" si="452"/>
        <v>0</v>
      </c>
      <c r="U1057" s="40">
        <f t="shared" si="453"/>
        <v>0</v>
      </c>
      <c r="V1057" s="40">
        <f t="shared" si="454"/>
        <v>1</v>
      </c>
      <c r="W1057" s="40">
        <f t="shared" si="455"/>
        <v>0</v>
      </c>
      <c r="X1057" s="40">
        <f t="shared" si="456"/>
        <v>0</v>
      </c>
      <c r="Y1057" s="40">
        <f t="shared" si="457"/>
        <v>0</v>
      </c>
      <c r="Z1057" s="40">
        <f t="shared" si="458"/>
        <v>1</v>
      </c>
      <c r="AA1057" s="40">
        <f t="shared" si="459"/>
        <v>0</v>
      </c>
      <c r="AB1057" s="40">
        <f t="shared" si="460"/>
        <v>0</v>
      </c>
      <c r="AC1057" s="40">
        <f t="shared" si="461"/>
        <v>0</v>
      </c>
      <c r="AD1057" s="40">
        <f t="shared" si="462"/>
        <v>0</v>
      </c>
      <c r="AE1057" s="40">
        <f t="shared" si="463"/>
        <v>0</v>
      </c>
      <c r="AF1057" s="40">
        <f t="shared" si="464"/>
        <v>0</v>
      </c>
      <c r="AG1057" s="40">
        <f t="shared" si="465"/>
        <v>0</v>
      </c>
      <c r="AH1057" s="40">
        <f t="shared" si="466"/>
        <v>0</v>
      </c>
      <c r="AI1057" s="40">
        <f t="shared" si="467"/>
        <v>1</v>
      </c>
      <c r="AJ1057" s="40">
        <f t="shared" si="468"/>
        <v>0</v>
      </c>
      <c r="AK1057" s="40">
        <f t="shared" si="469"/>
        <v>0</v>
      </c>
      <c r="AL1057" s="40">
        <f t="shared" si="470"/>
        <v>0</v>
      </c>
      <c r="AM1057" s="40">
        <f t="shared" si="471"/>
        <v>0</v>
      </c>
      <c r="AN1057" s="40">
        <f t="shared" si="472"/>
        <v>0</v>
      </c>
      <c r="AO1057" s="40">
        <f t="shared" si="473"/>
        <v>0</v>
      </c>
      <c r="AP1057" s="40">
        <f t="shared" si="474"/>
        <v>0</v>
      </c>
      <c r="AQ1057" s="40">
        <f t="shared" si="475"/>
        <v>0</v>
      </c>
      <c r="AR1057" s="40">
        <f t="shared" si="476"/>
        <v>0</v>
      </c>
      <c r="AS1057" s="40">
        <f t="shared" si="477"/>
        <v>0</v>
      </c>
    </row>
    <row r="1058" spans="2:45" ht="14.4" customHeight="1" x14ac:dyDescent="0.25">
      <c r="B1058" s="56" t="s">
        <v>45</v>
      </c>
      <c r="C1058" s="57" t="s">
        <v>36</v>
      </c>
      <c r="D1058" s="58" t="s">
        <v>28</v>
      </c>
      <c r="E1058" s="62">
        <v>7.4600000000000022E-3</v>
      </c>
      <c r="F1058" s="65">
        <f t="shared" si="478"/>
        <v>-4.8981998647664673</v>
      </c>
      <c r="S1058" s="40">
        <f t="shared" si="451"/>
        <v>0</v>
      </c>
      <c r="T1058" s="40">
        <f t="shared" si="452"/>
        <v>0</v>
      </c>
      <c r="U1058" s="40">
        <f t="shared" si="453"/>
        <v>0</v>
      </c>
      <c r="V1058" s="40">
        <f t="shared" si="454"/>
        <v>1</v>
      </c>
      <c r="W1058" s="40">
        <f t="shared" si="455"/>
        <v>0</v>
      </c>
      <c r="X1058" s="40">
        <f t="shared" si="456"/>
        <v>0</v>
      </c>
      <c r="Y1058" s="40">
        <f t="shared" si="457"/>
        <v>0</v>
      </c>
      <c r="Z1058" s="40">
        <f t="shared" si="458"/>
        <v>1</v>
      </c>
      <c r="AA1058" s="40">
        <f t="shared" si="459"/>
        <v>0</v>
      </c>
      <c r="AB1058" s="40">
        <f t="shared" si="460"/>
        <v>0</v>
      </c>
      <c r="AC1058" s="40">
        <f t="shared" si="461"/>
        <v>0</v>
      </c>
      <c r="AD1058" s="40">
        <f t="shared" si="462"/>
        <v>0</v>
      </c>
      <c r="AE1058" s="40">
        <f t="shared" si="463"/>
        <v>0</v>
      </c>
      <c r="AF1058" s="40">
        <f t="shared" si="464"/>
        <v>0</v>
      </c>
      <c r="AG1058" s="40">
        <f t="shared" si="465"/>
        <v>0</v>
      </c>
      <c r="AH1058" s="40">
        <f t="shared" si="466"/>
        <v>1</v>
      </c>
      <c r="AI1058" s="40">
        <f t="shared" si="467"/>
        <v>0</v>
      </c>
      <c r="AJ1058" s="40">
        <f t="shared" si="468"/>
        <v>0</v>
      </c>
      <c r="AK1058" s="40">
        <f t="shared" si="469"/>
        <v>0</v>
      </c>
      <c r="AL1058" s="40">
        <f t="shared" si="470"/>
        <v>0</v>
      </c>
      <c r="AM1058" s="40">
        <f t="shared" si="471"/>
        <v>0</v>
      </c>
      <c r="AN1058" s="40">
        <f t="shared" si="472"/>
        <v>0</v>
      </c>
      <c r="AO1058" s="40">
        <f t="shared" si="473"/>
        <v>0</v>
      </c>
      <c r="AP1058" s="40">
        <f t="shared" si="474"/>
        <v>0</v>
      </c>
      <c r="AQ1058" s="40">
        <f t="shared" si="475"/>
        <v>0</v>
      </c>
      <c r="AR1058" s="40">
        <f t="shared" si="476"/>
        <v>0</v>
      </c>
      <c r="AS1058" s="40">
        <f t="shared" si="477"/>
        <v>0</v>
      </c>
    </row>
    <row r="1059" spans="2:45" ht="14.4" customHeight="1" x14ac:dyDescent="0.25">
      <c r="B1059" s="56" t="s">
        <v>45</v>
      </c>
      <c r="C1059" s="57" t="s">
        <v>36</v>
      </c>
      <c r="D1059" s="58" t="s">
        <v>27</v>
      </c>
      <c r="E1059" s="62">
        <v>4.4799999999999979E-3</v>
      </c>
      <c r="F1059" s="65">
        <f t="shared" si="478"/>
        <v>-5.4081322325552437</v>
      </c>
      <c r="S1059" s="40">
        <f t="shared" si="451"/>
        <v>0</v>
      </c>
      <c r="T1059" s="40">
        <f t="shared" si="452"/>
        <v>0</v>
      </c>
      <c r="U1059" s="40">
        <f t="shared" si="453"/>
        <v>0</v>
      </c>
      <c r="V1059" s="40">
        <f t="shared" si="454"/>
        <v>1</v>
      </c>
      <c r="W1059" s="40">
        <f t="shared" si="455"/>
        <v>0</v>
      </c>
      <c r="X1059" s="40">
        <f t="shared" si="456"/>
        <v>0</v>
      </c>
      <c r="Y1059" s="40">
        <f t="shared" si="457"/>
        <v>0</v>
      </c>
      <c r="Z1059" s="40">
        <f t="shared" si="458"/>
        <v>1</v>
      </c>
      <c r="AA1059" s="40">
        <f t="shared" si="459"/>
        <v>0</v>
      </c>
      <c r="AB1059" s="40">
        <f t="shared" si="460"/>
        <v>0</v>
      </c>
      <c r="AC1059" s="40">
        <f t="shared" si="461"/>
        <v>0</v>
      </c>
      <c r="AD1059" s="40">
        <f t="shared" si="462"/>
        <v>0</v>
      </c>
      <c r="AE1059" s="40">
        <f t="shared" si="463"/>
        <v>0</v>
      </c>
      <c r="AF1059" s="40">
        <f t="shared" si="464"/>
        <v>0</v>
      </c>
      <c r="AG1059" s="40">
        <f t="shared" si="465"/>
        <v>0</v>
      </c>
      <c r="AH1059" s="40">
        <f t="shared" si="466"/>
        <v>0</v>
      </c>
      <c r="AI1059" s="40">
        <f t="shared" si="467"/>
        <v>0</v>
      </c>
      <c r="AJ1059" s="40">
        <f t="shared" si="468"/>
        <v>0</v>
      </c>
      <c r="AK1059" s="40">
        <f t="shared" si="469"/>
        <v>0</v>
      </c>
      <c r="AL1059" s="40">
        <f t="shared" si="470"/>
        <v>0</v>
      </c>
      <c r="AM1059" s="40">
        <f t="shared" si="471"/>
        <v>0</v>
      </c>
      <c r="AN1059" s="40">
        <f t="shared" si="472"/>
        <v>0</v>
      </c>
      <c r="AO1059" s="40">
        <f t="shared" si="473"/>
        <v>0</v>
      </c>
      <c r="AP1059" s="40">
        <f t="shared" si="474"/>
        <v>0</v>
      </c>
      <c r="AQ1059" s="40">
        <f t="shared" si="475"/>
        <v>1</v>
      </c>
      <c r="AR1059" s="40">
        <f t="shared" si="476"/>
        <v>0</v>
      </c>
      <c r="AS1059" s="40">
        <f t="shared" si="477"/>
        <v>0</v>
      </c>
    </row>
    <row r="1060" spans="2:45" ht="14.4" customHeight="1" x14ac:dyDescent="0.25">
      <c r="B1060" s="56" t="s">
        <v>45</v>
      </c>
      <c r="C1060" s="57" t="s">
        <v>36</v>
      </c>
      <c r="D1060" s="58" t="s">
        <v>30</v>
      </c>
      <c r="E1060" s="62">
        <v>1.0230000000000003E-2</v>
      </c>
      <c r="F1060" s="65">
        <f t="shared" si="478"/>
        <v>-4.5824306990186017</v>
      </c>
      <c r="S1060" s="40">
        <f t="shared" si="451"/>
        <v>0</v>
      </c>
      <c r="T1060" s="40">
        <f t="shared" si="452"/>
        <v>0</v>
      </c>
      <c r="U1060" s="40">
        <f t="shared" si="453"/>
        <v>0</v>
      </c>
      <c r="V1060" s="40">
        <f t="shared" si="454"/>
        <v>1</v>
      </c>
      <c r="W1060" s="40">
        <f t="shared" si="455"/>
        <v>0</v>
      </c>
      <c r="X1060" s="40">
        <f t="shared" si="456"/>
        <v>0</v>
      </c>
      <c r="Y1060" s="40">
        <f t="shared" si="457"/>
        <v>0</v>
      </c>
      <c r="Z1060" s="40">
        <f t="shared" si="458"/>
        <v>1</v>
      </c>
      <c r="AA1060" s="40">
        <f t="shared" si="459"/>
        <v>0</v>
      </c>
      <c r="AB1060" s="40">
        <f t="shared" si="460"/>
        <v>0</v>
      </c>
      <c r="AC1060" s="40">
        <f t="shared" si="461"/>
        <v>0</v>
      </c>
      <c r="AD1060" s="40">
        <f t="shared" si="462"/>
        <v>0</v>
      </c>
      <c r="AE1060" s="40">
        <f t="shared" si="463"/>
        <v>0</v>
      </c>
      <c r="AF1060" s="40">
        <f t="shared" si="464"/>
        <v>0</v>
      </c>
      <c r="AG1060" s="40">
        <f t="shared" si="465"/>
        <v>0</v>
      </c>
      <c r="AH1060" s="40">
        <f t="shared" si="466"/>
        <v>0</v>
      </c>
      <c r="AI1060" s="40">
        <f t="shared" si="467"/>
        <v>0</v>
      </c>
      <c r="AJ1060" s="40">
        <f t="shared" si="468"/>
        <v>0</v>
      </c>
      <c r="AK1060" s="40">
        <f t="shared" si="469"/>
        <v>1</v>
      </c>
      <c r="AL1060" s="40">
        <f t="shared" si="470"/>
        <v>0</v>
      </c>
      <c r="AM1060" s="40">
        <f t="shared" si="471"/>
        <v>0</v>
      </c>
      <c r="AN1060" s="40">
        <f t="shared" si="472"/>
        <v>0</v>
      </c>
      <c r="AO1060" s="40">
        <f t="shared" si="473"/>
        <v>0</v>
      </c>
      <c r="AP1060" s="40">
        <f t="shared" si="474"/>
        <v>0</v>
      </c>
      <c r="AQ1060" s="40">
        <f t="shared" si="475"/>
        <v>0</v>
      </c>
      <c r="AR1060" s="40">
        <f t="shared" si="476"/>
        <v>0</v>
      </c>
      <c r="AS1060" s="40">
        <f t="shared" si="477"/>
        <v>0</v>
      </c>
    </row>
    <row r="1061" spans="2:45" ht="14.4" customHeight="1" x14ac:dyDescent="0.25">
      <c r="B1061" s="56" t="s">
        <v>45</v>
      </c>
      <c r="C1061" s="57" t="s">
        <v>36</v>
      </c>
      <c r="D1061" s="58" t="s">
        <v>32</v>
      </c>
      <c r="E1061" s="62">
        <v>6.0399999999999994E-3</v>
      </c>
      <c r="F1061" s="65">
        <f t="shared" si="478"/>
        <v>-5.1093512670354135</v>
      </c>
      <c r="S1061" s="40">
        <f t="shared" si="451"/>
        <v>0</v>
      </c>
      <c r="T1061" s="40">
        <f t="shared" si="452"/>
        <v>0</v>
      </c>
      <c r="U1061" s="40">
        <f t="shared" si="453"/>
        <v>0</v>
      </c>
      <c r="V1061" s="40">
        <f t="shared" si="454"/>
        <v>1</v>
      </c>
      <c r="W1061" s="40">
        <f t="shared" si="455"/>
        <v>0</v>
      </c>
      <c r="X1061" s="40">
        <f t="shared" si="456"/>
        <v>0</v>
      </c>
      <c r="Y1061" s="40">
        <f t="shared" si="457"/>
        <v>0</v>
      </c>
      <c r="Z1061" s="40">
        <f t="shared" si="458"/>
        <v>1</v>
      </c>
      <c r="AA1061" s="40">
        <f t="shared" si="459"/>
        <v>0</v>
      </c>
      <c r="AB1061" s="40">
        <f t="shared" si="460"/>
        <v>0</v>
      </c>
      <c r="AC1061" s="40">
        <f t="shared" si="461"/>
        <v>0</v>
      </c>
      <c r="AD1061" s="40">
        <f t="shared" si="462"/>
        <v>0</v>
      </c>
      <c r="AE1061" s="40">
        <f t="shared" si="463"/>
        <v>0</v>
      </c>
      <c r="AF1061" s="40">
        <f t="shared" si="464"/>
        <v>0</v>
      </c>
      <c r="AG1061" s="40">
        <f t="shared" si="465"/>
        <v>0</v>
      </c>
      <c r="AH1061" s="40">
        <f t="shared" si="466"/>
        <v>0</v>
      </c>
      <c r="AI1061" s="40">
        <f t="shared" si="467"/>
        <v>0</v>
      </c>
      <c r="AJ1061" s="40">
        <f t="shared" si="468"/>
        <v>0</v>
      </c>
      <c r="AK1061" s="40">
        <f t="shared" si="469"/>
        <v>0</v>
      </c>
      <c r="AL1061" s="40">
        <f t="shared" si="470"/>
        <v>1</v>
      </c>
      <c r="AM1061" s="40">
        <f t="shared" si="471"/>
        <v>0</v>
      </c>
      <c r="AN1061" s="40">
        <f t="shared" si="472"/>
        <v>0</v>
      </c>
      <c r="AO1061" s="40">
        <f t="shared" si="473"/>
        <v>0</v>
      </c>
      <c r="AP1061" s="40">
        <f t="shared" si="474"/>
        <v>0</v>
      </c>
      <c r="AQ1061" s="40">
        <f t="shared" si="475"/>
        <v>0</v>
      </c>
      <c r="AR1061" s="40">
        <f t="shared" si="476"/>
        <v>0</v>
      </c>
      <c r="AS1061" s="40">
        <f t="shared" si="477"/>
        <v>0</v>
      </c>
    </row>
    <row r="1062" spans="2:45" ht="14.4" customHeight="1" x14ac:dyDescent="0.25">
      <c r="B1062" s="56" t="s">
        <v>45</v>
      </c>
      <c r="C1062" s="57" t="s">
        <v>36</v>
      </c>
      <c r="D1062" s="58" t="s">
        <v>24</v>
      </c>
      <c r="E1062" s="62">
        <v>4.6600000000000018E-3</v>
      </c>
      <c r="F1062" s="65">
        <f t="shared" si="478"/>
        <v>-5.3687398308445822</v>
      </c>
      <c r="S1062" s="40">
        <f t="shared" si="451"/>
        <v>0</v>
      </c>
      <c r="T1062" s="40">
        <f t="shared" si="452"/>
        <v>0</v>
      </c>
      <c r="U1062" s="40">
        <f t="shared" si="453"/>
        <v>0</v>
      </c>
      <c r="V1062" s="40">
        <f t="shared" si="454"/>
        <v>1</v>
      </c>
      <c r="W1062" s="40">
        <f t="shared" si="455"/>
        <v>0</v>
      </c>
      <c r="X1062" s="40">
        <f t="shared" si="456"/>
        <v>0</v>
      </c>
      <c r="Y1062" s="40">
        <f t="shared" si="457"/>
        <v>0</v>
      </c>
      <c r="Z1062" s="40">
        <f t="shared" si="458"/>
        <v>0</v>
      </c>
      <c r="AA1062" s="40">
        <f t="shared" si="459"/>
        <v>0</v>
      </c>
      <c r="AB1062" s="40">
        <f t="shared" si="460"/>
        <v>0</v>
      </c>
      <c r="AC1062" s="40">
        <f t="shared" si="461"/>
        <v>0</v>
      </c>
      <c r="AD1062" s="40">
        <f t="shared" si="462"/>
        <v>0</v>
      </c>
      <c r="AE1062" s="40">
        <f t="shared" si="463"/>
        <v>0</v>
      </c>
      <c r="AF1062" s="40">
        <f t="shared" si="464"/>
        <v>1</v>
      </c>
      <c r="AG1062" s="40">
        <f t="shared" si="465"/>
        <v>0</v>
      </c>
      <c r="AH1062" s="40">
        <f t="shared" si="466"/>
        <v>0</v>
      </c>
      <c r="AI1062" s="40">
        <f t="shared" si="467"/>
        <v>0</v>
      </c>
      <c r="AJ1062" s="40">
        <f t="shared" si="468"/>
        <v>0</v>
      </c>
      <c r="AK1062" s="40">
        <f t="shared" si="469"/>
        <v>0</v>
      </c>
      <c r="AL1062" s="40">
        <f t="shared" si="470"/>
        <v>0</v>
      </c>
      <c r="AM1062" s="40">
        <f t="shared" si="471"/>
        <v>0</v>
      </c>
      <c r="AN1062" s="40">
        <f t="shared" si="472"/>
        <v>0</v>
      </c>
      <c r="AO1062" s="40">
        <f t="shared" si="473"/>
        <v>0</v>
      </c>
      <c r="AP1062" s="40">
        <f t="shared" si="474"/>
        <v>1</v>
      </c>
      <c r="AQ1062" s="40">
        <f t="shared" si="475"/>
        <v>0</v>
      </c>
      <c r="AR1062" s="40">
        <f t="shared" si="476"/>
        <v>0</v>
      </c>
      <c r="AS1062" s="40">
        <f t="shared" si="477"/>
        <v>0</v>
      </c>
    </row>
    <row r="1063" spans="2:45" ht="14.4" customHeight="1" x14ac:dyDescent="0.25">
      <c r="B1063" s="56" t="s">
        <v>45</v>
      </c>
      <c r="C1063" s="57" t="s">
        <v>26</v>
      </c>
      <c r="D1063" s="58" t="s">
        <v>40</v>
      </c>
      <c r="E1063" s="62">
        <v>1.3339999999999994E-2</v>
      </c>
      <c r="F1063" s="65">
        <f t="shared" si="478"/>
        <v>-4.3169882384946598</v>
      </c>
      <c r="S1063" s="40">
        <f t="shared" si="451"/>
        <v>0</v>
      </c>
      <c r="T1063" s="40">
        <f t="shared" si="452"/>
        <v>0</v>
      </c>
      <c r="U1063" s="40">
        <f t="shared" si="453"/>
        <v>0</v>
      </c>
      <c r="V1063" s="40">
        <f t="shared" si="454"/>
        <v>1</v>
      </c>
      <c r="W1063" s="40">
        <f t="shared" si="455"/>
        <v>0</v>
      </c>
      <c r="X1063" s="40">
        <f t="shared" si="456"/>
        <v>0</v>
      </c>
      <c r="Y1063" s="40">
        <f t="shared" si="457"/>
        <v>0</v>
      </c>
      <c r="Z1063" s="40">
        <f t="shared" si="458"/>
        <v>0</v>
      </c>
      <c r="AA1063" s="40">
        <f t="shared" si="459"/>
        <v>0</v>
      </c>
      <c r="AB1063" s="40">
        <f t="shared" si="460"/>
        <v>0</v>
      </c>
      <c r="AC1063" s="40">
        <f t="shared" si="461"/>
        <v>0</v>
      </c>
      <c r="AD1063" s="40">
        <f t="shared" si="462"/>
        <v>0</v>
      </c>
      <c r="AE1063" s="40">
        <f t="shared" si="463"/>
        <v>0</v>
      </c>
      <c r="AF1063" s="40">
        <f t="shared" si="464"/>
        <v>1</v>
      </c>
      <c r="AG1063" s="40">
        <f t="shared" si="465"/>
        <v>0</v>
      </c>
      <c r="AH1063" s="40">
        <f t="shared" si="466"/>
        <v>0</v>
      </c>
      <c r="AI1063" s="40">
        <f t="shared" si="467"/>
        <v>0</v>
      </c>
      <c r="AJ1063" s="40">
        <f t="shared" si="468"/>
        <v>0</v>
      </c>
      <c r="AK1063" s="40">
        <f t="shared" si="469"/>
        <v>0</v>
      </c>
      <c r="AL1063" s="40">
        <f t="shared" si="470"/>
        <v>0</v>
      </c>
      <c r="AM1063" s="40">
        <f t="shared" si="471"/>
        <v>0</v>
      </c>
      <c r="AN1063" s="40">
        <f t="shared" si="472"/>
        <v>0</v>
      </c>
      <c r="AO1063" s="40">
        <f t="shared" si="473"/>
        <v>0</v>
      </c>
      <c r="AP1063" s="40">
        <f t="shared" si="474"/>
        <v>1</v>
      </c>
      <c r="AQ1063" s="40">
        <f t="shared" si="475"/>
        <v>0</v>
      </c>
      <c r="AR1063" s="40">
        <f t="shared" si="476"/>
        <v>0</v>
      </c>
      <c r="AS1063" s="40">
        <f t="shared" si="477"/>
        <v>0</v>
      </c>
    </row>
    <row r="1064" spans="2:45" ht="14.4" customHeight="1" x14ac:dyDescent="0.25">
      <c r="B1064" s="56" t="s">
        <v>45</v>
      </c>
      <c r="C1064" s="57" t="s">
        <v>26</v>
      </c>
      <c r="D1064" s="58" t="s">
        <v>40</v>
      </c>
      <c r="E1064" s="62">
        <v>8.5200000000000033E-3</v>
      </c>
      <c r="F1064" s="65">
        <f t="shared" si="478"/>
        <v>-4.7653389381409124</v>
      </c>
      <c r="S1064" s="40">
        <f t="shared" si="451"/>
        <v>0</v>
      </c>
      <c r="T1064" s="40">
        <f t="shared" si="452"/>
        <v>0</v>
      </c>
      <c r="U1064" s="40">
        <f t="shared" si="453"/>
        <v>0</v>
      </c>
      <c r="V1064" s="40">
        <f t="shared" si="454"/>
        <v>1</v>
      </c>
      <c r="W1064" s="40">
        <f t="shared" si="455"/>
        <v>0</v>
      </c>
      <c r="X1064" s="40">
        <f t="shared" si="456"/>
        <v>0</v>
      </c>
      <c r="Y1064" s="40">
        <f t="shared" si="457"/>
        <v>0</v>
      </c>
      <c r="Z1064" s="40">
        <f t="shared" si="458"/>
        <v>0</v>
      </c>
      <c r="AA1064" s="40">
        <f t="shared" si="459"/>
        <v>0</v>
      </c>
      <c r="AB1064" s="40">
        <f t="shared" si="460"/>
        <v>0</v>
      </c>
      <c r="AC1064" s="40">
        <f t="shared" si="461"/>
        <v>0</v>
      </c>
      <c r="AD1064" s="40">
        <f t="shared" si="462"/>
        <v>0</v>
      </c>
      <c r="AE1064" s="40">
        <f t="shared" si="463"/>
        <v>0</v>
      </c>
      <c r="AF1064" s="40">
        <f t="shared" si="464"/>
        <v>1</v>
      </c>
      <c r="AG1064" s="40">
        <f t="shared" si="465"/>
        <v>0</v>
      </c>
      <c r="AH1064" s="40">
        <f t="shared" si="466"/>
        <v>0</v>
      </c>
      <c r="AI1064" s="40">
        <f t="shared" si="467"/>
        <v>0</v>
      </c>
      <c r="AJ1064" s="40">
        <f t="shared" si="468"/>
        <v>0</v>
      </c>
      <c r="AK1064" s="40">
        <f t="shared" si="469"/>
        <v>0</v>
      </c>
      <c r="AL1064" s="40">
        <f t="shared" si="470"/>
        <v>0</v>
      </c>
      <c r="AM1064" s="40">
        <f t="shared" si="471"/>
        <v>0</v>
      </c>
      <c r="AN1064" s="40">
        <f t="shared" si="472"/>
        <v>0</v>
      </c>
      <c r="AO1064" s="40">
        <f t="shared" si="473"/>
        <v>0</v>
      </c>
      <c r="AP1064" s="40">
        <f t="shared" si="474"/>
        <v>1</v>
      </c>
      <c r="AQ1064" s="40">
        <f t="shared" si="475"/>
        <v>0</v>
      </c>
      <c r="AR1064" s="40">
        <f t="shared" si="476"/>
        <v>0</v>
      </c>
      <c r="AS1064" s="40">
        <f t="shared" si="477"/>
        <v>0</v>
      </c>
    </row>
    <row r="1065" spans="2:45" ht="14.4" customHeight="1" x14ac:dyDescent="0.25">
      <c r="B1065" s="56" t="s">
        <v>45</v>
      </c>
      <c r="C1065" s="57" t="s">
        <v>26</v>
      </c>
      <c r="D1065" s="58" t="s">
        <v>40</v>
      </c>
      <c r="E1065" s="62">
        <v>1.4269999999999998E-2</v>
      </c>
      <c r="F1065" s="65">
        <f t="shared" si="478"/>
        <v>-4.2495958474933921</v>
      </c>
      <c r="S1065" s="40">
        <f t="shared" si="451"/>
        <v>0</v>
      </c>
      <c r="T1065" s="40">
        <f t="shared" si="452"/>
        <v>0</v>
      </c>
      <c r="U1065" s="40">
        <f t="shared" si="453"/>
        <v>0</v>
      </c>
      <c r="V1065" s="40">
        <f t="shared" si="454"/>
        <v>1</v>
      </c>
      <c r="W1065" s="40">
        <f t="shared" si="455"/>
        <v>0</v>
      </c>
      <c r="X1065" s="40">
        <f t="shared" si="456"/>
        <v>0</v>
      </c>
      <c r="Y1065" s="40">
        <f t="shared" si="457"/>
        <v>0</v>
      </c>
      <c r="Z1065" s="40">
        <f t="shared" si="458"/>
        <v>0</v>
      </c>
      <c r="AA1065" s="40">
        <f t="shared" si="459"/>
        <v>0</v>
      </c>
      <c r="AB1065" s="40">
        <f t="shared" si="460"/>
        <v>0</v>
      </c>
      <c r="AC1065" s="40">
        <f t="shared" si="461"/>
        <v>0</v>
      </c>
      <c r="AD1065" s="40">
        <f t="shared" si="462"/>
        <v>0</v>
      </c>
      <c r="AE1065" s="40">
        <f t="shared" si="463"/>
        <v>0</v>
      </c>
      <c r="AF1065" s="40">
        <f t="shared" si="464"/>
        <v>1</v>
      </c>
      <c r="AG1065" s="40">
        <f t="shared" si="465"/>
        <v>0</v>
      </c>
      <c r="AH1065" s="40">
        <f t="shared" si="466"/>
        <v>0</v>
      </c>
      <c r="AI1065" s="40">
        <f t="shared" si="467"/>
        <v>0</v>
      </c>
      <c r="AJ1065" s="40">
        <f t="shared" si="468"/>
        <v>0</v>
      </c>
      <c r="AK1065" s="40">
        <f t="shared" si="469"/>
        <v>0</v>
      </c>
      <c r="AL1065" s="40">
        <f t="shared" si="470"/>
        <v>0</v>
      </c>
      <c r="AM1065" s="40">
        <f t="shared" si="471"/>
        <v>0</v>
      </c>
      <c r="AN1065" s="40">
        <f t="shared" si="472"/>
        <v>0</v>
      </c>
      <c r="AO1065" s="40">
        <f t="shared" si="473"/>
        <v>0</v>
      </c>
      <c r="AP1065" s="40">
        <f t="shared" si="474"/>
        <v>1</v>
      </c>
      <c r="AQ1065" s="40">
        <f t="shared" si="475"/>
        <v>0</v>
      </c>
      <c r="AR1065" s="40">
        <f t="shared" si="476"/>
        <v>0</v>
      </c>
      <c r="AS1065" s="40">
        <f t="shared" si="477"/>
        <v>0</v>
      </c>
    </row>
    <row r="1066" spans="2:45" ht="14.4" customHeight="1" x14ac:dyDescent="0.25">
      <c r="B1066" s="56" t="s">
        <v>45</v>
      </c>
      <c r="C1066" s="57" t="s">
        <v>26</v>
      </c>
      <c r="D1066" s="58" t="s">
        <v>40</v>
      </c>
      <c r="E1066" s="62">
        <v>1.3709999999999995E-2</v>
      </c>
      <c r="F1066" s="65">
        <f t="shared" si="478"/>
        <v>-4.2896297854079144</v>
      </c>
      <c r="S1066" s="40">
        <f t="shared" si="451"/>
        <v>0</v>
      </c>
      <c r="T1066" s="40">
        <f t="shared" si="452"/>
        <v>0</v>
      </c>
      <c r="U1066" s="40">
        <f t="shared" si="453"/>
        <v>0</v>
      </c>
      <c r="V1066" s="40">
        <f t="shared" si="454"/>
        <v>1</v>
      </c>
      <c r="W1066" s="40">
        <f t="shared" si="455"/>
        <v>0</v>
      </c>
      <c r="X1066" s="40">
        <f t="shared" si="456"/>
        <v>0</v>
      </c>
      <c r="Y1066" s="40">
        <f t="shared" si="457"/>
        <v>0</v>
      </c>
      <c r="Z1066" s="40">
        <f t="shared" si="458"/>
        <v>0</v>
      </c>
      <c r="AA1066" s="40">
        <f t="shared" si="459"/>
        <v>0</v>
      </c>
      <c r="AB1066" s="40">
        <f t="shared" si="460"/>
        <v>0</v>
      </c>
      <c r="AC1066" s="40">
        <f t="shared" si="461"/>
        <v>0</v>
      </c>
      <c r="AD1066" s="40">
        <f t="shared" si="462"/>
        <v>0</v>
      </c>
      <c r="AE1066" s="40">
        <f t="shared" si="463"/>
        <v>0</v>
      </c>
      <c r="AF1066" s="40">
        <f t="shared" si="464"/>
        <v>1</v>
      </c>
      <c r="AG1066" s="40">
        <f t="shared" si="465"/>
        <v>0</v>
      </c>
      <c r="AH1066" s="40">
        <f t="shared" si="466"/>
        <v>0</v>
      </c>
      <c r="AI1066" s="40">
        <f t="shared" si="467"/>
        <v>0</v>
      </c>
      <c r="AJ1066" s="40">
        <f t="shared" si="468"/>
        <v>0</v>
      </c>
      <c r="AK1066" s="40">
        <f t="shared" si="469"/>
        <v>0</v>
      </c>
      <c r="AL1066" s="40">
        <f t="shared" si="470"/>
        <v>0</v>
      </c>
      <c r="AM1066" s="40">
        <f t="shared" si="471"/>
        <v>0</v>
      </c>
      <c r="AN1066" s="40">
        <f t="shared" si="472"/>
        <v>0</v>
      </c>
      <c r="AO1066" s="40">
        <f t="shared" si="473"/>
        <v>0</v>
      </c>
      <c r="AP1066" s="40">
        <f t="shared" si="474"/>
        <v>1</v>
      </c>
      <c r="AQ1066" s="40">
        <f t="shared" si="475"/>
        <v>0</v>
      </c>
      <c r="AR1066" s="40">
        <f t="shared" si="476"/>
        <v>0</v>
      </c>
      <c r="AS1066" s="40">
        <f t="shared" si="477"/>
        <v>0</v>
      </c>
    </row>
    <row r="1067" spans="2:45" ht="14.4" customHeight="1" x14ac:dyDescent="0.25">
      <c r="B1067" s="56" t="s">
        <v>45</v>
      </c>
      <c r="C1067" s="57" t="s">
        <v>26</v>
      </c>
      <c r="D1067" s="58" t="s">
        <v>40</v>
      </c>
      <c r="E1067" s="62">
        <v>7.4800000000000014E-3</v>
      </c>
      <c r="F1067" s="65">
        <f t="shared" si="478"/>
        <v>-4.895522486995751</v>
      </c>
      <c r="S1067" s="40">
        <f t="shared" si="451"/>
        <v>0</v>
      </c>
      <c r="T1067" s="40">
        <f t="shared" si="452"/>
        <v>0</v>
      </c>
      <c r="U1067" s="40">
        <f t="shared" si="453"/>
        <v>0</v>
      </c>
      <c r="V1067" s="40">
        <f t="shared" si="454"/>
        <v>1</v>
      </c>
      <c r="W1067" s="40">
        <f t="shared" si="455"/>
        <v>0</v>
      </c>
      <c r="X1067" s="40">
        <f t="shared" si="456"/>
        <v>0</v>
      </c>
      <c r="Y1067" s="40">
        <f t="shared" si="457"/>
        <v>0</v>
      </c>
      <c r="Z1067" s="40">
        <f t="shared" si="458"/>
        <v>0</v>
      </c>
      <c r="AA1067" s="40">
        <f t="shared" si="459"/>
        <v>0</v>
      </c>
      <c r="AB1067" s="40">
        <f t="shared" si="460"/>
        <v>0</v>
      </c>
      <c r="AC1067" s="40">
        <f t="shared" si="461"/>
        <v>0</v>
      </c>
      <c r="AD1067" s="40">
        <f t="shared" si="462"/>
        <v>0</v>
      </c>
      <c r="AE1067" s="40">
        <f t="shared" si="463"/>
        <v>0</v>
      </c>
      <c r="AF1067" s="40">
        <f t="shared" si="464"/>
        <v>1</v>
      </c>
      <c r="AG1067" s="40">
        <f t="shared" si="465"/>
        <v>0</v>
      </c>
      <c r="AH1067" s="40">
        <f t="shared" si="466"/>
        <v>0</v>
      </c>
      <c r="AI1067" s="40">
        <f t="shared" si="467"/>
        <v>0</v>
      </c>
      <c r="AJ1067" s="40">
        <f t="shared" si="468"/>
        <v>0</v>
      </c>
      <c r="AK1067" s="40">
        <f t="shared" si="469"/>
        <v>0</v>
      </c>
      <c r="AL1067" s="40">
        <f t="shared" si="470"/>
        <v>0</v>
      </c>
      <c r="AM1067" s="40">
        <f t="shared" si="471"/>
        <v>0</v>
      </c>
      <c r="AN1067" s="40">
        <f t="shared" si="472"/>
        <v>0</v>
      </c>
      <c r="AO1067" s="40">
        <f t="shared" si="473"/>
        <v>0</v>
      </c>
      <c r="AP1067" s="40">
        <f t="shared" si="474"/>
        <v>1</v>
      </c>
      <c r="AQ1067" s="40">
        <f t="shared" si="475"/>
        <v>0</v>
      </c>
      <c r="AR1067" s="40">
        <f t="shared" si="476"/>
        <v>0</v>
      </c>
      <c r="AS1067" s="40">
        <f t="shared" si="477"/>
        <v>0</v>
      </c>
    </row>
    <row r="1068" spans="2:45" ht="14.4" customHeight="1" x14ac:dyDescent="0.25">
      <c r="B1068" s="56" t="s">
        <v>45</v>
      </c>
      <c r="C1068" s="57" t="s">
        <v>26</v>
      </c>
      <c r="D1068" s="58" t="s">
        <v>40</v>
      </c>
      <c r="E1068" s="62">
        <v>7.7999999999999996E-3</v>
      </c>
      <c r="F1068" s="65">
        <f t="shared" si="478"/>
        <v>-4.853631545286591</v>
      </c>
      <c r="S1068" s="40">
        <f t="shared" si="451"/>
        <v>0</v>
      </c>
      <c r="T1068" s="40">
        <f t="shared" si="452"/>
        <v>0</v>
      </c>
      <c r="U1068" s="40">
        <f t="shared" si="453"/>
        <v>0</v>
      </c>
      <c r="V1068" s="40">
        <f t="shared" si="454"/>
        <v>1</v>
      </c>
      <c r="W1068" s="40">
        <f t="shared" si="455"/>
        <v>0</v>
      </c>
      <c r="X1068" s="40">
        <f t="shared" si="456"/>
        <v>0</v>
      </c>
      <c r="Y1068" s="40">
        <f t="shared" si="457"/>
        <v>0</v>
      </c>
      <c r="Z1068" s="40">
        <f t="shared" si="458"/>
        <v>0</v>
      </c>
      <c r="AA1068" s="40">
        <f t="shared" si="459"/>
        <v>0</v>
      </c>
      <c r="AB1068" s="40">
        <f t="shared" si="460"/>
        <v>0</v>
      </c>
      <c r="AC1068" s="40">
        <f t="shared" si="461"/>
        <v>0</v>
      </c>
      <c r="AD1068" s="40">
        <f t="shared" si="462"/>
        <v>0</v>
      </c>
      <c r="AE1068" s="40">
        <f t="shared" si="463"/>
        <v>0</v>
      </c>
      <c r="AF1068" s="40">
        <f t="shared" si="464"/>
        <v>1</v>
      </c>
      <c r="AG1068" s="40">
        <f t="shared" si="465"/>
        <v>0</v>
      </c>
      <c r="AH1068" s="40">
        <f t="shared" si="466"/>
        <v>0</v>
      </c>
      <c r="AI1068" s="40">
        <f t="shared" si="467"/>
        <v>0</v>
      </c>
      <c r="AJ1068" s="40">
        <f t="shared" si="468"/>
        <v>0</v>
      </c>
      <c r="AK1068" s="40">
        <f t="shared" si="469"/>
        <v>0</v>
      </c>
      <c r="AL1068" s="40">
        <f t="shared" si="470"/>
        <v>0</v>
      </c>
      <c r="AM1068" s="40">
        <f t="shared" si="471"/>
        <v>0</v>
      </c>
      <c r="AN1068" s="40">
        <f t="shared" si="472"/>
        <v>0</v>
      </c>
      <c r="AO1068" s="40">
        <f t="shared" si="473"/>
        <v>0</v>
      </c>
      <c r="AP1068" s="40">
        <f t="shared" si="474"/>
        <v>1</v>
      </c>
      <c r="AQ1068" s="40">
        <f t="shared" si="475"/>
        <v>0</v>
      </c>
      <c r="AR1068" s="40">
        <f t="shared" si="476"/>
        <v>0</v>
      </c>
      <c r="AS1068" s="40">
        <f t="shared" si="477"/>
        <v>0</v>
      </c>
    </row>
    <row r="1069" spans="2:45" ht="14.4" customHeight="1" x14ac:dyDescent="0.25">
      <c r="B1069" s="56" t="s">
        <v>45</v>
      </c>
      <c r="C1069" s="57" t="s">
        <v>26</v>
      </c>
      <c r="D1069" s="58" t="s">
        <v>40</v>
      </c>
      <c r="E1069" s="62">
        <v>1.2610000000000003E-2</v>
      </c>
      <c r="F1069" s="65">
        <f t="shared" si="478"/>
        <v>-4.3732651290053086</v>
      </c>
      <c r="S1069" s="40">
        <f t="shared" si="451"/>
        <v>0</v>
      </c>
      <c r="T1069" s="40">
        <f t="shared" si="452"/>
        <v>0</v>
      </c>
      <c r="U1069" s="40">
        <f t="shared" si="453"/>
        <v>0</v>
      </c>
      <c r="V1069" s="40">
        <f t="shared" si="454"/>
        <v>0</v>
      </c>
      <c r="W1069" s="40">
        <f t="shared" si="455"/>
        <v>0</v>
      </c>
      <c r="X1069" s="40">
        <f t="shared" si="456"/>
        <v>0</v>
      </c>
      <c r="Y1069" s="40">
        <f t="shared" si="457"/>
        <v>1</v>
      </c>
      <c r="Z1069" s="40">
        <f t="shared" si="458"/>
        <v>0</v>
      </c>
      <c r="AA1069" s="40">
        <f t="shared" si="459"/>
        <v>0</v>
      </c>
      <c r="AB1069" s="40">
        <f t="shared" si="460"/>
        <v>0</v>
      </c>
      <c r="AC1069" s="40">
        <f t="shared" si="461"/>
        <v>0</v>
      </c>
      <c r="AD1069" s="40">
        <f t="shared" si="462"/>
        <v>0</v>
      </c>
      <c r="AE1069" s="40">
        <f t="shared" si="463"/>
        <v>0</v>
      </c>
      <c r="AF1069" s="40">
        <f t="shared" si="464"/>
        <v>1</v>
      </c>
      <c r="AG1069" s="40">
        <f t="shared" si="465"/>
        <v>0</v>
      </c>
      <c r="AH1069" s="40">
        <f t="shared" si="466"/>
        <v>0</v>
      </c>
      <c r="AI1069" s="40">
        <f t="shared" si="467"/>
        <v>0</v>
      </c>
      <c r="AJ1069" s="40">
        <f t="shared" si="468"/>
        <v>0</v>
      </c>
      <c r="AK1069" s="40">
        <f t="shared" si="469"/>
        <v>1</v>
      </c>
      <c r="AL1069" s="40">
        <f t="shared" si="470"/>
        <v>0</v>
      </c>
      <c r="AM1069" s="40">
        <f t="shared" si="471"/>
        <v>0</v>
      </c>
      <c r="AN1069" s="40">
        <f t="shared" si="472"/>
        <v>0</v>
      </c>
      <c r="AO1069" s="40">
        <f t="shared" si="473"/>
        <v>0</v>
      </c>
      <c r="AP1069" s="40">
        <f t="shared" si="474"/>
        <v>0</v>
      </c>
      <c r="AQ1069" s="40">
        <f t="shared" si="475"/>
        <v>0</v>
      </c>
      <c r="AR1069" s="40">
        <f t="shared" si="476"/>
        <v>0</v>
      </c>
      <c r="AS1069" s="40">
        <f t="shared" si="477"/>
        <v>0</v>
      </c>
    </row>
    <row r="1070" spans="2:45" ht="14.4" customHeight="1" x14ac:dyDescent="0.25">
      <c r="B1070" s="56" t="s">
        <v>46</v>
      </c>
      <c r="C1070" s="57" t="s">
        <v>26</v>
      </c>
      <c r="D1070" s="58" t="s">
        <v>32</v>
      </c>
      <c r="E1070" s="62">
        <v>0.15098</v>
      </c>
      <c r="F1070" s="65">
        <f t="shared" si="478"/>
        <v>-1.8906079012706583</v>
      </c>
      <c r="S1070" s="40">
        <f t="shared" si="451"/>
        <v>0</v>
      </c>
      <c r="T1070" s="40">
        <f t="shared" si="452"/>
        <v>0</v>
      </c>
      <c r="U1070" s="40">
        <f t="shared" si="453"/>
        <v>0</v>
      </c>
      <c r="V1070" s="40">
        <f t="shared" si="454"/>
        <v>0</v>
      </c>
      <c r="W1070" s="40">
        <f t="shared" si="455"/>
        <v>0</v>
      </c>
      <c r="X1070" s="40">
        <f t="shared" si="456"/>
        <v>0</v>
      </c>
      <c r="Y1070" s="40">
        <f t="shared" si="457"/>
        <v>1</v>
      </c>
      <c r="Z1070" s="40">
        <f t="shared" si="458"/>
        <v>0</v>
      </c>
      <c r="AA1070" s="40">
        <f t="shared" si="459"/>
        <v>0</v>
      </c>
      <c r="AB1070" s="40">
        <f t="shared" si="460"/>
        <v>0</v>
      </c>
      <c r="AC1070" s="40">
        <f t="shared" si="461"/>
        <v>0</v>
      </c>
      <c r="AD1070" s="40">
        <f t="shared" si="462"/>
        <v>0</v>
      </c>
      <c r="AE1070" s="40">
        <f t="shared" si="463"/>
        <v>0</v>
      </c>
      <c r="AF1070" s="40">
        <f t="shared" si="464"/>
        <v>1</v>
      </c>
      <c r="AG1070" s="40">
        <f t="shared" si="465"/>
        <v>0</v>
      </c>
      <c r="AH1070" s="40">
        <f t="shared" si="466"/>
        <v>0</v>
      </c>
      <c r="AI1070" s="40">
        <f t="shared" si="467"/>
        <v>0</v>
      </c>
      <c r="AJ1070" s="40">
        <f t="shared" si="468"/>
        <v>0</v>
      </c>
      <c r="AK1070" s="40">
        <f t="shared" si="469"/>
        <v>1</v>
      </c>
      <c r="AL1070" s="40">
        <f t="shared" si="470"/>
        <v>0</v>
      </c>
      <c r="AM1070" s="40">
        <f t="shared" si="471"/>
        <v>0</v>
      </c>
      <c r="AN1070" s="40">
        <f t="shared" si="472"/>
        <v>0</v>
      </c>
      <c r="AO1070" s="40">
        <f t="shared" si="473"/>
        <v>0</v>
      </c>
      <c r="AP1070" s="40">
        <f t="shared" si="474"/>
        <v>0</v>
      </c>
      <c r="AQ1070" s="40">
        <f t="shared" si="475"/>
        <v>0</v>
      </c>
      <c r="AR1070" s="40">
        <f t="shared" si="476"/>
        <v>0</v>
      </c>
      <c r="AS1070" s="40">
        <f t="shared" si="477"/>
        <v>0</v>
      </c>
    </row>
    <row r="1071" spans="2:45" ht="14.4" customHeight="1" x14ac:dyDescent="0.25">
      <c r="B1071" s="56" t="s">
        <v>46</v>
      </c>
      <c r="C1071" s="57" t="s">
        <v>26</v>
      </c>
      <c r="D1071" s="58" t="s">
        <v>32</v>
      </c>
      <c r="E1071" s="62">
        <v>6.1230000000000014E-2</v>
      </c>
      <c r="F1071" s="65">
        <f t="shared" si="478"/>
        <v>-2.7931180134922737</v>
      </c>
      <c r="S1071" s="40">
        <f t="shared" si="451"/>
        <v>0</v>
      </c>
      <c r="T1071" s="40">
        <f t="shared" si="452"/>
        <v>0</v>
      </c>
      <c r="U1071" s="40">
        <f t="shared" si="453"/>
        <v>0</v>
      </c>
      <c r="V1071" s="40">
        <f t="shared" si="454"/>
        <v>0</v>
      </c>
      <c r="W1071" s="40">
        <f t="shared" si="455"/>
        <v>0</v>
      </c>
      <c r="X1071" s="40">
        <f t="shared" si="456"/>
        <v>0</v>
      </c>
      <c r="Y1071" s="40">
        <f t="shared" si="457"/>
        <v>1</v>
      </c>
      <c r="Z1071" s="40">
        <f t="shared" si="458"/>
        <v>0</v>
      </c>
      <c r="AA1071" s="40">
        <f t="shared" si="459"/>
        <v>0</v>
      </c>
      <c r="AB1071" s="40">
        <f t="shared" si="460"/>
        <v>0</v>
      </c>
      <c r="AC1071" s="40">
        <f t="shared" si="461"/>
        <v>0</v>
      </c>
      <c r="AD1071" s="40">
        <f t="shared" si="462"/>
        <v>0</v>
      </c>
      <c r="AE1071" s="40">
        <f t="shared" si="463"/>
        <v>0</v>
      </c>
      <c r="AF1071" s="40">
        <f t="shared" si="464"/>
        <v>1</v>
      </c>
      <c r="AG1071" s="40">
        <f t="shared" si="465"/>
        <v>0</v>
      </c>
      <c r="AH1071" s="40">
        <f t="shared" si="466"/>
        <v>0</v>
      </c>
      <c r="AI1071" s="40">
        <f t="shared" si="467"/>
        <v>0</v>
      </c>
      <c r="AJ1071" s="40">
        <f t="shared" si="468"/>
        <v>0</v>
      </c>
      <c r="AK1071" s="40">
        <f t="shared" si="469"/>
        <v>0</v>
      </c>
      <c r="AL1071" s="40">
        <f t="shared" si="470"/>
        <v>0</v>
      </c>
      <c r="AM1071" s="40">
        <f t="shared" si="471"/>
        <v>0</v>
      </c>
      <c r="AN1071" s="40">
        <f t="shared" si="472"/>
        <v>1</v>
      </c>
      <c r="AO1071" s="40">
        <f t="shared" si="473"/>
        <v>0</v>
      </c>
      <c r="AP1071" s="40">
        <f t="shared" si="474"/>
        <v>0</v>
      </c>
      <c r="AQ1071" s="40">
        <f t="shared" si="475"/>
        <v>0</v>
      </c>
      <c r="AR1071" s="40">
        <f t="shared" si="476"/>
        <v>0</v>
      </c>
      <c r="AS1071" s="40">
        <f t="shared" si="477"/>
        <v>0</v>
      </c>
    </row>
    <row r="1072" spans="2:45" ht="14.4" customHeight="1" x14ac:dyDescent="0.25">
      <c r="B1072" s="56" t="s">
        <v>46</v>
      </c>
      <c r="C1072" s="57" t="s">
        <v>26</v>
      </c>
      <c r="D1072" s="58" t="s">
        <v>29</v>
      </c>
      <c r="E1072" s="62">
        <v>0.15817000000000001</v>
      </c>
      <c r="F1072" s="65">
        <f t="shared" si="478"/>
        <v>-1.8440848750067396</v>
      </c>
      <c r="S1072" s="40">
        <f t="shared" si="451"/>
        <v>0</v>
      </c>
      <c r="T1072" s="40">
        <f t="shared" si="452"/>
        <v>0</v>
      </c>
      <c r="U1072" s="40">
        <f t="shared" si="453"/>
        <v>0</v>
      </c>
      <c r="V1072" s="40">
        <f t="shared" si="454"/>
        <v>0</v>
      </c>
      <c r="W1072" s="40">
        <f t="shared" si="455"/>
        <v>0</v>
      </c>
      <c r="X1072" s="40">
        <f t="shared" si="456"/>
        <v>0</v>
      </c>
      <c r="Y1072" s="40">
        <f t="shared" si="457"/>
        <v>1</v>
      </c>
      <c r="Z1072" s="40">
        <f t="shared" si="458"/>
        <v>0</v>
      </c>
      <c r="AA1072" s="40">
        <f t="shared" si="459"/>
        <v>0</v>
      </c>
      <c r="AB1072" s="40">
        <f t="shared" si="460"/>
        <v>0</v>
      </c>
      <c r="AC1072" s="40">
        <f t="shared" si="461"/>
        <v>0</v>
      </c>
      <c r="AD1072" s="40">
        <f t="shared" si="462"/>
        <v>0</v>
      </c>
      <c r="AE1072" s="40">
        <f t="shared" si="463"/>
        <v>0</v>
      </c>
      <c r="AF1072" s="40">
        <f t="shared" si="464"/>
        <v>1</v>
      </c>
      <c r="AG1072" s="40">
        <f t="shared" si="465"/>
        <v>0</v>
      </c>
      <c r="AH1072" s="40">
        <f t="shared" si="466"/>
        <v>0</v>
      </c>
      <c r="AI1072" s="40">
        <f t="shared" si="467"/>
        <v>1</v>
      </c>
      <c r="AJ1072" s="40">
        <f t="shared" si="468"/>
        <v>0</v>
      </c>
      <c r="AK1072" s="40">
        <f t="shared" si="469"/>
        <v>0</v>
      </c>
      <c r="AL1072" s="40">
        <f t="shared" si="470"/>
        <v>0</v>
      </c>
      <c r="AM1072" s="40">
        <f t="shared" si="471"/>
        <v>0</v>
      </c>
      <c r="AN1072" s="40">
        <f t="shared" si="472"/>
        <v>0</v>
      </c>
      <c r="AO1072" s="40">
        <f t="shared" si="473"/>
        <v>0</v>
      </c>
      <c r="AP1072" s="40">
        <f t="shared" si="474"/>
        <v>0</v>
      </c>
      <c r="AQ1072" s="40">
        <f t="shared" si="475"/>
        <v>0</v>
      </c>
      <c r="AR1072" s="40">
        <f t="shared" si="476"/>
        <v>0</v>
      </c>
      <c r="AS1072" s="40">
        <f t="shared" si="477"/>
        <v>0</v>
      </c>
    </row>
    <row r="1073" spans="2:45" ht="14.4" customHeight="1" x14ac:dyDescent="0.25">
      <c r="B1073" s="56" t="s">
        <v>46</v>
      </c>
      <c r="C1073" s="57" t="s">
        <v>26</v>
      </c>
      <c r="D1073" s="58" t="s">
        <v>28</v>
      </c>
      <c r="E1073" s="62">
        <v>0.16902999999999999</v>
      </c>
      <c r="F1073" s="65">
        <f t="shared" si="478"/>
        <v>-1.7776790650200507</v>
      </c>
      <c r="S1073" s="40">
        <f t="shared" si="451"/>
        <v>0</v>
      </c>
      <c r="T1073" s="40">
        <f t="shared" si="452"/>
        <v>0</v>
      </c>
      <c r="U1073" s="40">
        <f t="shared" si="453"/>
        <v>0</v>
      </c>
      <c r="V1073" s="40">
        <f t="shared" si="454"/>
        <v>0</v>
      </c>
      <c r="W1073" s="40">
        <f t="shared" si="455"/>
        <v>0</v>
      </c>
      <c r="X1073" s="40">
        <f t="shared" si="456"/>
        <v>0</v>
      </c>
      <c r="Y1073" s="40">
        <f t="shared" si="457"/>
        <v>1</v>
      </c>
      <c r="Z1073" s="40">
        <f t="shared" si="458"/>
        <v>0</v>
      </c>
      <c r="AA1073" s="40">
        <f t="shared" si="459"/>
        <v>0</v>
      </c>
      <c r="AB1073" s="40">
        <f t="shared" si="460"/>
        <v>0</v>
      </c>
      <c r="AC1073" s="40">
        <f t="shared" si="461"/>
        <v>0</v>
      </c>
      <c r="AD1073" s="40">
        <f t="shared" si="462"/>
        <v>0</v>
      </c>
      <c r="AE1073" s="40">
        <f t="shared" si="463"/>
        <v>0</v>
      </c>
      <c r="AF1073" s="40">
        <f t="shared" si="464"/>
        <v>1</v>
      </c>
      <c r="AG1073" s="40">
        <f t="shared" si="465"/>
        <v>0</v>
      </c>
      <c r="AH1073" s="40">
        <f t="shared" si="466"/>
        <v>0</v>
      </c>
      <c r="AI1073" s="40">
        <f t="shared" si="467"/>
        <v>1</v>
      </c>
      <c r="AJ1073" s="40">
        <f t="shared" si="468"/>
        <v>0</v>
      </c>
      <c r="AK1073" s="40">
        <f t="shared" si="469"/>
        <v>0</v>
      </c>
      <c r="AL1073" s="40">
        <f t="shared" si="470"/>
        <v>0</v>
      </c>
      <c r="AM1073" s="40">
        <f t="shared" si="471"/>
        <v>0</v>
      </c>
      <c r="AN1073" s="40">
        <f t="shared" si="472"/>
        <v>0</v>
      </c>
      <c r="AO1073" s="40">
        <f t="shared" si="473"/>
        <v>0</v>
      </c>
      <c r="AP1073" s="40">
        <f t="shared" si="474"/>
        <v>0</v>
      </c>
      <c r="AQ1073" s="40">
        <f t="shared" si="475"/>
        <v>0</v>
      </c>
      <c r="AR1073" s="40">
        <f t="shared" si="476"/>
        <v>0</v>
      </c>
      <c r="AS1073" s="40">
        <f t="shared" si="477"/>
        <v>0</v>
      </c>
    </row>
    <row r="1074" spans="2:45" ht="14.4" customHeight="1" x14ac:dyDescent="0.25">
      <c r="B1074" s="56" t="s">
        <v>46</v>
      </c>
      <c r="C1074" s="57" t="s">
        <v>26</v>
      </c>
      <c r="D1074" s="58" t="s">
        <v>28</v>
      </c>
      <c r="E1074" s="62">
        <v>0.17453000000000002</v>
      </c>
      <c r="F1074" s="65">
        <f t="shared" si="478"/>
        <v>-1.7456586323453918</v>
      </c>
      <c r="S1074" s="40">
        <f t="shared" si="451"/>
        <v>0</v>
      </c>
      <c r="T1074" s="40">
        <f t="shared" si="452"/>
        <v>0</v>
      </c>
      <c r="U1074" s="40">
        <f t="shared" si="453"/>
        <v>0</v>
      </c>
      <c r="V1074" s="40">
        <f t="shared" si="454"/>
        <v>0</v>
      </c>
      <c r="W1074" s="40">
        <f t="shared" si="455"/>
        <v>0</v>
      </c>
      <c r="X1074" s="40">
        <f t="shared" si="456"/>
        <v>0</v>
      </c>
      <c r="Y1074" s="40">
        <f t="shared" si="457"/>
        <v>1</v>
      </c>
      <c r="Z1074" s="40">
        <f t="shared" si="458"/>
        <v>0</v>
      </c>
      <c r="AA1074" s="40">
        <f t="shared" si="459"/>
        <v>0</v>
      </c>
      <c r="AB1074" s="40">
        <f t="shared" si="460"/>
        <v>0</v>
      </c>
      <c r="AC1074" s="40">
        <f t="shared" si="461"/>
        <v>0</v>
      </c>
      <c r="AD1074" s="40">
        <f t="shared" si="462"/>
        <v>0</v>
      </c>
      <c r="AE1074" s="40">
        <f t="shared" si="463"/>
        <v>0</v>
      </c>
      <c r="AF1074" s="40">
        <f t="shared" si="464"/>
        <v>1</v>
      </c>
      <c r="AG1074" s="40">
        <f t="shared" si="465"/>
        <v>0</v>
      </c>
      <c r="AH1074" s="40">
        <f t="shared" si="466"/>
        <v>0</v>
      </c>
      <c r="AI1074" s="40">
        <f t="shared" si="467"/>
        <v>0</v>
      </c>
      <c r="AJ1074" s="40">
        <f t="shared" si="468"/>
        <v>0</v>
      </c>
      <c r="AK1074" s="40">
        <f t="shared" si="469"/>
        <v>0</v>
      </c>
      <c r="AL1074" s="40">
        <f t="shared" si="470"/>
        <v>1</v>
      </c>
      <c r="AM1074" s="40">
        <f t="shared" si="471"/>
        <v>0</v>
      </c>
      <c r="AN1074" s="40">
        <f t="shared" si="472"/>
        <v>0</v>
      </c>
      <c r="AO1074" s="40">
        <f t="shared" si="473"/>
        <v>0</v>
      </c>
      <c r="AP1074" s="40">
        <f t="shared" si="474"/>
        <v>0</v>
      </c>
      <c r="AQ1074" s="40">
        <f t="shared" si="475"/>
        <v>0</v>
      </c>
      <c r="AR1074" s="40">
        <f t="shared" si="476"/>
        <v>0</v>
      </c>
      <c r="AS1074" s="40">
        <f t="shared" si="477"/>
        <v>0</v>
      </c>
    </row>
    <row r="1075" spans="2:45" ht="14.4" customHeight="1" x14ac:dyDescent="0.25">
      <c r="B1075" s="56" t="s">
        <v>46</v>
      </c>
      <c r="C1075" s="57" t="s">
        <v>26</v>
      </c>
      <c r="D1075" s="58" t="s">
        <v>24</v>
      </c>
      <c r="E1075" s="62">
        <v>5.5230000000000001E-2</v>
      </c>
      <c r="F1075" s="65">
        <f t="shared" si="478"/>
        <v>-2.8962489950690409</v>
      </c>
      <c r="S1075" s="40">
        <f t="shared" si="451"/>
        <v>0</v>
      </c>
      <c r="T1075" s="40">
        <f t="shared" si="452"/>
        <v>0</v>
      </c>
      <c r="U1075" s="40">
        <f t="shared" si="453"/>
        <v>0</v>
      </c>
      <c r="V1075" s="40">
        <f t="shared" si="454"/>
        <v>0</v>
      </c>
      <c r="W1075" s="40">
        <f t="shared" si="455"/>
        <v>0</v>
      </c>
      <c r="X1075" s="40">
        <f t="shared" si="456"/>
        <v>0</v>
      </c>
      <c r="Y1075" s="40">
        <f t="shared" si="457"/>
        <v>1</v>
      </c>
      <c r="Z1075" s="40">
        <f t="shared" si="458"/>
        <v>0</v>
      </c>
      <c r="AA1075" s="40">
        <f t="shared" si="459"/>
        <v>0</v>
      </c>
      <c r="AB1075" s="40">
        <f t="shared" si="460"/>
        <v>0</v>
      </c>
      <c r="AC1075" s="40">
        <f t="shared" si="461"/>
        <v>0</v>
      </c>
      <c r="AD1075" s="40">
        <f t="shared" si="462"/>
        <v>0</v>
      </c>
      <c r="AE1075" s="40">
        <f t="shared" si="463"/>
        <v>0</v>
      </c>
      <c r="AF1075" s="40">
        <f t="shared" si="464"/>
        <v>1</v>
      </c>
      <c r="AG1075" s="40">
        <f t="shared" si="465"/>
        <v>0</v>
      </c>
      <c r="AH1075" s="40">
        <f t="shared" si="466"/>
        <v>0</v>
      </c>
      <c r="AI1075" s="40">
        <f t="shared" si="467"/>
        <v>0</v>
      </c>
      <c r="AJ1075" s="40">
        <f t="shared" si="468"/>
        <v>1</v>
      </c>
      <c r="AK1075" s="40">
        <f t="shared" si="469"/>
        <v>0</v>
      </c>
      <c r="AL1075" s="40">
        <f t="shared" si="470"/>
        <v>0</v>
      </c>
      <c r="AM1075" s="40">
        <f t="shared" si="471"/>
        <v>0</v>
      </c>
      <c r="AN1075" s="40">
        <f t="shared" si="472"/>
        <v>0</v>
      </c>
      <c r="AO1075" s="40">
        <f t="shared" si="473"/>
        <v>0</v>
      </c>
      <c r="AP1075" s="40">
        <f t="shared" si="474"/>
        <v>0</v>
      </c>
      <c r="AQ1075" s="40">
        <f t="shared" si="475"/>
        <v>0</v>
      </c>
      <c r="AR1075" s="40">
        <f t="shared" si="476"/>
        <v>0</v>
      </c>
      <c r="AS1075" s="40">
        <f t="shared" si="477"/>
        <v>0</v>
      </c>
    </row>
    <row r="1076" spans="2:45" ht="14.4" customHeight="1" x14ac:dyDescent="0.25">
      <c r="B1076" s="56" t="s">
        <v>46</v>
      </c>
      <c r="C1076" s="57" t="s">
        <v>26</v>
      </c>
      <c r="D1076" s="58" t="s">
        <v>37</v>
      </c>
      <c r="E1076" s="62">
        <v>0.11857000000000002</v>
      </c>
      <c r="F1076" s="65">
        <f t="shared" si="478"/>
        <v>-2.1322517755121577</v>
      </c>
      <c r="S1076" s="40">
        <f t="shared" si="451"/>
        <v>0</v>
      </c>
      <c r="T1076" s="40">
        <f t="shared" si="452"/>
        <v>0</v>
      </c>
      <c r="U1076" s="40">
        <f t="shared" si="453"/>
        <v>0</v>
      </c>
      <c r="V1076" s="40">
        <f t="shared" si="454"/>
        <v>0</v>
      </c>
      <c r="W1076" s="40">
        <f t="shared" si="455"/>
        <v>0</v>
      </c>
      <c r="X1076" s="40">
        <f t="shared" si="456"/>
        <v>0</v>
      </c>
      <c r="Y1076" s="40">
        <f t="shared" si="457"/>
        <v>1</v>
      </c>
      <c r="Z1076" s="40">
        <f t="shared" si="458"/>
        <v>0</v>
      </c>
      <c r="AA1076" s="40">
        <f t="shared" si="459"/>
        <v>0</v>
      </c>
      <c r="AB1076" s="40">
        <f t="shared" si="460"/>
        <v>0</v>
      </c>
      <c r="AC1076" s="40">
        <f t="shared" si="461"/>
        <v>0</v>
      </c>
      <c r="AD1076" s="40">
        <f t="shared" si="462"/>
        <v>0</v>
      </c>
      <c r="AE1076" s="40">
        <f t="shared" si="463"/>
        <v>0</v>
      </c>
      <c r="AF1076" s="40">
        <f t="shared" si="464"/>
        <v>1</v>
      </c>
      <c r="AG1076" s="40">
        <f t="shared" si="465"/>
        <v>0</v>
      </c>
      <c r="AH1076" s="40">
        <f t="shared" si="466"/>
        <v>0</v>
      </c>
      <c r="AI1076" s="40">
        <f t="shared" si="467"/>
        <v>0</v>
      </c>
      <c r="AJ1076" s="40">
        <f t="shared" si="468"/>
        <v>1</v>
      </c>
      <c r="AK1076" s="40">
        <f t="shared" si="469"/>
        <v>0</v>
      </c>
      <c r="AL1076" s="40">
        <f t="shared" si="470"/>
        <v>0</v>
      </c>
      <c r="AM1076" s="40">
        <f t="shared" si="471"/>
        <v>0</v>
      </c>
      <c r="AN1076" s="40">
        <f t="shared" si="472"/>
        <v>0</v>
      </c>
      <c r="AO1076" s="40">
        <f t="shared" si="473"/>
        <v>0</v>
      </c>
      <c r="AP1076" s="40">
        <f t="shared" si="474"/>
        <v>0</v>
      </c>
      <c r="AQ1076" s="40">
        <f t="shared" si="475"/>
        <v>0</v>
      </c>
      <c r="AR1076" s="40">
        <f t="shared" si="476"/>
        <v>0</v>
      </c>
      <c r="AS1076" s="40">
        <f t="shared" si="477"/>
        <v>0</v>
      </c>
    </row>
    <row r="1077" spans="2:45" ht="14.4" customHeight="1" x14ac:dyDescent="0.25">
      <c r="B1077" s="56" t="s">
        <v>46</v>
      </c>
      <c r="C1077" s="57" t="s">
        <v>26</v>
      </c>
      <c r="D1077" s="58" t="s">
        <v>37</v>
      </c>
      <c r="E1077" s="62">
        <v>0.27826000000000001</v>
      </c>
      <c r="F1077" s="65">
        <f t="shared" si="478"/>
        <v>-1.2791993505684063</v>
      </c>
      <c r="S1077" s="40">
        <f t="shared" si="451"/>
        <v>0</v>
      </c>
      <c r="T1077" s="40">
        <f t="shared" si="452"/>
        <v>0</v>
      </c>
      <c r="U1077" s="40">
        <f t="shared" si="453"/>
        <v>0</v>
      </c>
      <c r="V1077" s="40">
        <f t="shared" si="454"/>
        <v>0</v>
      </c>
      <c r="W1077" s="40">
        <f t="shared" si="455"/>
        <v>0</v>
      </c>
      <c r="X1077" s="40">
        <f t="shared" si="456"/>
        <v>0</v>
      </c>
      <c r="Y1077" s="40">
        <f t="shared" si="457"/>
        <v>1</v>
      </c>
      <c r="Z1077" s="40">
        <f t="shared" si="458"/>
        <v>0</v>
      </c>
      <c r="AA1077" s="40">
        <f t="shared" si="459"/>
        <v>0</v>
      </c>
      <c r="AB1077" s="40">
        <f t="shared" si="460"/>
        <v>0</v>
      </c>
      <c r="AC1077" s="40">
        <f t="shared" si="461"/>
        <v>0</v>
      </c>
      <c r="AD1077" s="40">
        <f t="shared" si="462"/>
        <v>0</v>
      </c>
      <c r="AE1077" s="40">
        <f t="shared" si="463"/>
        <v>0</v>
      </c>
      <c r="AF1077" s="40">
        <f t="shared" si="464"/>
        <v>1</v>
      </c>
      <c r="AG1077" s="40">
        <f t="shared" si="465"/>
        <v>0</v>
      </c>
      <c r="AH1077" s="40">
        <f t="shared" si="466"/>
        <v>0</v>
      </c>
      <c r="AI1077" s="40">
        <f t="shared" si="467"/>
        <v>0</v>
      </c>
      <c r="AJ1077" s="40">
        <f t="shared" si="468"/>
        <v>1</v>
      </c>
      <c r="AK1077" s="40">
        <f t="shared" si="469"/>
        <v>0</v>
      </c>
      <c r="AL1077" s="40">
        <f t="shared" si="470"/>
        <v>0</v>
      </c>
      <c r="AM1077" s="40">
        <f t="shared" si="471"/>
        <v>0</v>
      </c>
      <c r="AN1077" s="40">
        <f t="shared" si="472"/>
        <v>0</v>
      </c>
      <c r="AO1077" s="40">
        <f t="shared" si="473"/>
        <v>0</v>
      </c>
      <c r="AP1077" s="40">
        <f t="shared" si="474"/>
        <v>0</v>
      </c>
      <c r="AQ1077" s="40">
        <f t="shared" si="475"/>
        <v>0</v>
      </c>
      <c r="AR1077" s="40">
        <f t="shared" si="476"/>
        <v>0</v>
      </c>
      <c r="AS1077" s="40">
        <f t="shared" si="477"/>
        <v>0</v>
      </c>
    </row>
    <row r="1078" spans="2:45" ht="14.4" customHeight="1" x14ac:dyDescent="0.25">
      <c r="B1078" s="56" t="s">
        <v>46</v>
      </c>
      <c r="C1078" s="57" t="s">
        <v>26</v>
      </c>
      <c r="D1078" s="58" t="s">
        <v>37</v>
      </c>
      <c r="E1078" s="62">
        <v>4.0500000000000001E-2</v>
      </c>
      <c r="F1078" s="65">
        <f t="shared" si="478"/>
        <v>-3.2064533048696435</v>
      </c>
      <c r="S1078" s="40">
        <f t="shared" si="451"/>
        <v>0</v>
      </c>
      <c r="T1078" s="40">
        <f t="shared" si="452"/>
        <v>0</v>
      </c>
      <c r="U1078" s="40">
        <f t="shared" si="453"/>
        <v>0</v>
      </c>
      <c r="V1078" s="40">
        <f t="shared" si="454"/>
        <v>0</v>
      </c>
      <c r="W1078" s="40">
        <f t="shared" si="455"/>
        <v>0</v>
      </c>
      <c r="X1078" s="40">
        <f t="shared" si="456"/>
        <v>0</v>
      </c>
      <c r="Y1078" s="40">
        <f t="shared" si="457"/>
        <v>1</v>
      </c>
      <c r="Z1078" s="40">
        <f t="shared" si="458"/>
        <v>0</v>
      </c>
      <c r="AA1078" s="40">
        <f t="shared" si="459"/>
        <v>0</v>
      </c>
      <c r="AB1078" s="40">
        <f t="shared" si="460"/>
        <v>0</v>
      </c>
      <c r="AC1078" s="40">
        <f t="shared" si="461"/>
        <v>0</v>
      </c>
      <c r="AD1078" s="40">
        <f t="shared" si="462"/>
        <v>0</v>
      </c>
      <c r="AE1078" s="40">
        <f t="shared" si="463"/>
        <v>0</v>
      </c>
      <c r="AF1078" s="40">
        <f t="shared" si="464"/>
        <v>1</v>
      </c>
      <c r="AG1078" s="40">
        <f t="shared" si="465"/>
        <v>0</v>
      </c>
      <c r="AH1078" s="40">
        <f t="shared" si="466"/>
        <v>0</v>
      </c>
      <c r="AI1078" s="40">
        <f t="shared" si="467"/>
        <v>0</v>
      </c>
      <c r="AJ1078" s="40">
        <f t="shared" si="468"/>
        <v>1</v>
      </c>
      <c r="AK1078" s="40">
        <f t="shared" si="469"/>
        <v>0</v>
      </c>
      <c r="AL1078" s="40">
        <f t="shared" si="470"/>
        <v>0</v>
      </c>
      <c r="AM1078" s="40">
        <f t="shared" si="471"/>
        <v>0</v>
      </c>
      <c r="AN1078" s="40">
        <f t="shared" si="472"/>
        <v>0</v>
      </c>
      <c r="AO1078" s="40">
        <f t="shared" si="473"/>
        <v>0</v>
      </c>
      <c r="AP1078" s="40">
        <f t="shared" si="474"/>
        <v>0</v>
      </c>
      <c r="AQ1078" s="40">
        <f t="shared" si="475"/>
        <v>0</v>
      </c>
      <c r="AR1078" s="40">
        <f t="shared" si="476"/>
        <v>0</v>
      </c>
      <c r="AS1078" s="40">
        <f t="shared" si="477"/>
        <v>0</v>
      </c>
    </row>
    <row r="1079" spans="2:45" ht="14.4" customHeight="1" x14ac:dyDescent="0.25">
      <c r="B1079" s="56" t="s">
        <v>46</v>
      </c>
      <c r="C1079" s="57" t="s">
        <v>26</v>
      </c>
      <c r="D1079" s="58" t="s">
        <v>37</v>
      </c>
      <c r="E1079" s="62">
        <v>0.10505999999999999</v>
      </c>
      <c r="F1079" s="65">
        <f t="shared" si="478"/>
        <v>-2.2532236634563216</v>
      </c>
      <c r="S1079" s="40">
        <f t="shared" si="451"/>
        <v>0</v>
      </c>
      <c r="T1079" s="40">
        <f t="shared" si="452"/>
        <v>0</v>
      </c>
      <c r="U1079" s="40">
        <f t="shared" si="453"/>
        <v>0</v>
      </c>
      <c r="V1079" s="40">
        <f t="shared" si="454"/>
        <v>0</v>
      </c>
      <c r="W1079" s="40">
        <f t="shared" si="455"/>
        <v>0</v>
      </c>
      <c r="X1079" s="40">
        <f t="shared" si="456"/>
        <v>0</v>
      </c>
      <c r="Y1079" s="40">
        <f t="shared" si="457"/>
        <v>1</v>
      </c>
      <c r="Z1079" s="40">
        <f t="shared" si="458"/>
        <v>0</v>
      </c>
      <c r="AA1079" s="40">
        <f t="shared" si="459"/>
        <v>0</v>
      </c>
      <c r="AB1079" s="40">
        <f t="shared" si="460"/>
        <v>0</v>
      </c>
      <c r="AC1079" s="40">
        <f t="shared" si="461"/>
        <v>0</v>
      </c>
      <c r="AD1079" s="40">
        <f t="shared" si="462"/>
        <v>0</v>
      </c>
      <c r="AE1079" s="40">
        <f t="shared" si="463"/>
        <v>0</v>
      </c>
      <c r="AF1079" s="40">
        <f t="shared" si="464"/>
        <v>1</v>
      </c>
      <c r="AG1079" s="40">
        <f t="shared" si="465"/>
        <v>0</v>
      </c>
      <c r="AH1079" s="40">
        <f t="shared" si="466"/>
        <v>0</v>
      </c>
      <c r="AI1079" s="40">
        <f t="shared" si="467"/>
        <v>0</v>
      </c>
      <c r="AJ1079" s="40">
        <f t="shared" si="468"/>
        <v>0</v>
      </c>
      <c r="AK1079" s="40">
        <f t="shared" si="469"/>
        <v>0</v>
      </c>
      <c r="AL1079" s="40">
        <f t="shared" si="470"/>
        <v>1</v>
      </c>
      <c r="AM1079" s="40">
        <f t="shared" si="471"/>
        <v>0</v>
      </c>
      <c r="AN1079" s="40">
        <f t="shared" si="472"/>
        <v>0</v>
      </c>
      <c r="AO1079" s="40">
        <f t="shared" si="473"/>
        <v>0</v>
      </c>
      <c r="AP1079" s="40">
        <f t="shared" si="474"/>
        <v>0</v>
      </c>
      <c r="AQ1079" s="40">
        <f t="shared" si="475"/>
        <v>0</v>
      </c>
      <c r="AR1079" s="40">
        <f t="shared" si="476"/>
        <v>0</v>
      </c>
      <c r="AS1079" s="40">
        <f t="shared" si="477"/>
        <v>0</v>
      </c>
    </row>
    <row r="1080" spans="2:45" ht="14.4" customHeight="1" x14ac:dyDescent="0.25">
      <c r="B1080" s="56" t="s">
        <v>46</v>
      </c>
      <c r="C1080" s="57" t="s">
        <v>26</v>
      </c>
      <c r="D1080" s="58" t="s">
        <v>24</v>
      </c>
      <c r="E1080" s="62">
        <v>8.5900000000000004E-2</v>
      </c>
      <c r="F1080" s="65">
        <f t="shared" si="478"/>
        <v>-2.4545714499919273</v>
      </c>
      <c r="S1080" s="40">
        <f t="shared" si="451"/>
        <v>0</v>
      </c>
      <c r="T1080" s="40">
        <f t="shared" si="452"/>
        <v>0</v>
      </c>
      <c r="U1080" s="40">
        <f t="shared" si="453"/>
        <v>0</v>
      </c>
      <c r="V1080" s="40">
        <f t="shared" si="454"/>
        <v>0</v>
      </c>
      <c r="W1080" s="40">
        <f t="shared" si="455"/>
        <v>0</v>
      </c>
      <c r="X1080" s="40">
        <f t="shared" si="456"/>
        <v>0</v>
      </c>
      <c r="Y1080" s="40">
        <f t="shared" si="457"/>
        <v>1</v>
      </c>
      <c r="Z1080" s="40">
        <f t="shared" si="458"/>
        <v>0</v>
      </c>
      <c r="AA1080" s="40">
        <f t="shared" si="459"/>
        <v>0</v>
      </c>
      <c r="AB1080" s="40">
        <f t="shared" si="460"/>
        <v>0</v>
      </c>
      <c r="AC1080" s="40">
        <f t="shared" si="461"/>
        <v>0</v>
      </c>
      <c r="AD1080" s="40">
        <f t="shared" si="462"/>
        <v>0</v>
      </c>
      <c r="AE1080" s="40">
        <f t="shared" si="463"/>
        <v>0</v>
      </c>
      <c r="AF1080" s="40">
        <f t="shared" si="464"/>
        <v>1</v>
      </c>
      <c r="AG1080" s="40">
        <f t="shared" si="465"/>
        <v>0</v>
      </c>
      <c r="AH1080" s="40">
        <f t="shared" si="466"/>
        <v>0</v>
      </c>
      <c r="AI1080" s="40">
        <f t="shared" si="467"/>
        <v>0</v>
      </c>
      <c r="AJ1080" s="40">
        <f t="shared" si="468"/>
        <v>1</v>
      </c>
      <c r="AK1080" s="40">
        <f t="shared" si="469"/>
        <v>0</v>
      </c>
      <c r="AL1080" s="40">
        <f t="shared" si="470"/>
        <v>0</v>
      </c>
      <c r="AM1080" s="40">
        <f t="shared" si="471"/>
        <v>0</v>
      </c>
      <c r="AN1080" s="40">
        <f t="shared" si="472"/>
        <v>0</v>
      </c>
      <c r="AO1080" s="40">
        <f t="shared" si="473"/>
        <v>0</v>
      </c>
      <c r="AP1080" s="40">
        <f t="shared" si="474"/>
        <v>0</v>
      </c>
      <c r="AQ1080" s="40">
        <f t="shared" si="475"/>
        <v>0</v>
      </c>
      <c r="AR1080" s="40">
        <f t="shared" si="476"/>
        <v>0</v>
      </c>
      <c r="AS1080" s="40">
        <f t="shared" si="477"/>
        <v>0</v>
      </c>
    </row>
    <row r="1081" spans="2:45" ht="14.4" customHeight="1" x14ac:dyDescent="0.25">
      <c r="B1081" s="56" t="s">
        <v>46</v>
      </c>
      <c r="C1081" s="57" t="s">
        <v>26</v>
      </c>
      <c r="D1081" s="58" t="s">
        <v>37</v>
      </c>
      <c r="E1081" s="62">
        <v>1.8319999999999999E-2</v>
      </c>
      <c r="F1081" s="65">
        <f t="shared" si="478"/>
        <v>-3.9997619197361529</v>
      </c>
      <c r="S1081" s="40">
        <f t="shared" si="451"/>
        <v>0</v>
      </c>
      <c r="T1081" s="40">
        <f t="shared" si="452"/>
        <v>0</v>
      </c>
      <c r="U1081" s="40">
        <f t="shared" si="453"/>
        <v>0</v>
      </c>
      <c r="V1081" s="40">
        <f t="shared" si="454"/>
        <v>0</v>
      </c>
      <c r="W1081" s="40">
        <f t="shared" si="455"/>
        <v>0</v>
      </c>
      <c r="X1081" s="40">
        <f t="shared" si="456"/>
        <v>0</v>
      </c>
      <c r="Y1081" s="40">
        <f t="shared" si="457"/>
        <v>1</v>
      </c>
      <c r="Z1081" s="40">
        <f t="shared" si="458"/>
        <v>0</v>
      </c>
      <c r="AA1081" s="40">
        <f t="shared" si="459"/>
        <v>0</v>
      </c>
      <c r="AB1081" s="40">
        <f t="shared" si="460"/>
        <v>1</v>
      </c>
      <c r="AC1081" s="40">
        <f t="shared" si="461"/>
        <v>0</v>
      </c>
      <c r="AD1081" s="40">
        <f t="shared" si="462"/>
        <v>0</v>
      </c>
      <c r="AE1081" s="40">
        <f t="shared" si="463"/>
        <v>0</v>
      </c>
      <c r="AF1081" s="40">
        <f t="shared" si="464"/>
        <v>0</v>
      </c>
      <c r="AG1081" s="40">
        <f t="shared" si="465"/>
        <v>0</v>
      </c>
      <c r="AH1081" s="40">
        <f t="shared" si="466"/>
        <v>0</v>
      </c>
      <c r="AI1081" s="40">
        <f t="shared" si="467"/>
        <v>0</v>
      </c>
      <c r="AJ1081" s="40">
        <f t="shared" si="468"/>
        <v>1</v>
      </c>
      <c r="AK1081" s="40">
        <f t="shared" si="469"/>
        <v>0</v>
      </c>
      <c r="AL1081" s="40">
        <f t="shared" si="470"/>
        <v>0</v>
      </c>
      <c r="AM1081" s="40">
        <f t="shared" si="471"/>
        <v>0</v>
      </c>
      <c r="AN1081" s="40">
        <f t="shared" si="472"/>
        <v>0</v>
      </c>
      <c r="AO1081" s="40">
        <f t="shared" si="473"/>
        <v>0</v>
      </c>
      <c r="AP1081" s="40">
        <f t="shared" si="474"/>
        <v>0</v>
      </c>
      <c r="AQ1081" s="40">
        <f t="shared" si="475"/>
        <v>0</v>
      </c>
      <c r="AR1081" s="40">
        <f t="shared" si="476"/>
        <v>0</v>
      </c>
      <c r="AS1081" s="40">
        <f t="shared" si="477"/>
        <v>0</v>
      </c>
    </row>
    <row r="1082" spans="2:45" ht="13.8" thickBot="1" x14ac:dyDescent="0.3">
      <c r="B1082" s="59" t="s">
        <v>46</v>
      </c>
      <c r="C1082" s="60" t="s">
        <v>25</v>
      </c>
      <c r="D1082" s="61" t="s">
        <v>37</v>
      </c>
      <c r="E1082" s="63">
        <v>3.3759999999999998E-2</v>
      </c>
      <c r="F1082" s="67">
        <f t="shared" si="478"/>
        <v>-3.3884786092543808</v>
      </c>
    </row>
  </sheetData>
  <mergeCells count="6">
    <mergeCell ref="N9:O9"/>
    <mergeCell ref="H23:L23"/>
    <mergeCell ref="F8:G8"/>
    <mergeCell ref="B9:F9"/>
    <mergeCell ref="H9:I9"/>
    <mergeCell ref="K9:L9"/>
  </mergeCells>
  <dataValidations count="3">
    <dataValidation type="list" allowBlank="1" showInputMessage="1" showErrorMessage="1" sqref="H24:H27" xr:uid="{D0BE1D4C-A552-4BF6-BFFE-779800742882}">
      <formula1>$H$10:$H$16</formula1>
    </dataValidation>
    <dataValidation type="list" allowBlank="1" showInputMessage="1" showErrorMessage="1" sqref="I24:I27" xr:uid="{9E2F2AC5-99C7-4C63-9C19-31793CCB8F9D}">
      <formula1>$K$10:$K$17</formula1>
    </dataValidation>
    <dataValidation type="list" allowBlank="1" showInputMessage="1" showErrorMessage="1" sqref="J24:J27" xr:uid="{9800B5C5-5EF4-4B9A-86CD-500097784CBF}">
      <formula1>$N$10:$N$21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90BA7-EDB7-4987-8B43-6EA6C1190EF8}">
  <sheetPr codeName="Sheet1"/>
  <dimension ref="B1:E1073"/>
  <sheetViews>
    <sheetView workbookViewId="0">
      <selection activeCell="B2" sqref="B2"/>
    </sheetView>
  </sheetViews>
  <sheetFormatPr defaultRowHeight="13.2" x14ac:dyDescent="0.25"/>
  <cols>
    <col min="4" max="4" width="25.44140625" bestFit="1" customWidth="1"/>
  </cols>
  <sheetData>
    <row r="1" spans="2:5" x14ac:dyDescent="0.25">
      <c r="B1" s="86" t="s">
        <v>47</v>
      </c>
      <c r="C1" s="86" t="s">
        <v>48</v>
      </c>
      <c r="D1" s="86" t="s">
        <v>58</v>
      </c>
      <c r="E1" s="87"/>
    </row>
    <row r="2" spans="2:5" x14ac:dyDescent="0.25">
      <c r="B2" s="53" t="s">
        <v>20</v>
      </c>
      <c r="C2" s="54" t="s">
        <v>21</v>
      </c>
      <c r="D2" s="55" t="s">
        <v>22</v>
      </c>
      <c r="E2" s="62">
        <v>7.2799999999999983E-3</v>
      </c>
    </row>
    <row r="3" spans="2:5" x14ac:dyDescent="0.25">
      <c r="B3" s="53" t="s">
        <v>20</v>
      </c>
      <c r="C3" s="54" t="s">
        <v>23</v>
      </c>
      <c r="D3" s="55" t="s">
        <v>24</v>
      </c>
      <c r="E3" s="62">
        <v>3.8300000000000014E-3</v>
      </c>
    </row>
    <row r="4" spans="2:5" x14ac:dyDescent="0.25">
      <c r="B4" s="53" t="s">
        <v>20</v>
      </c>
      <c r="C4" s="54" t="s">
        <v>25</v>
      </c>
      <c r="D4" s="55" t="s">
        <v>24</v>
      </c>
      <c r="E4" s="62">
        <v>6.499999999999998E-3</v>
      </c>
    </row>
    <row r="5" spans="2:5" x14ac:dyDescent="0.25">
      <c r="B5" s="53" t="s">
        <v>20</v>
      </c>
      <c r="C5" s="54" t="s">
        <v>26</v>
      </c>
      <c r="D5" s="55" t="s">
        <v>27</v>
      </c>
      <c r="E5" s="62">
        <v>3.6600000000000009E-3</v>
      </c>
    </row>
    <row r="6" spans="2:5" x14ac:dyDescent="0.25">
      <c r="B6" s="53" t="s">
        <v>20</v>
      </c>
      <c r="C6" s="54" t="s">
        <v>23</v>
      </c>
      <c r="D6" s="55" t="s">
        <v>28</v>
      </c>
      <c r="E6" s="62">
        <v>1.6799999999999994E-3</v>
      </c>
    </row>
    <row r="7" spans="2:5" x14ac:dyDescent="0.25">
      <c r="B7" s="53" t="s">
        <v>20</v>
      </c>
      <c r="C7" s="54" t="s">
        <v>26</v>
      </c>
      <c r="D7" s="55" t="s">
        <v>24</v>
      </c>
      <c r="E7" s="62">
        <v>3.7499999999999986E-3</v>
      </c>
    </row>
    <row r="8" spans="2:5" x14ac:dyDescent="0.25">
      <c r="B8" s="53" t="s">
        <v>20</v>
      </c>
      <c r="C8" s="54" t="s">
        <v>26</v>
      </c>
      <c r="D8" s="55" t="s">
        <v>24</v>
      </c>
      <c r="E8" s="62">
        <v>3.7499999999999986E-3</v>
      </c>
    </row>
    <row r="9" spans="2:5" x14ac:dyDescent="0.25">
      <c r="B9" s="53" t="s">
        <v>20</v>
      </c>
      <c r="C9" s="54" t="s">
        <v>26</v>
      </c>
      <c r="D9" s="55" t="s">
        <v>29</v>
      </c>
      <c r="E9" s="62">
        <v>3.9700000000000004E-3</v>
      </c>
    </row>
    <row r="10" spans="2:5" x14ac:dyDescent="0.25">
      <c r="B10" s="53" t="s">
        <v>20</v>
      </c>
      <c r="C10" s="54" t="s">
        <v>26</v>
      </c>
      <c r="D10" s="55" t="s">
        <v>30</v>
      </c>
      <c r="E10" s="62">
        <v>5.2099999999999985E-3</v>
      </c>
    </row>
    <row r="11" spans="2:5" x14ac:dyDescent="0.25">
      <c r="B11" s="53" t="s">
        <v>20</v>
      </c>
      <c r="C11" s="54" t="s">
        <v>26</v>
      </c>
      <c r="D11" s="55" t="s">
        <v>28</v>
      </c>
      <c r="E11" s="62">
        <v>7.1199999999999987E-3</v>
      </c>
    </row>
    <row r="12" spans="2:5" x14ac:dyDescent="0.25">
      <c r="B12" s="53" t="s">
        <v>20</v>
      </c>
      <c r="C12" s="54" t="s">
        <v>26</v>
      </c>
      <c r="D12" s="55" t="s">
        <v>24</v>
      </c>
      <c r="E12" s="62">
        <v>6.989999999999998E-3</v>
      </c>
    </row>
    <row r="13" spans="2:5" x14ac:dyDescent="0.25">
      <c r="B13" s="53" t="s">
        <v>20</v>
      </c>
      <c r="C13" s="54" t="s">
        <v>26</v>
      </c>
      <c r="D13" s="55" t="s">
        <v>24</v>
      </c>
      <c r="E13" s="62">
        <v>6.3200000000000001E-3</v>
      </c>
    </row>
    <row r="14" spans="2:5" x14ac:dyDescent="0.25">
      <c r="B14" s="53" t="s">
        <v>20</v>
      </c>
      <c r="C14" s="54" t="s">
        <v>25</v>
      </c>
      <c r="D14" s="55" t="s">
        <v>29</v>
      </c>
      <c r="E14" s="62">
        <v>2.5399999999999997E-3</v>
      </c>
    </row>
    <row r="15" spans="2:5" x14ac:dyDescent="0.25">
      <c r="B15" s="53" t="s">
        <v>20</v>
      </c>
      <c r="C15" s="54" t="s">
        <v>25</v>
      </c>
      <c r="D15" s="55" t="s">
        <v>31</v>
      </c>
      <c r="E15" s="62">
        <v>5.6200000000000026E-3</v>
      </c>
    </row>
    <row r="16" spans="2:5" x14ac:dyDescent="0.25">
      <c r="B16" s="53" t="s">
        <v>20</v>
      </c>
      <c r="C16" s="54" t="s">
        <v>25</v>
      </c>
      <c r="D16" s="55" t="s">
        <v>32</v>
      </c>
      <c r="E16" s="62">
        <v>4.1300000000000009E-3</v>
      </c>
    </row>
    <row r="17" spans="2:5" x14ac:dyDescent="0.25">
      <c r="B17" s="53" t="s">
        <v>20</v>
      </c>
      <c r="C17" s="54" t="s">
        <v>25</v>
      </c>
      <c r="D17" s="55" t="s">
        <v>24</v>
      </c>
      <c r="E17" s="62">
        <v>3.1700000000000014E-3</v>
      </c>
    </row>
    <row r="18" spans="2:5" x14ac:dyDescent="0.25">
      <c r="B18" s="53" t="s">
        <v>20</v>
      </c>
      <c r="C18" s="54" t="s">
        <v>26</v>
      </c>
      <c r="D18" s="55" t="s">
        <v>32</v>
      </c>
      <c r="E18" s="62">
        <v>3.9399999999999999E-3</v>
      </c>
    </row>
    <row r="19" spans="2:5" x14ac:dyDescent="0.25">
      <c r="B19" s="53" t="s">
        <v>20</v>
      </c>
      <c r="C19" s="54" t="s">
        <v>25</v>
      </c>
      <c r="D19" s="55" t="s">
        <v>24</v>
      </c>
      <c r="E19" s="62">
        <v>6.9000000000000025E-3</v>
      </c>
    </row>
    <row r="20" spans="2:5" x14ac:dyDescent="0.25">
      <c r="B20" s="53" t="s">
        <v>20</v>
      </c>
      <c r="C20" s="54" t="s">
        <v>26</v>
      </c>
      <c r="D20" s="55" t="s">
        <v>24</v>
      </c>
      <c r="E20" s="62">
        <v>1.6400000000000002E-3</v>
      </c>
    </row>
    <row r="21" spans="2:5" x14ac:dyDescent="0.25">
      <c r="B21" s="53" t="s">
        <v>20</v>
      </c>
      <c r="C21" s="54" t="s">
        <v>26</v>
      </c>
      <c r="D21" s="55" t="s">
        <v>31</v>
      </c>
      <c r="E21" s="62">
        <v>4.910000000000002E-3</v>
      </c>
    </row>
    <row r="22" spans="2:5" x14ac:dyDescent="0.25">
      <c r="B22" s="53" t="s">
        <v>20</v>
      </c>
      <c r="C22" s="54" t="s">
        <v>23</v>
      </c>
      <c r="D22" s="55" t="s">
        <v>28</v>
      </c>
      <c r="E22" s="62">
        <v>2.8799999999999997E-3</v>
      </c>
    </row>
    <row r="23" spans="2:5" x14ac:dyDescent="0.25">
      <c r="B23" s="53" t="s">
        <v>20</v>
      </c>
      <c r="C23" s="54" t="s">
        <v>26</v>
      </c>
      <c r="D23" s="55" t="s">
        <v>33</v>
      </c>
      <c r="E23" s="62">
        <v>2.9600000000000013E-3</v>
      </c>
    </row>
    <row r="24" spans="2:5" x14ac:dyDescent="0.25">
      <c r="B24" s="53" t="s">
        <v>20</v>
      </c>
      <c r="C24" s="54" t="s">
        <v>25</v>
      </c>
      <c r="D24" s="55" t="s">
        <v>28</v>
      </c>
      <c r="E24" s="62">
        <v>2.5299999999999997E-3</v>
      </c>
    </row>
    <row r="25" spans="2:5" x14ac:dyDescent="0.25">
      <c r="B25" s="53" t="s">
        <v>20</v>
      </c>
      <c r="C25" s="54" t="s">
        <v>26</v>
      </c>
      <c r="D25" s="55" t="s">
        <v>24</v>
      </c>
      <c r="E25" s="62">
        <v>2.4099999999999989E-3</v>
      </c>
    </row>
    <row r="26" spans="2:5" x14ac:dyDescent="0.25">
      <c r="B26" s="53" t="s">
        <v>20</v>
      </c>
      <c r="C26" s="54" t="s">
        <v>26</v>
      </c>
      <c r="D26" s="55" t="s">
        <v>33</v>
      </c>
      <c r="E26" s="62">
        <v>3.0700000000000011E-3</v>
      </c>
    </row>
    <row r="27" spans="2:5" x14ac:dyDescent="0.25">
      <c r="B27" s="53" t="s">
        <v>20</v>
      </c>
      <c r="C27" s="54" t="s">
        <v>23</v>
      </c>
      <c r="D27" s="55" t="s">
        <v>27</v>
      </c>
      <c r="E27" s="62">
        <v>3.7899999999999991E-3</v>
      </c>
    </row>
    <row r="28" spans="2:5" x14ac:dyDescent="0.25">
      <c r="B28" s="53" t="s">
        <v>20</v>
      </c>
      <c r="C28" s="54" t="s">
        <v>26</v>
      </c>
      <c r="D28" s="55" t="s">
        <v>24</v>
      </c>
      <c r="E28" s="62">
        <v>5.5700000000000003E-3</v>
      </c>
    </row>
    <row r="29" spans="2:5" x14ac:dyDescent="0.25">
      <c r="B29" s="53" t="s">
        <v>20</v>
      </c>
      <c r="C29" s="54" t="s">
        <v>26</v>
      </c>
      <c r="D29" s="55" t="s">
        <v>24</v>
      </c>
      <c r="E29" s="62">
        <v>5.1999999999999989E-3</v>
      </c>
    </row>
    <row r="30" spans="2:5" x14ac:dyDescent="0.25">
      <c r="B30" s="53" t="s">
        <v>20</v>
      </c>
      <c r="C30" s="54" t="s">
        <v>26</v>
      </c>
      <c r="D30" s="55" t="s">
        <v>29</v>
      </c>
      <c r="E30" s="62">
        <v>3.4000000000000007E-3</v>
      </c>
    </row>
    <row r="31" spans="2:5" x14ac:dyDescent="0.25">
      <c r="B31" s="53" t="s">
        <v>20</v>
      </c>
      <c r="C31" s="54" t="s">
        <v>25</v>
      </c>
      <c r="D31" s="55" t="s">
        <v>28</v>
      </c>
      <c r="E31" s="62">
        <v>5.4899999999999984E-3</v>
      </c>
    </row>
    <row r="32" spans="2:5" x14ac:dyDescent="0.25">
      <c r="B32" s="53" t="s">
        <v>20</v>
      </c>
      <c r="C32" s="54" t="s">
        <v>23</v>
      </c>
      <c r="D32" s="55" t="s">
        <v>28</v>
      </c>
      <c r="E32" s="62">
        <v>2.9199999999999994E-3</v>
      </c>
    </row>
    <row r="33" spans="2:5" x14ac:dyDescent="0.25">
      <c r="B33" s="53" t="s">
        <v>20</v>
      </c>
      <c r="C33" s="54" t="s">
        <v>23</v>
      </c>
      <c r="D33" s="55" t="s">
        <v>30</v>
      </c>
      <c r="E33" s="62">
        <v>2.5299999999999997E-3</v>
      </c>
    </row>
    <row r="34" spans="2:5" x14ac:dyDescent="0.25">
      <c r="B34" s="53" t="s">
        <v>20</v>
      </c>
      <c r="C34" s="54" t="s">
        <v>26</v>
      </c>
      <c r="D34" s="55" t="s">
        <v>24</v>
      </c>
      <c r="E34" s="62">
        <v>5.0299999999999989E-3</v>
      </c>
    </row>
    <row r="35" spans="2:5" x14ac:dyDescent="0.25">
      <c r="B35" s="53" t="s">
        <v>20</v>
      </c>
      <c r="C35" s="54" t="s">
        <v>26</v>
      </c>
      <c r="D35" s="55" t="s">
        <v>31</v>
      </c>
      <c r="E35" s="62">
        <v>4.3499999999999997E-3</v>
      </c>
    </row>
    <row r="36" spans="2:5" x14ac:dyDescent="0.25">
      <c r="B36" s="53" t="s">
        <v>20</v>
      </c>
      <c r="C36" s="54" t="s">
        <v>34</v>
      </c>
      <c r="D36" s="55" t="s">
        <v>35</v>
      </c>
      <c r="E36" s="62">
        <v>3.3299999999999996E-3</v>
      </c>
    </row>
    <row r="37" spans="2:5" x14ac:dyDescent="0.25">
      <c r="B37" s="53" t="s">
        <v>20</v>
      </c>
      <c r="C37" s="54" t="s">
        <v>26</v>
      </c>
      <c r="D37" s="55" t="s">
        <v>24</v>
      </c>
      <c r="E37" s="62">
        <v>6.1000000000000004E-3</v>
      </c>
    </row>
    <row r="38" spans="2:5" x14ac:dyDescent="0.25">
      <c r="B38" s="53" t="s">
        <v>20</v>
      </c>
      <c r="C38" s="54" t="s">
        <v>36</v>
      </c>
      <c r="D38" s="55" t="s">
        <v>22</v>
      </c>
      <c r="E38" s="62">
        <v>5.4899999999999984E-3</v>
      </c>
    </row>
    <row r="39" spans="2:5" x14ac:dyDescent="0.25">
      <c r="B39" s="53" t="s">
        <v>20</v>
      </c>
      <c r="C39" s="54" t="s">
        <v>26</v>
      </c>
      <c r="D39" s="55" t="s">
        <v>28</v>
      </c>
      <c r="E39" s="62">
        <v>3.030000000000001E-3</v>
      </c>
    </row>
    <row r="40" spans="2:5" x14ac:dyDescent="0.25">
      <c r="B40" s="53" t="s">
        <v>20</v>
      </c>
      <c r="C40" s="54" t="s">
        <v>26</v>
      </c>
      <c r="D40" s="55" t="s">
        <v>28</v>
      </c>
      <c r="E40" s="62">
        <v>2.0699999999999989E-3</v>
      </c>
    </row>
    <row r="41" spans="2:5" x14ac:dyDescent="0.25">
      <c r="B41" s="53" t="s">
        <v>20</v>
      </c>
      <c r="C41" s="54" t="s">
        <v>26</v>
      </c>
      <c r="D41" s="55" t="s">
        <v>29</v>
      </c>
      <c r="E41" s="62">
        <v>3.2999999999999987E-3</v>
      </c>
    </row>
    <row r="42" spans="2:5" x14ac:dyDescent="0.25">
      <c r="B42" s="53" t="s">
        <v>20</v>
      </c>
      <c r="C42" s="54" t="s">
        <v>26</v>
      </c>
      <c r="D42" s="55" t="s">
        <v>31</v>
      </c>
      <c r="E42" s="62">
        <v>2.5299999999999997E-3</v>
      </c>
    </row>
    <row r="43" spans="2:5" x14ac:dyDescent="0.25">
      <c r="B43" s="53" t="s">
        <v>20</v>
      </c>
      <c r="C43" s="54" t="s">
        <v>26</v>
      </c>
      <c r="D43" s="55" t="s">
        <v>32</v>
      </c>
      <c r="E43" s="62">
        <v>5.6000000000000025E-3</v>
      </c>
    </row>
    <row r="44" spans="2:5" x14ac:dyDescent="0.25">
      <c r="B44" s="53" t="s">
        <v>20</v>
      </c>
      <c r="C44" s="54" t="s">
        <v>36</v>
      </c>
      <c r="D44" s="55" t="s">
        <v>32</v>
      </c>
      <c r="E44" s="62">
        <v>7.1799999999999971E-3</v>
      </c>
    </row>
    <row r="45" spans="2:5" x14ac:dyDescent="0.25">
      <c r="B45" s="53" t="s">
        <v>20</v>
      </c>
      <c r="C45" s="54" t="s">
        <v>26</v>
      </c>
      <c r="D45" s="55" t="s">
        <v>32</v>
      </c>
      <c r="E45" s="62">
        <v>7.3200000000000027E-3</v>
      </c>
    </row>
    <row r="46" spans="2:5" x14ac:dyDescent="0.25">
      <c r="B46" s="53" t="s">
        <v>20</v>
      </c>
      <c r="C46" s="54" t="s">
        <v>26</v>
      </c>
      <c r="D46" s="55" t="s">
        <v>31</v>
      </c>
      <c r="E46" s="62">
        <v>2.5199999999999997E-3</v>
      </c>
    </row>
    <row r="47" spans="2:5" x14ac:dyDescent="0.25">
      <c r="B47" s="53" t="s">
        <v>20</v>
      </c>
      <c r="C47" s="54" t="s">
        <v>26</v>
      </c>
      <c r="D47" s="55" t="s">
        <v>24</v>
      </c>
      <c r="E47" s="62">
        <v>2.8100000000000009E-3</v>
      </c>
    </row>
    <row r="48" spans="2:5" x14ac:dyDescent="0.25">
      <c r="B48" s="53" t="s">
        <v>20</v>
      </c>
      <c r="C48" s="54" t="s">
        <v>26</v>
      </c>
      <c r="D48" s="55" t="s">
        <v>28</v>
      </c>
      <c r="E48" s="62">
        <v>6.0399999999999994E-3</v>
      </c>
    </row>
    <row r="49" spans="2:5" x14ac:dyDescent="0.25">
      <c r="B49" s="53" t="s">
        <v>20</v>
      </c>
      <c r="C49" s="54" t="s">
        <v>34</v>
      </c>
      <c r="D49" s="55" t="s">
        <v>37</v>
      </c>
      <c r="E49" s="62">
        <v>4.910000000000002E-3</v>
      </c>
    </row>
    <row r="50" spans="2:5" x14ac:dyDescent="0.25">
      <c r="B50" s="53" t="s">
        <v>20</v>
      </c>
      <c r="C50" s="54" t="s">
        <v>26</v>
      </c>
      <c r="D50" s="55" t="s">
        <v>33</v>
      </c>
      <c r="E50" s="62">
        <v>6.2599999999999973E-3</v>
      </c>
    </row>
    <row r="51" spans="2:5" x14ac:dyDescent="0.25">
      <c r="B51" s="53" t="s">
        <v>20</v>
      </c>
      <c r="C51" s="54" t="s">
        <v>26</v>
      </c>
      <c r="D51" s="55" t="s">
        <v>24</v>
      </c>
      <c r="E51" s="62">
        <v>2.0699999999999989E-3</v>
      </c>
    </row>
    <row r="52" spans="2:5" x14ac:dyDescent="0.25">
      <c r="B52" s="53" t="s">
        <v>20</v>
      </c>
      <c r="C52" s="54" t="s">
        <v>23</v>
      </c>
      <c r="D52" s="55" t="s">
        <v>22</v>
      </c>
      <c r="E52" s="62">
        <v>2.7500000000000007E-3</v>
      </c>
    </row>
    <row r="53" spans="2:5" x14ac:dyDescent="0.25">
      <c r="B53" s="53" t="s">
        <v>20</v>
      </c>
      <c r="C53" s="54" t="s">
        <v>23</v>
      </c>
      <c r="D53" s="55" t="s">
        <v>22</v>
      </c>
      <c r="E53" s="62">
        <v>2.63E-3</v>
      </c>
    </row>
    <row r="54" spans="2:5" x14ac:dyDescent="0.25">
      <c r="B54" s="53" t="s">
        <v>20</v>
      </c>
      <c r="C54" s="54" t="s">
        <v>26</v>
      </c>
      <c r="D54" s="55" t="s">
        <v>22</v>
      </c>
      <c r="E54" s="62">
        <v>2.2199999999999993E-3</v>
      </c>
    </row>
    <row r="55" spans="2:5" x14ac:dyDescent="0.25">
      <c r="B55" s="56" t="s">
        <v>20</v>
      </c>
      <c r="C55" s="57" t="s">
        <v>26</v>
      </c>
      <c r="D55" s="58" t="s">
        <v>30</v>
      </c>
      <c r="E55" s="62">
        <v>1.9799999999999996E-3</v>
      </c>
    </row>
    <row r="56" spans="2:5" x14ac:dyDescent="0.25">
      <c r="B56" s="56" t="s">
        <v>20</v>
      </c>
      <c r="C56" s="57" t="s">
        <v>26</v>
      </c>
      <c r="D56" s="58" t="s">
        <v>32</v>
      </c>
      <c r="E56" s="62">
        <v>6.729999999999999E-3</v>
      </c>
    </row>
    <row r="57" spans="2:5" x14ac:dyDescent="0.25">
      <c r="B57" s="56" t="s">
        <v>20</v>
      </c>
      <c r="C57" s="57" t="s">
        <v>26</v>
      </c>
      <c r="D57" s="58" t="s">
        <v>22</v>
      </c>
      <c r="E57" s="62">
        <v>4.7600000000000012E-3</v>
      </c>
    </row>
    <row r="58" spans="2:5" x14ac:dyDescent="0.25">
      <c r="B58" s="56" t="s">
        <v>20</v>
      </c>
      <c r="C58" s="57" t="s">
        <v>26</v>
      </c>
      <c r="D58" s="58" t="s">
        <v>31</v>
      </c>
      <c r="E58" s="62">
        <v>6.7599999999999995E-3</v>
      </c>
    </row>
    <row r="59" spans="2:5" x14ac:dyDescent="0.25">
      <c r="B59" s="56" t="s">
        <v>20</v>
      </c>
      <c r="C59" s="57" t="s">
        <v>26</v>
      </c>
      <c r="D59" s="58" t="s">
        <v>22</v>
      </c>
      <c r="E59" s="62">
        <v>1.7399999999999998E-3</v>
      </c>
    </row>
    <row r="60" spans="2:5" x14ac:dyDescent="0.25">
      <c r="B60" s="56" t="s">
        <v>20</v>
      </c>
      <c r="C60" s="57" t="s">
        <v>25</v>
      </c>
      <c r="D60" s="58" t="s">
        <v>32</v>
      </c>
      <c r="E60" s="62">
        <v>4.9400000000000008E-3</v>
      </c>
    </row>
    <row r="61" spans="2:5" x14ac:dyDescent="0.25">
      <c r="B61" s="56" t="s">
        <v>20</v>
      </c>
      <c r="C61" s="57" t="s">
        <v>26</v>
      </c>
      <c r="D61" s="58" t="s">
        <v>24</v>
      </c>
      <c r="E61" s="62">
        <v>3.5400000000000015E-3</v>
      </c>
    </row>
    <row r="62" spans="2:5" x14ac:dyDescent="0.25">
      <c r="B62" s="56" t="s">
        <v>20</v>
      </c>
      <c r="C62" s="57" t="s">
        <v>26</v>
      </c>
      <c r="D62" s="58" t="s">
        <v>31</v>
      </c>
      <c r="E62" s="62">
        <v>4.6399999999999992E-3</v>
      </c>
    </row>
    <row r="63" spans="2:5" x14ac:dyDescent="0.25">
      <c r="B63" s="56" t="s">
        <v>20</v>
      </c>
      <c r="C63" s="57" t="s">
        <v>25</v>
      </c>
      <c r="D63" s="58" t="s">
        <v>22</v>
      </c>
      <c r="E63" s="62">
        <v>2.7799999999999991E-3</v>
      </c>
    </row>
    <row r="64" spans="2:5" x14ac:dyDescent="0.25">
      <c r="B64" s="56" t="s">
        <v>20</v>
      </c>
      <c r="C64" s="57" t="s">
        <v>26</v>
      </c>
      <c r="D64" s="58" t="s">
        <v>37</v>
      </c>
      <c r="E64" s="62">
        <v>3.2299999999999989E-3</v>
      </c>
    </row>
    <row r="65" spans="2:5" x14ac:dyDescent="0.25">
      <c r="B65" s="56" t="s">
        <v>20</v>
      </c>
      <c r="C65" s="57" t="s">
        <v>26</v>
      </c>
      <c r="D65" s="58" t="s">
        <v>37</v>
      </c>
      <c r="E65" s="62">
        <v>4.7400000000000012E-3</v>
      </c>
    </row>
    <row r="66" spans="2:5" x14ac:dyDescent="0.25">
      <c r="B66" s="56" t="s">
        <v>20</v>
      </c>
      <c r="C66" s="57" t="s">
        <v>25</v>
      </c>
      <c r="D66" s="58" t="s">
        <v>24</v>
      </c>
      <c r="E66" s="62">
        <v>4.1599999999999988E-3</v>
      </c>
    </row>
    <row r="67" spans="2:5" x14ac:dyDescent="0.25">
      <c r="B67" s="56" t="s">
        <v>20</v>
      </c>
      <c r="C67" s="57" t="s">
        <v>25</v>
      </c>
      <c r="D67" s="58" t="s">
        <v>37</v>
      </c>
      <c r="E67" s="62">
        <v>2.8400000000000001E-3</v>
      </c>
    </row>
    <row r="68" spans="2:5" x14ac:dyDescent="0.25">
      <c r="B68" s="56" t="s">
        <v>20</v>
      </c>
      <c r="C68" s="57" t="s">
        <v>26</v>
      </c>
      <c r="D68" s="58" t="s">
        <v>37</v>
      </c>
      <c r="E68" s="62">
        <v>3.5300000000000015E-3</v>
      </c>
    </row>
    <row r="69" spans="2:5" x14ac:dyDescent="0.25">
      <c r="B69" s="56" t="s">
        <v>20</v>
      </c>
      <c r="C69" s="57" t="s">
        <v>26</v>
      </c>
      <c r="D69" s="58" t="s">
        <v>24</v>
      </c>
      <c r="E69" s="62">
        <v>7.0000000000000027E-3</v>
      </c>
    </row>
    <row r="70" spans="2:5" x14ac:dyDescent="0.25">
      <c r="B70" s="56" t="s">
        <v>20</v>
      </c>
      <c r="C70" s="57" t="s">
        <v>26</v>
      </c>
      <c r="D70" s="58" t="s">
        <v>31</v>
      </c>
      <c r="E70" s="62">
        <v>5.5499999999999985E-3</v>
      </c>
    </row>
    <row r="71" spans="2:5" x14ac:dyDescent="0.25">
      <c r="B71" s="56" t="s">
        <v>20</v>
      </c>
      <c r="C71" s="57" t="s">
        <v>23</v>
      </c>
      <c r="D71" s="58" t="s">
        <v>24</v>
      </c>
      <c r="E71" s="62">
        <v>4.2300000000000011E-3</v>
      </c>
    </row>
    <row r="72" spans="2:5" x14ac:dyDescent="0.25">
      <c r="B72" s="56" t="s">
        <v>20</v>
      </c>
      <c r="C72" s="57" t="s">
        <v>25</v>
      </c>
      <c r="D72" s="58" t="s">
        <v>24</v>
      </c>
      <c r="E72" s="62">
        <v>4.1000000000000003E-3</v>
      </c>
    </row>
    <row r="73" spans="2:5" x14ac:dyDescent="0.25">
      <c r="B73" s="56" t="s">
        <v>20</v>
      </c>
      <c r="C73" s="57" t="s">
        <v>26</v>
      </c>
      <c r="D73" s="58" t="s">
        <v>31</v>
      </c>
      <c r="E73" s="62">
        <v>4.3400000000000001E-3</v>
      </c>
    </row>
    <row r="74" spans="2:5" x14ac:dyDescent="0.25">
      <c r="B74" s="56" t="s">
        <v>20</v>
      </c>
      <c r="C74" s="57" t="s">
        <v>25</v>
      </c>
      <c r="D74" s="58" t="s">
        <v>28</v>
      </c>
      <c r="E74" s="62">
        <v>2.3499999999999997E-3</v>
      </c>
    </row>
    <row r="75" spans="2:5" x14ac:dyDescent="0.25">
      <c r="B75" s="56" t="s">
        <v>20</v>
      </c>
      <c r="C75" s="57" t="s">
        <v>26</v>
      </c>
      <c r="D75" s="58" t="s">
        <v>27</v>
      </c>
      <c r="E75" s="62">
        <v>1.7600000000000005E-3</v>
      </c>
    </row>
    <row r="76" spans="2:5" x14ac:dyDescent="0.25">
      <c r="B76" s="56" t="s">
        <v>20</v>
      </c>
      <c r="C76" s="57" t="s">
        <v>26</v>
      </c>
      <c r="D76" s="58" t="s">
        <v>31</v>
      </c>
      <c r="E76" s="62">
        <v>2.5500000000000011E-3</v>
      </c>
    </row>
    <row r="77" spans="2:5" x14ac:dyDescent="0.25">
      <c r="B77" s="56" t="s">
        <v>20</v>
      </c>
      <c r="C77" s="57" t="s">
        <v>26</v>
      </c>
      <c r="D77" s="58" t="s">
        <v>28</v>
      </c>
      <c r="E77" s="62">
        <v>4.6199999999999982E-3</v>
      </c>
    </row>
    <row r="78" spans="2:5" x14ac:dyDescent="0.25">
      <c r="B78" s="56" t="s">
        <v>20</v>
      </c>
      <c r="C78" s="57" t="s">
        <v>25</v>
      </c>
      <c r="D78" s="58" t="s">
        <v>29</v>
      </c>
      <c r="E78" s="62">
        <v>2.2199999999999993E-3</v>
      </c>
    </row>
    <row r="79" spans="2:5" x14ac:dyDescent="0.25">
      <c r="B79" s="56" t="s">
        <v>20</v>
      </c>
      <c r="C79" s="57" t="s">
        <v>26</v>
      </c>
      <c r="D79" s="58" t="s">
        <v>24</v>
      </c>
      <c r="E79" s="62">
        <v>7.0200000000000028E-3</v>
      </c>
    </row>
    <row r="80" spans="2:5" x14ac:dyDescent="0.25">
      <c r="B80" s="56" t="s">
        <v>20</v>
      </c>
      <c r="C80" s="57" t="s">
        <v>26</v>
      </c>
      <c r="D80" s="58" t="s">
        <v>22</v>
      </c>
      <c r="E80" s="62">
        <v>3.8300000000000014E-3</v>
      </c>
    </row>
    <row r="81" spans="2:5" x14ac:dyDescent="0.25">
      <c r="B81" s="56" t="s">
        <v>20</v>
      </c>
      <c r="C81" s="57" t="s">
        <v>25</v>
      </c>
      <c r="D81" s="58" t="s">
        <v>28</v>
      </c>
      <c r="E81" s="62">
        <v>2.1899999999999997E-3</v>
      </c>
    </row>
    <row r="82" spans="2:5" x14ac:dyDescent="0.25">
      <c r="B82" s="56" t="s">
        <v>20</v>
      </c>
      <c r="C82" s="57" t="s">
        <v>26</v>
      </c>
      <c r="D82" s="58" t="s">
        <v>28</v>
      </c>
      <c r="E82" s="62">
        <v>5.0399999999999993E-3</v>
      </c>
    </row>
    <row r="83" spans="2:5" x14ac:dyDescent="0.25">
      <c r="B83" s="56" t="s">
        <v>20</v>
      </c>
      <c r="C83" s="57" t="s">
        <v>26</v>
      </c>
      <c r="D83" s="58" t="s">
        <v>37</v>
      </c>
      <c r="E83" s="62">
        <v>2.4899999999999987E-3</v>
      </c>
    </row>
    <row r="84" spans="2:5" x14ac:dyDescent="0.25">
      <c r="B84" s="56" t="s">
        <v>20</v>
      </c>
      <c r="C84" s="57" t="s">
        <v>23</v>
      </c>
      <c r="D84" s="58" t="s">
        <v>28</v>
      </c>
      <c r="E84" s="62">
        <v>2.9900000000000009E-3</v>
      </c>
    </row>
    <row r="85" spans="2:5" x14ac:dyDescent="0.25">
      <c r="B85" s="56" t="s">
        <v>20</v>
      </c>
      <c r="C85" s="57" t="s">
        <v>26</v>
      </c>
      <c r="D85" s="58" t="s">
        <v>31</v>
      </c>
      <c r="E85" s="62">
        <v>2.4400000000000003E-3</v>
      </c>
    </row>
    <row r="86" spans="2:5" x14ac:dyDescent="0.25">
      <c r="B86" s="56" t="s">
        <v>20</v>
      </c>
      <c r="C86" s="57" t="s">
        <v>36</v>
      </c>
      <c r="D86" s="58" t="s">
        <v>24</v>
      </c>
      <c r="E86" s="62">
        <v>7.4600000000000022E-3</v>
      </c>
    </row>
    <row r="87" spans="2:5" x14ac:dyDescent="0.25">
      <c r="B87" s="56" t="s">
        <v>20</v>
      </c>
      <c r="C87" s="57" t="s">
        <v>36</v>
      </c>
      <c r="D87" s="58" t="s">
        <v>37</v>
      </c>
      <c r="E87" s="62">
        <v>6.779999999999997E-3</v>
      </c>
    </row>
    <row r="88" spans="2:5" x14ac:dyDescent="0.25">
      <c r="B88" s="56" t="s">
        <v>20</v>
      </c>
      <c r="C88" s="57" t="s">
        <v>36</v>
      </c>
      <c r="D88" s="58" t="s">
        <v>24</v>
      </c>
      <c r="E88" s="62">
        <v>7.9899999999999971E-3</v>
      </c>
    </row>
    <row r="89" spans="2:5" x14ac:dyDescent="0.25">
      <c r="B89" s="56" t="s">
        <v>20</v>
      </c>
      <c r="C89" s="57" t="s">
        <v>25</v>
      </c>
      <c r="D89" s="58" t="s">
        <v>24</v>
      </c>
      <c r="E89" s="62">
        <v>4.5600000000000007E-3</v>
      </c>
    </row>
    <row r="90" spans="2:5" x14ac:dyDescent="0.25">
      <c r="B90" s="56" t="s">
        <v>20</v>
      </c>
      <c r="C90" s="57" t="s">
        <v>26</v>
      </c>
      <c r="D90" s="58" t="s">
        <v>30</v>
      </c>
      <c r="E90" s="62">
        <v>4.1999999999999989E-3</v>
      </c>
    </row>
    <row r="91" spans="2:5" x14ac:dyDescent="0.25">
      <c r="B91" s="56" t="s">
        <v>20</v>
      </c>
      <c r="C91" s="57" t="s">
        <v>26</v>
      </c>
      <c r="D91" s="58" t="s">
        <v>30</v>
      </c>
      <c r="E91" s="62">
        <v>4.5700000000000011E-3</v>
      </c>
    </row>
    <row r="92" spans="2:5" x14ac:dyDescent="0.25">
      <c r="B92" s="56" t="s">
        <v>20</v>
      </c>
      <c r="C92" s="57" t="s">
        <v>26</v>
      </c>
      <c r="D92" s="58" t="s">
        <v>30</v>
      </c>
      <c r="E92" s="62">
        <v>6.96E-3</v>
      </c>
    </row>
    <row r="93" spans="2:5" x14ac:dyDescent="0.25">
      <c r="B93" s="56" t="s">
        <v>20</v>
      </c>
      <c r="C93" s="57" t="s">
        <v>25</v>
      </c>
      <c r="D93" s="58" t="s">
        <v>35</v>
      </c>
      <c r="E93" s="62">
        <v>3.2899999999999995E-3</v>
      </c>
    </row>
    <row r="94" spans="2:5" x14ac:dyDescent="0.25">
      <c r="B94" s="56" t="s">
        <v>20</v>
      </c>
      <c r="C94" s="57" t="s">
        <v>21</v>
      </c>
      <c r="D94" s="58" t="s">
        <v>35</v>
      </c>
      <c r="E94" s="62">
        <v>4.8400000000000014E-3</v>
      </c>
    </row>
    <row r="95" spans="2:5" x14ac:dyDescent="0.25">
      <c r="B95" s="56" t="s">
        <v>20</v>
      </c>
      <c r="C95" s="57" t="s">
        <v>23</v>
      </c>
      <c r="D95" s="58" t="s">
        <v>31</v>
      </c>
      <c r="E95" s="62">
        <v>3.340000000000001E-3</v>
      </c>
    </row>
    <row r="96" spans="2:5" x14ac:dyDescent="0.25">
      <c r="B96" s="56" t="s">
        <v>20</v>
      </c>
      <c r="C96" s="57" t="s">
        <v>23</v>
      </c>
      <c r="D96" s="58" t="s">
        <v>35</v>
      </c>
      <c r="E96" s="62">
        <v>1.3899999999999993E-3</v>
      </c>
    </row>
    <row r="97" spans="2:5" x14ac:dyDescent="0.25">
      <c r="B97" s="56" t="s">
        <v>20</v>
      </c>
      <c r="C97" s="57" t="s">
        <v>26</v>
      </c>
      <c r="D97" s="58" t="s">
        <v>24</v>
      </c>
      <c r="E97" s="62">
        <v>4.6199999999999982E-3</v>
      </c>
    </row>
    <row r="98" spans="2:5" x14ac:dyDescent="0.25">
      <c r="B98" s="56" t="s">
        <v>20</v>
      </c>
      <c r="C98" s="57" t="s">
        <v>36</v>
      </c>
      <c r="D98" s="58" t="s">
        <v>33</v>
      </c>
      <c r="E98" s="62">
        <v>3.9700000000000004E-3</v>
      </c>
    </row>
    <row r="99" spans="2:5" x14ac:dyDescent="0.25">
      <c r="B99" s="56" t="s">
        <v>20</v>
      </c>
      <c r="C99" s="57" t="s">
        <v>23</v>
      </c>
      <c r="D99" s="58" t="s">
        <v>22</v>
      </c>
      <c r="E99" s="62">
        <v>3.7599999999999995E-3</v>
      </c>
    </row>
    <row r="100" spans="2:5" x14ac:dyDescent="0.25">
      <c r="B100" s="56" t="s">
        <v>20</v>
      </c>
      <c r="C100" s="57" t="s">
        <v>26</v>
      </c>
      <c r="D100" s="58" t="s">
        <v>28</v>
      </c>
      <c r="E100" s="62">
        <v>4.4599999999999996E-3</v>
      </c>
    </row>
    <row r="101" spans="2:5" x14ac:dyDescent="0.25">
      <c r="B101" s="56" t="s">
        <v>20</v>
      </c>
      <c r="C101" s="57" t="s">
        <v>25</v>
      </c>
      <c r="D101" s="58" t="s">
        <v>24</v>
      </c>
      <c r="E101" s="62">
        <v>6.0200000000000028E-3</v>
      </c>
    </row>
    <row r="102" spans="2:5" x14ac:dyDescent="0.25">
      <c r="B102" s="56" t="s">
        <v>20</v>
      </c>
      <c r="C102" s="57" t="s">
        <v>25</v>
      </c>
      <c r="D102" s="58" t="s">
        <v>24</v>
      </c>
      <c r="E102" s="62">
        <v>2.63E-3</v>
      </c>
    </row>
    <row r="103" spans="2:5" x14ac:dyDescent="0.25">
      <c r="B103" s="56" t="s">
        <v>20</v>
      </c>
      <c r="C103" s="57" t="s">
        <v>25</v>
      </c>
      <c r="D103" s="58" t="s">
        <v>24</v>
      </c>
      <c r="E103" s="62">
        <v>5.7000000000000011E-3</v>
      </c>
    </row>
    <row r="104" spans="2:5" x14ac:dyDescent="0.25">
      <c r="B104" s="56" t="s">
        <v>20</v>
      </c>
      <c r="C104" s="57" t="s">
        <v>23</v>
      </c>
      <c r="D104" s="58" t="s">
        <v>31</v>
      </c>
      <c r="E104" s="62">
        <v>3.0199999999999997E-3</v>
      </c>
    </row>
    <row r="105" spans="2:5" x14ac:dyDescent="0.25">
      <c r="B105" s="56" t="s">
        <v>20</v>
      </c>
      <c r="C105" s="57" t="s">
        <v>26</v>
      </c>
      <c r="D105" s="58" t="s">
        <v>31</v>
      </c>
      <c r="E105" s="62">
        <v>4.6299999999999996E-3</v>
      </c>
    </row>
    <row r="106" spans="2:5" x14ac:dyDescent="0.25">
      <c r="B106" s="56" t="s">
        <v>20</v>
      </c>
      <c r="C106" s="57" t="s">
        <v>25</v>
      </c>
      <c r="D106" s="58" t="s">
        <v>24</v>
      </c>
      <c r="E106" s="62">
        <v>4.7900000000000017E-3</v>
      </c>
    </row>
    <row r="107" spans="2:5" x14ac:dyDescent="0.25">
      <c r="B107" s="56" t="s">
        <v>20</v>
      </c>
      <c r="C107" s="57" t="s">
        <v>25</v>
      </c>
      <c r="D107" s="58" t="s">
        <v>24</v>
      </c>
      <c r="E107" s="62">
        <v>6.8600000000000024E-3</v>
      </c>
    </row>
    <row r="108" spans="2:5" x14ac:dyDescent="0.25">
      <c r="B108" s="56" t="s">
        <v>20</v>
      </c>
      <c r="C108" s="57" t="s">
        <v>26</v>
      </c>
      <c r="D108" s="58" t="s">
        <v>31</v>
      </c>
      <c r="E108" s="62">
        <v>2.8100000000000009E-3</v>
      </c>
    </row>
    <row r="109" spans="2:5" x14ac:dyDescent="0.25">
      <c r="B109" s="56" t="s">
        <v>20</v>
      </c>
      <c r="C109" s="57" t="s">
        <v>38</v>
      </c>
      <c r="D109" s="58" t="s">
        <v>24</v>
      </c>
      <c r="E109" s="62">
        <v>4.3899999999999998E-3</v>
      </c>
    </row>
    <row r="110" spans="2:5" x14ac:dyDescent="0.25">
      <c r="B110" s="56" t="s">
        <v>20</v>
      </c>
      <c r="C110" s="57" t="s">
        <v>36</v>
      </c>
      <c r="D110" s="58" t="s">
        <v>35</v>
      </c>
      <c r="E110" s="62">
        <v>6.1199999999999987E-3</v>
      </c>
    </row>
    <row r="111" spans="2:5" x14ac:dyDescent="0.25">
      <c r="B111" s="56" t="s">
        <v>20</v>
      </c>
      <c r="C111" s="57" t="s">
        <v>26</v>
      </c>
      <c r="D111" s="58" t="s">
        <v>24</v>
      </c>
      <c r="E111" s="62">
        <v>2.82E-3</v>
      </c>
    </row>
    <row r="112" spans="2:5" x14ac:dyDescent="0.25">
      <c r="B112" s="56" t="s">
        <v>20</v>
      </c>
      <c r="C112" s="57" t="s">
        <v>26</v>
      </c>
      <c r="D112" s="58" t="s">
        <v>29</v>
      </c>
      <c r="E112" s="62">
        <v>3.1099999999999986E-3</v>
      </c>
    </row>
    <row r="113" spans="2:5" x14ac:dyDescent="0.25">
      <c r="B113" s="56" t="s">
        <v>20</v>
      </c>
      <c r="C113" s="57" t="s">
        <v>26</v>
      </c>
      <c r="D113" s="58" t="s">
        <v>29</v>
      </c>
      <c r="E113" s="62">
        <v>1.6400000000000002E-3</v>
      </c>
    </row>
    <row r="114" spans="2:5" x14ac:dyDescent="0.25">
      <c r="B114" s="56" t="s">
        <v>20</v>
      </c>
      <c r="C114" s="57" t="s">
        <v>26</v>
      </c>
      <c r="D114" s="58" t="s">
        <v>24</v>
      </c>
      <c r="E114" s="62">
        <v>6.5700000000000021E-3</v>
      </c>
    </row>
    <row r="115" spans="2:5" x14ac:dyDescent="0.25">
      <c r="B115" s="56" t="s">
        <v>20</v>
      </c>
      <c r="C115" s="57" t="s">
        <v>23</v>
      </c>
      <c r="D115" s="58" t="s">
        <v>31</v>
      </c>
      <c r="E115" s="62">
        <v>3.0500000000000002E-3</v>
      </c>
    </row>
    <row r="116" spans="2:5" x14ac:dyDescent="0.25">
      <c r="B116" s="56" t="s">
        <v>20</v>
      </c>
      <c r="C116" s="57" t="s">
        <v>36</v>
      </c>
      <c r="D116" s="58" t="s">
        <v>24</v>
      </c>
      <c r="E116" s="62">
        <v>4.0400000000000011E-3</v>
      </c>
    </row>
    <row r="117" spans="2:5" x14ac:dyDescent="0.25">
      <c r="B117" s="56" t="s">
        <v>20</v>
      </c>
      <c r="C117" s="57" t="s">
        <v>23</v>
      </c>
      <c r="D117" s="58" t="s">
        <v>22</v>
      </c>
      <c r="E117" s="62">
        <v>2.7099999999999997E-3</v>
      </c>
    </row>
    <row r="118" spans="2:5" x14ac:dyDescent="0.25">
      <c r="B118" s="56" t="s">
        <v>20</v>
      </c>
      <c r="C118" s="57" t="s">
        <v>25</v>
      </c>
      <c r="D118" s="58" t="s">
        <v>28</v>
      </c>
      <c r="E118" s="62">
        <v>1.4199999999999998E-3</v>
      </c>
    </row>
    <row r="119" spans="2:5" x14ac:dyDescent="0.25">
      <c r="B119" s="56" t="s">
        <v>20</v>
      </c>
      <c r="C119" s="57" t="s">
        <v>26</v>
      </c>
      <c r="D119" s="58" t="s">
        <v>29</v>
      </c>
      <c r="E119" s="62">
        <v>3.010000000000001E-3</v>
      </c>
    </row>
    <row r="120" spans="2:5" x14ac:dyDescent="0.25">
      <c r="B120" s="56" t="s">
        <v>20</v>
      </c>
      <c r="C120" s="57" t="s">
        <v>26</v>
      </c>
      <c r="D120" s="58" t="s">
        <v>24</v>
      </c>
      <c r="E120" s="62">
        <v>3.4899999999999987E-3</v>
      </c>
    </row>
    <row r="121" spans="2:5" x14ac:dyDescent="0.25">
      <c r="B121" s="56" t="s">
        <v>20</v>
      </c>
      <c r="C121" s="57" t="s">
        <v>26</v>
      </c>
      <c r="D121" s="58" t="s">
        <v>22</v>
      </c>
      <c r="E121" s="62">
        <v>6.5600000000000016E-3</v>
      </c>
    </row>
    <row r="122" spans="2:5" x14ac:dyDescent="0.25">
      <c r="B122" s="56" t="s">
        <v>20</v>
      </c>
      <c r="C122" s="57" t="s">
        <v>23</v>
      </c>
      <c r="D122" s="58" t="s">
        <v>27</v>
      </c>
      <c r="E122" s="62">
        <v>2.6200000000000012E-3</v>
      </c>
    </row>
    <row r="123" spans="2:5" x14ac:dyDescent="0.25">
      <c r="B123" s="56" t="s">
        <v>20</v>
      </c>
      <c r="C123" s="57" t="s">
        <v>23</v>
      </c>
      <c r="D123" s="58" t="s">
        <v>31</v>
      </c>
      <c r="E123" s="62">
        <v>3.2999999999999987E-3</v>
      </c>
    </row>
    <row r="124" spans="2:5" x14ac:dyDescent="0.25">
      <c r="B124" s="56" t="s">
        <v>20</v>
      </c>
      <c r="C124" s="57" t="s">
        <v>23</v>
      </c>
      <c r="D124" s="58" t="s">
        <v>24</v>
      </c>
      <c r="E124" s="62">
        <v>2.429999999999999E-3</v>
      </c>
    </row>
    <row r="125" spans="2:5" x14ac:dyDescent="0.25">
      <c r="B125" s="56" t="s">
        <v>20</v>
      </c>
      <c r="C125" s="57" t="s">
        <v>23</v>
      </c>
      <c r="D125" s="58" t="s">
        <v>31</v>
      </c>
      <c r="E125" s="62">
        <v>3.2400000000000011E-3</v>
      </c>
    </row>
    <row r="126" spans="2:5" x14ac:dyDescent="0.25">
      <c r="B126" s="56" t="s">
        <v>20</v>
      </c>
      <c r="C126" s="57" t="s">
        <v>23</v>
      </c>
      <c r="D126" s="58" t="s">
        <v>32</v>
      </c>
      <c r="E126" s="62">
        <v>2.8600000000000014E-3</v>
      </c>
    </row>
    <row r="127" spans="2:5" x14ac:dyDescent="0.25">
      <c r="B127" s="56" t="s">
        <v>20</v>
      </c>
      <c r="C127" s="57" t="s">
        <v>23</v>
      </c>
      <c r="D127" s="58" t="s">
        <v>24</v>
      </c>
      <c r="E127" s="62">
        <v>3.0599999999999989E-3</v>
      </c>
    </row>
    <row r="128" spans="2:5" x14ac:dyDescent="0.25">
      <c r="B128" s="56" t="s">
        <v>20</v>
      </c>
      <c r="C128" s="57" t="s">
        <v>26</v>
      </c>
      <c r="D128" s="58" t="s">
        <v>24</v>
      </c>
      <c r="E128" s="62">
        <v>6.5999999999999974E-3</v>
      </c>
    </row>
    <row r="129" spans="2:5" x14ac:dyDescent="0.25">
      <c r="B129" s="56" t="s">
        <v>20</v>
      </c>
      <c r="C129" s="57" t="s">
        <v>26</v>
      </c>
      <c r="D129" s="58" t="s">
        <v>24</v>
      </c>
      <c r="E129" s="62">
        <v>3.81E-3</v>
      </c>
    </row>
    <row r="130" spans="2:5" x14ac:dyDescent="0.25">
      <c r="B130" s="56" t="s">
        <v>20</v>
      </c>
      <c r="C130" s="57" t="s">
        <v>26</v>
      </c>
      <c r="D130" s="58" t="s">
        <v>33</v>
      </c>
      <c r="E130" s="62">
        <v>3.1700000000000014E-3</v>
      </c>
    </row>
    <row r="131" spans="2:5" x14ac:dyDescent="0.25">
      <c r="B131" s="56" t="s">
        <v>20</v>
      </c>
      <c r="C131" s="57" t="s">
        <v>26</v>
      </c>
      <c r="D131" s="58" t="s">
        <v>22</v>
      </c>
      <c r="E131" s="62">
        <v>6.5700000000000021E-3</v>
      </c>
    </row>
    <row r="132" spans="2:5" x14ac:dyDescent="0.25">
      <c r="B132" s="56" t="s">
        <v>20</v>
      </c>
      <c r="C132" s="57" t="s">
        <v>26</v>
      </c>
      <c r="D132" s="58" t="s">
        <v>32</v>
      </c>
      <c r="E132" s="62">
        <v>5.1299999999999983E-3</v>
      </c>
    </row>
    <row r="133" spans="2:5" x14ac:dyDescent="0.25">
      <c r="B133" s="56" t="s">
        <v>20</v>
      </c>
      <c r="C133" s="57" t="s">
        <v>26</v>
      </c>
      <c r="D133" s="58" t="s">
        <v>28</v>
      </c>
      <c r="E133" s="62">
        <v>4.239999999999999E-3</v>
      </c>
    </row>
    <row r="134" spans="2:5" x14ac:dyDescent="0.25">
      <c r="B134" s="56" t="s">
        <v>20</v>
      </c>
      <c r="C134" s="57" t="s">
        <v>23</v>
      </c>
      <c r="D134" s="58" t="s">
        <v>33</v>
      </c>
      <c r="E134" s="62">
        <v>2.3E-3</v>
      </c>
    </row>
    <row r="135" spans="2:5" x14ac:dyDescent="0.25">
      <c r="B135" s="56" t="s">
        <v>20</v>
      </c>
      <c r="C135" s="57" t="s">
        <v>23</v>
      </c>
      <c r="D135" s="58" t="s">
        <v>28</v>
      </c>
      <c r="E135" s="62">
        <v>4.3400000000000001E-3</v>
      </c>
    </row>
    <row r="136" spans="2:5" x14ac:dyDescent="0.25">
      <c r="B136" s="56" t="s">
        <v>20</v>
      </c>
      <c r="C136" s="57" t="s">
        <v>23</v>
      </c>
      <c r="D136" s="58" t="s">
        <v>24</v>
      </c>
      <c r="E136" s="62">
        <v>5.0399999999999993E-3</v>
      </c>
    </row>
    <row r="137" spans="2:5" x14ac:dyDescent="0.25">
      <c r="B137" s="56" t="s">
        <v>20</v>
      </c>
      <c r="C137" s="57" t="s">
        <v>26</v>
      </c>
      <c r="D137" s="58" t="s">
        <v>30</v>
      </c>
      <c r="E137" s="62">
        <v>3.3799999999999998E-3</v>
      </c>
    </row>
    <row r="138" spans="2:5" x14ac:dyDescent="0.25">
      <c r="B138" s="56" t="s">
        <v>20</v>
      </c>
      <c r="C138" s="57" t="s">
        <v>23</v>
      </c>
      <c r="D138" s="58" t="s">
        <v>24</v>
      </c>
      <c r="E138" s="62">
        <v>4.1000000000000003E-3</v>
      </c>
    </row>
    <row r="139" spans="2:5" x14ac:dyDescent="0.25">
      <c r="B139" s="56" t="s">
        <v>20</v>
      </c>
      <c r="C139" s="57" t="s">
        <v>26</v>
      </c>
      <c r="D139" s="58" t="s">
        <v>24</v>
      </c>
      <c r="E139" s="62">
        <v>6.6900000000000015E-3</v>
      </c>
    </row>
    <row r="140" spans="2:5" x14ac:dyDescent="0.25">
      <c r="B140" s="56" t="s">
        <v>20</v>
      </c>
      <c r="C140" s="57" t="s">
        <v>36</v>
      </c>
      <c r="D140" s="58" t="s">
        <v>32</v>
      </c>
      <c r="E140" s="62">
        <v>7.3200000000000027E-3</v>
      </c>
    </row>
    <row r="141" spans="2:5" x14ac:dyDescent="0.25">
      <c r="B141" s="56" t="s">
        <v>20</v>
      </c>
      <c r="C141" s="57" t="s">
        <v>39</v>
      </c>
      <c r="D141" s="58" t="s">
        <v>35</v>
      </c>
      <c r="E141" s="62">
        <v>5.2399999999999981E-3</v>
      </c>
    </row>
    <row r="142" spans="2:5" x14ac:dyDescent="0.25">
      <c r="B142" s="56" t="s">
        <v>20</v>
      </c>
      <c r="C142" s="57" t="s">
        <v>26</v>
      </c>
      <c r="D142" s="58" t="s">
        <v>27</v>
      </c>
      <c r="E142" s="62">
        <v>3.9399999999999999E-3</v>
      </c>
    </row>
    <row r="143" spans="2:5" x14ac:dyDescent="0.25">
      <c r="B143" s="56" t="s">
        <v>20</v>
      </c>
      <c r="C143" s="57" t="s">
        <v>26</v>
      </c>
      <c r="D143" s="58" t="s">
        <v>24</v>
      </c>
      <c r="E143" s="62">
        <v>5.0500000000000007E-3</v>
      </c>
    </row>
    <row r="144" spans="2:5" x14ac:dyDescent="0.25">
      <c r="B144" s="56" t="s">
        <v>20</v>
      </c>
      <c r="C144" s="57" t="s">
        <v>26</v>
      </c>
      <c r="D144" s="58" t="s">
        <v>24</v>
      </c>
      <c r="E144" s="62">
        <v>7.1000000000000004E-3</v>
      </c>
    </row>
    <row r="145" spans="2:5" x14ac:dyDescent="0.25">
      <c r="B145" s="56" t="s">
        <v>20</v>
      </c>
      <c r="C145" s="57" t="s">
        <v>26</v>
      </c>
      <c r="D145" s="58" t="s">
        <v>24</v>
      </c>
      <c r="E145" s="62">
        <v>6.729999999999999E-3</v>
      </c>
    </row>
    <row r="146" spans="2:5" x14ac:dyDescent="0.25">
      <c r="B146" s="56" t="s">
        <v>20</v>
      </c>
      <c r="C146" s="57" t="s">
        <v>25</v>
      </c>
      <c r="D146" s="58" t="s">
        <v>24</v>
      </c>
      <c r="E146" s="62">
        <v>5.4400000000000021E-3</v>
      </c>
    </row>
    <row r="147" spans="2:5" x14ac:dyDescent="0.25">
      <c r="B147" s="56" t="s">
        <v>20</v>
      </c>
      <c r="C147" s="57" t="s">
        <v>38</v>
      </c>
      <c r="D147" s="58" t="s">
        <v>24</v>
      </c>
      <c r="E147" s="62">
        <v>6.8500000000000002E-3</v>
      </c>
    </row>
    <row r="148" spans="2:5" x14ac:dyDescent="0.25">
      <c r="B148" s="56" t="s">
        <v>20</v>
      </c>
      <c r="C148" s="57" t="s">
        <v>26</v>
      </c>
      <c r="D148" s="58" t="s">
        <v>31</v>
      </c>
      <c r="E148" s="62">
        <v>1.9600000000000004E-3</v>
      </c>
    </row>
    <row r="149" spans="2:5" x14ac:dyDescent="0.25">
      <c r="B149" s="56" t="s">
        <v>20</v>
      </c>
      <c r="C149" s="57" t="s">
        <v>26</v>
      </c>
      <c r="D149" s="58" t="s">
        <v>24</v>
      </c>
      <c r="E149" s="62">
        <v>6.9000000000000025E-3</v>
      </c>
    </row>
    <row r="150" spans="2:5" x14ac:dyDescent="0.25">
      <c r="B150" s="56" t="s">
        <v>20</v>
      </c>
      <c r="C150" s="57" t="s">
        <v>38</v>
      </c>
      <c r="D150" s="58" t="s">
        <v>27</v>
      </c>
      <c r="E150" s="62">
        <v>4.859999999999998E-3</v>
      </c>
    </row>
    <row r="151" spans="2:5" x14ac:dyDescent="0.25">
      <c r="B151" s="56" t="s">
        <v>20</v>
      </c>
      <c r="C151" s="57" t="s">
        <v>26</v>
      </c>
      <c r="D151" s="58" t="s">
        <v>27</v>
      </c>
      <c r="E151" s="62">
        <v>5.1000000000000021E-3</v>
      </c>
    </row>
    <row r="152" spans="2:5" x14ac:dyDescent="0.25">
      <c r="B152" s="56" t="s">
        <v>20</v>
      </c>
      <c r="C152" s="57" t="s">
        <v>26</v>
      </c>
      <c r="D152" s="58" t="s">
        <v>31</v>
      </c>
      <c r="E152" s="62">
        <v>6.3200000000000001E-3</v>
      </c>
    </row>
    <row r="153" spans="2:5" x14ac:dyDescent="0.25">
      <c r="B153" s="56" t="s">
        <v>20</v>
      </c>
      <c r="C153" s="57" t="s">
        <v>25</v>
      </c>
      <c r="D153" s="58" t="s">
        <v>24</v>
      </c>
      <c r="E153" s="62">
        <v>7.9100000000000021E-3</v>
      </c>
    </row>
    <row r="154" spans="2:5" x14ac:dyDescent="0.25">
      <c r="B154" s="56" t="s">
        <v>20</v>
      </c>
      <c r="C154" s="57" t="s">
        <v>36</v>
      </c>
      <c r="D154" s="58" t="s">
        <v>33</v>
      </c>
      <c r="E154" s="62">
        <v>3.8699999999999997E-3</v>
      </c>
    </row>
    <row r="155" spans="2:5" x14ac:dyDescent="0.25">
      <c r="B155" s="56" t="s">
        <v>20</v>
      </c>
      <c r="C155" s="57" t="s">
        <v>36</v>
      </c>
      <c r="D155" s="58" t="s">
        <v>35</v>
      </c>
      <c r="E155" s="62">
        <v>5.2699999999999995E-3</v>
      </c>
    </row>
    <row r="156" spans="2:5" x14ac:dyDescent="0.25">
      <c r="B156" s="56" t="s">
        <v>20</v>
      </c>
      <c r="C156" s="57" t="s">
        <v>26</v>
      </c>
      <c r="D156" s="58" t="s">
        <v>28</v>
      </c>
      <c r="E156" s="62">
        <v>4.1000000000000003E-3</v>
      </c>
    </row>
    <row r="157" spans="2:5" x14ac:dyDescent="0.25">
      <c r="B157" s="56" t="s">
        <v>20</v>
      </c>
      <c r="C157" s="57" t="s">
        <v>26</v>
      </c>
      <c r="D157" s="58" t="s">
        <v>29</v>
      </c>
      <c r="E157" s="62">
        <v>3.3799999999999998E-3</v>
      </c>
    </row>
    <row r="158" spans="2:5" x14ac:dyDescent="0.25">
      <c r="B158" s="56" t="s">
        <v>20</v>
      </c>
      <c r="C158" s="57" t="s">
        <v>26</v>
      </c>
      <c r="D158" s="58" t="s">
        <v>28</v>
      </c>
      <c r="E158" s="62">
        <v>5.5599999999999981E-3</v>
      </c>
    </row>
    <row r="159" spans="2:5" x14ac:dyDescent="0.25">
      <c r="B159" s="56" t="s">
        <v>20</v>
      </c>
      <c r="C159" s="57" t="s">
        <v>26</v>
      </c>
      <c r="D159" s="58" t="s">
        <v>24</v>
      </c>
      <c r="E159" s="62">
        <v>4.5700000000000011E-3</v>
      </c>
    </row>
    <row r="160" spans="2:5" x14ac:dyDescent="0.25">
      <c r="B160" s="56" t="s">
        <v>20</v>
      </c>
      <c r="C160" s="57" t="s">
        <v>36</v>
      </c>
      <c r="D160" s="58" t="s">
        <v>24</v>
      </c>
      <c r="E160" s="62">
        <v>4.429999999999999E-3</v>
      </c>
    </row>
    <row r="161" spans="2:5" x14ac:dyDescent="0.25">
      <c r="B161" s="56" t="s">
        <v>20</v>
      </c>
      <c r="C161" s="57" t="s">
        <v>25</v>
      </c>
      <c r="D161" s="58" t="s">
        <v>31</v>
      </c>
      <c r="E161" s="62">
        <v>2.099999999999999E-3</v>
      </c>
    </row>
    <row r="162" spans="2:5" x14ac:dyDescent="0.25">
      <c r="B162" s="56" t="s">
        <v>20</v>
      </c>
      <c r="C162" s="57" t="s">
        <v>26</v>
      </c>
      <c r="D162" s="58" t="s">
        <v>24</v>
      </c>
      <c r="E162" s="62">
        <v>5.6400000000000009E-3</v>
      </c>
    </row>
    <row r="163" spans="2:5" x14ac:dyDescent="0.25">
      <c r="B163" s="56" t="s">
        <v>20</v>
      </c>
      <c r="C163" s="57" t="s">
        <v>26</v>
      </c>
      <c r="D163" s="58" t="s">
        <v>24</v>
      </c>
      <c r="E163" s="62">
        <v>5.6899999999999989E-3</v>
      </c>
    </row>
    <row r="164" spans="2:5" x14ac:dyDescent="0.25">
      <c r="B164" s="56" t="s">
        <v>20</v>
      </c>
      <c r="C164" s="57" t="s">
        <v>36</v>
      </c>
      <c r="D164" s="58" t="s">
        <v>33</v>
      </c>
      <c r="E164" s="62">
        <v>4.8900000000000002E-3</v>
      </c>
    </row>
    <row r="165" spans="2:5" x14ac:dyDescent="0.25">
      <c r="B165" s="56" t="s">
        <v>20</v>
      </c>
      <c r="C165" s="57" t="s">
        <v>38</v>
      </c>
      <c r="D165" s="58" t="s">
        <v>33</v>
      </c>
      <c r="E165" s="62">
        <v>5.1299999999999983E-3</v>
      </c>
    </row>
    <row r="166" spans="2:5" x14ac:dyDescent="0.25">
      <c r="B166" s="56" t="s">
        <v>20</v>
      </c>
      <c r="C166" s="57" t="s">
        <v>39</v>
      </c>
      <c r="D166" s="58" t="s">
        <v>35</v>
      </c>
      <c r="E166" s="62">
        <v>3.5599999999999994E-3</v>
      </c>
    </row>
    <row r="167" spans="2:5" x14ac:dyDescent="0.25">
      <c r="B167" s="56" t="s">
        <v>20</v>
      </c>
      <c r="C167" s="57" t="s">
        <v>39</v>
      </c>
      <c r="D167" s="58" t="s">
        <v>35</v>
      </c>
      <c r="E167" s="62">
        <v>6.3200000000000001E-3</v>
      </c>
    </row>
    <row r="168" spans="2:5" x14ac:dyDescent="0.25">
      <c r="B168" s="56" t="s">
        <v>20</v>
      </c>
      <c r="C168" s="57" t="s">
        <v>25</v>
      </c>
      <c r="D168" s="58" t="s">
        <v>24</v>
      </c>
      <c r="E168" s="62">
        <v>3.3599999999999993E-3</v>
      </c>
    </row>
    <row r="169" spans="2:5" x14ac:dyDescent="0.25">
      <c r="B169" s="56" t="s">
        <v>20</v>
      </c>
      <c r="C169" s="57" t="s">
        <v>26</v>
      </c>
      <c r="D169" s="58" t="s">
        <v>31</v>
      </c>
      <c r="E169" s="62">
        <v>4.8900000000000002E-3</v>
      </c>
    </row>
    <row r="170" spans="2:5" x14ac:dyDescent="0.25">
      <c r="B170" s="56" t="s">
        <v>20</v>
      </c>
      <c r="C170" s="57" t="s">
        <v>25</v>
      </c>
      <c r="D170" s="58" t="s">
        <v>35</v>
      </c>
      <c r="E170" s="62">
        <v>4.1500000000000009E-3</v>
      </c>
    </row>
    <row r="171" spans="2:5" x14ac:dyDescent="0.25">
      <c r="B171" s="56" t="s">
        <v>20</v>
      </c>
      <c r="C171" s="57" t="s">
        <v>25</v>
      </c>
      <c r="D171" s="58" t="s">
        <v>24</v>
      </c>
      <c r="E171" s="62">
        <v>3.5300000000000015E-3</v>
      </c>
    </row>
    <row r="172" spans="2:5" x14ac:dyDescent="0.25">
      <c r="B172" s="56" t="s">
        <v>20</v>
      </c>
      <c r="C172" s="57" t="s">
        <v>23</v>
      </c>
      <c r="D172" s="58" t="s">
        <v>28</v>
      </c>
      <c r="E172" s="62">
        <v>3.7499999999999986E-3</v>
      </c>
    </row>
    <row r="173" spans="2:5" x14ac:dyDescent="0.25">
      <c r="B173" s="56" t="s">
        <v>20</v>
      </c>
      <c r="C173" s="57" t="s">
        <v>36</v>
      </c>
      <c r="D173" s="58" t="s">
        <v>24</v>
      </c>
      <c r="E173" s="62">
        <v>7.2599999999999965E-3</v>
      </c>
    </row>
    <row r="174" spans="2:5" x14ac:dyDescent="0.25">
      <c r="B174" s="56" t="s">
        <v>20</v>
      </c>
      <c r="C174" s="57" t="s">
        <v>26</v>
      </c>
      <c r="D174" s="58" t="s">
        <v>37</v>
      </c>
      <c r="E174" s="62">
        <v>5.9000000000000016E-3</v>
      </c>
    </row>
    <row r="175" spans="2:5" x14ac:dyDescent="0.25">
      <c r="B175" s="56" t="s">
        <v>20</v>
      </c>
      <c r="C175" s="57" t="s">
        <v>26</v>
      </c>
      <c r="D175" s="58" t="s">
        <v>37</v>
      </c>
      <c r="E175" s="62">
        <v>3.7599999999999995E-3</v>
      </c>
    </row>
    <row r="176" spans="2:5" x14ac:dyDescent="0.25">
      <c r="B176" s="56" t="s">
        <v>20</v>
      </c>
      <c r="C176" s="57" t="s">
        <v>36</v>
      </c>
      <c r="D176" s="58" t="s">
        <v>33</v>
      </c>
      <c r="E176" s="62">
        <v>7.5100000000000028E-3</v>
      </c>
    </row>
    <row r="177" spans="2:5" x14ac:dyDescent="0.25">
      <c r="B177" s="56" t="s">
        <v>20</v>
      </c>
      <c r="C177" s="57" t="s">
        <v>25</v>
      </c>
      <c r="D177" s="58" t="s">
        <v>33</v>
      </c>
      <c r="E177" s="62">
        <v>2.0299999999999993E-3</v>
      </c>
    </row>
    <row r="178" spans="2:5" x14ac:dyDescent="0.25">
      <c r="B178" s="56" t="s">
        <v>20</v>
      </c>
      <c r="C178" s="57" t="s">
        <v>38</v>
      </c>
      <c r="D178" s="58" t="s">
        <v>33</v>
      </c>
      <c r="E178" s="62">
        <v>4.8900000000000002E-3</v>
      </c>
    </row>
    <row r="179" spans="2:5" x14ac:dyDescent="0.25">
      <c r="B179" s="56" t="s">
        <v>20</v>
      </c>
      <c r="C179" s="57" t="s">
        <v>36</v>
      </c>
      <c r="D179" s="58" t="s">
        <v>22</v>
      </c>
      <c r="E179" s="62">
        <v>5.5799999999999982E-3</v>
      </c>
    </row>
    <row r="180" spans="2:5" x14ac:dyDescent="0.25">
      <c r="B180" s="56" t="s">
        <v>20</v>
      </c>
      <c r="C180" s="57" t="s">
        <v>25</v>
      </c>
      <c r="D180" s="58" t="s">
        <v>31</v>
      </c>
      <c r="E180" s="62">
        <v>2.8100000000000009E-3</v>
      </c>
    </row>
    <row r="181" spans="2:5" x14ac:dyDescent="0.25">
      <c r="B181" s="56" t="s">
        <v>20</v>
      </c>
      <c r="C181" s="57" t="s">
        <v>26</v>
      </c>
      <c r="D181" s="58" t="s">
        <v>31</v>
      </c>
      <c r="E181" s="62">
        <v>3.5400000000000015E-3</v>
      </c>
    </row>
    <row r="182" spans="2:5" x14ac:dyDescent="0.25">
      <c r="B182" s="56" t="s">
        <v>20</v>
      </c>
      <c r="C182" s="57" t="s">
        <v>26</v>
      </c>
      <c r="D182" s="58" t="s">
        <v>24</v>
      </c>
      <c r="E182" s="62">
        <v>5.5799999999999982E-3</v>
      </c>
    </row>
    <row r="183" spans="2:5" x14ac:dyDescent="0.25">
      <c r="B183" s="56" t="s">
        <v>20</v>
      </c>
      <c r="C183" s="57" t="s">
        <v>26</v>
      </c>
      <c r="D183" s="58" t="s">
        <v>24</v>
      </c>
      <c r="E183" s="62">
        <v>2.8299999999999996E-3</v>
      </c>
    </row>
    <row r="184" spans="2:5" x14ac:dyDescent="0.25">
      <c r="B184" s="56" t="s">
        <v>20</v>
      </c>
      <c r="C184" s="57" t="s">
        <v>25</v>
      </c>
      <c r="D184" s="58" t="s">
        <v>28</v>
      </c>
      <c r="E184" s="62">
        <v>1.4300000000000005E-3</v>
      </c>
    </row>
    <row r="185" spans="2:5" x14ac:dyDescent="0.25">
      <c r="B185" s="56" t="s">
        <v>20</v>
      </c>
      <c r="C185" s="57" t="s">
        <v>26</v>
      </c>
      <c r="D185" s="58" t="s">
        <v>31</v>
      </c>
      <c r="E185" s="62">
        <v>3.8900000000000011E-3</v>
      </c>
    </row>
    <row r="186" spans="2:5" x14ac:dyDescent="0.25">
      <c r="B186" s="56" t="s">
        <v>20</v>
      </c>
      <c r="C186" s="57" t="s">
        <v>26</v>
      </c>
      <c r="D186" s="58" t="s">
        <v>29</v>
      </c>
      <c r="E186" s="62">
        <v>3.3200000000000009E-3</v>
      </c>
    </row>
    <row r="187" spans="2:5" x14ac:dyDescent="0.25">
      <c r="B187" s="56" t="s">
        <v>20</v>
      </c>
      <c r="C187" s="57" t="s">
        <v>26</v>
      </c>
      <c r="D187" s="58" t="s">
        <v>28</v>
      </c>
      <c r="E187" s="62">
        <v>7.4600000000000022E-3</v>
      </c>
    </row>
    <row r="188" spans="2:5" x14ac:dyDescent="0.25">
      <c r="B188" s="56" t="s">
        <v>20</v>
      </c>
      <c r="C188" s="57" t="s">
        <v>26</v>
      </c>
      <c r="D188" s="58" t="s">
        <v>37</v>
      </c>
      <c r="E188" s="62">
        <v>2.3999999999999994E-3</v>
      </c>
    </row>
    <row r="189" spans="2:5" x14ac:dyDescent="0.25">
      <c r="B189" s="56" t="s">
        <v>20</v>
      </c>
      <c r="C189" s="57" t="s">
        <v>26</v>
      </c>
      <c r="D189" s="58" t="s">
        <v>24</v>
      </c>
      <c r="E189" s="62">
        <v>4.9899999999999996E-3</v>
      </c>
    </row>
    <row r="190" spans="2:5" x14ac:dyDescent="0.25">
      <c r="B190" s="56" t="s">
        <v>20</v>
      </c>
      <c r="C190" s="57" t="s">
        <v>26</v>
      </c>
      <c r="D190" s="58" t="s">
        <v>29</v>
      </c>
      <c r="E190" s="62">
        <v>1.6500000000000006E-3</v>
      </c>
    </row>
    <row r="191" spans="2:5" x14ac:dyDescent="0.25">
      <c r="B191" s="56" t="s">
        <v>20</v>
      </c>
      <c r="C191" s="57" t="s">
        <v>26</v>
      </c>
      <c r="D191" s="58" t="s">
        <v>37</v>
      </c>
      <c r="E191" s="62">
        <v>2.099999999999999E-3</v>
      </c>
    </row>
    <row r="192" spans="2:5" x14ac:dyDescent="0.25">
      <c r="B192" s="56" t="s">
        <v>20</v>
      </c>
      <c r="C192" s="57" t="s">
        <v>25</v>
      </c>
      <c r="D192" s="58" t="s">
        <v>24</v>
      </c>
      <c r="E192" s="62">
        <v>5.0299999999999989E-3</v>
      </c>
    </row>
    <row r="193" spans="2:5" x14ac:dyDescent="0.25">
      <c r="B193" s="56" t="s">
        <v>20</v>
      </c>
      <c r="C193" s="57" t="s">
        <v>25</v>
      </c>
      <c r="D193" s="58" t="s">
        <v>24</v>
      </c>
      <c r="E193" s="62">
        <v>3.2099999999999993E-3</v>
      </c>
    </row>
    <row r="194" spans="2:5" x14ac:dyDescent="0.25">
      <c r="B194" s="56" t="s">
        <v>20</v>
      </c>
      <c r="C194" s="57" t="s">
        <v>25</v>
      </c>
      <c r="D194" s="58" t="s">
        <v>27</v>
      </c>
      <c r="E194" s="62">
        <v>3.1300000000000013E-3</v>
      </c>
    </row>
    <row r="195" spans="2:5" x14ac:dyDescent="0.25">
      <c r="B195" s="56" t="s">
        <v>20</v>
      </c>
      <c r="C195" s="57" t="s">
        <v>25</v>
      </c>
      <c r="D195" s="58" t="s">
        <v>24</v>
      </c>
      <c r="E195" s="62">
        <v>4.0099999999999997E-3</v>
      </c>
    </row>
    <row r="196" spans="2:5" x14ac:dyDescent="0.25">
      <c r="B196" s="56" t="s">
        <v>20</v>
      </c>
      <c r="C196" s="57" t="s">
        <v>25</v>
      </c>
      <c r="D196" s="58" t="s">
        <v>28</v>
      </c>
      <c r="E196" s="62">
        <v>6.6499999999999988E-3</v>
      </c>
    </row>
    <row r="197" spans="2:5" x14ac:dyDescent="0.25">
      <c r="B197" s="56" t="s">
        <v>20</v>
      </c>
      <c r="C197" s="57" t="s">
        <v>25</v>
      </c>
      <c r="D197" s="58" t="s">
        <v>22</v>
      </c>
      <c r="E197" s="62">
        <v>2.4600000000000008E-3</v>
      </c>
    </row>
    <row r="198" spans="2:5" x14ac:dyDescent="0.25">
      <c r="B198" s="56" t="s">
        <v>20</v>
      </c>
      <c r="C198" s="57" t="s">
        <v>25</v>
      </c>
      <c r="D198" s="58" t="s">
        <v>27</v>
      </c>
      <c r="E198" s="62">
        <v>1.7200000000000006E-3</v>
      </c>
    </row>
    <row r="199" spans="2:5" x14ac:dyDescent="0.25">
      <c r="B199" s="56" t="s">
        <v>20</v>
      </c>
      <c r="C199" s="57" t="s">
        <v>25</v>
      </c>
      <c r="D199" s="58" t="s">
        <v>29</v>
      </c>
      <c r="E199" s="62">
        <v>1.9199999999999996E-3</v>
      </c>
    </row>
    <row r="200" spans="2:5" x14ac:dyDescent="0.25">
      <c r="B200" s="56" t="s">
        <v>20</v>
      </c>
      <c r="C200" s="57" t="s">
        <v>25</v>
      </c>
      <c r="D200" s="58" t="s">
        <v>24</v>
      </c>
      <c r="E200" s="62">
        <v>6.2299999999999986E-3</v>
      </c>
    </row>
    <row r="201" spans="2:5" x14ac:dyDescent="0.25">
      <c r="B201" s="56" t="s">
        <v>20</v>
      </c>
      <c r="C201" s="57" t="s">
        <v>25</v>
      </c>
      <c r="D201" s="58" t="s">
        <v>24</v>
      </c>
      <c r="E201" s="62">
        <v>4.9600000000000009E-3</v>
      </c>
    </row>
    <row r="202" spans="2:5" x14ac:dyDescent="0.25">
      <c r="B202" s="56" t="s">
        <v>20</v>
      </c>
      <c r="C202" s="57" t="s">
        <v>25</v>
      </c>
      <c r="D202" s="58" t="s">
        <v>24</v>
      </c>
      <c r="E202" s="62">
        <v>3.3900000000000011E-3</v>
      </c>
    </row>
    <row r="203" spans="2:5" x14ac:dyDescent="0.25">
      <c r="B203" s="56" t="s">
        <v>20</v>
      </c>
      <c r="C203" s="57" t="s">
        <v>25</v>
      </c>
      <c r="D203" s="58" t="s">
        <v>28</v>
      </c>
      <c r="E203" s="62">
        <v>3.8199999999999996E-3</v>
      </c>
    </row>
    <row r="204" spans="2:5" x14ac:dyDescent="0.25">
      <c r="B204" s="56" t="s">
        <v>20</v>
      </c>
      <c r="C204" s="57" t="s">
        <v>25</v>
      </c>
      <c r="D204" s="58" t="s">
        <v>24</v>
      </c>
      <c r="E204" s="62">
        <v>6.0399999999999994E-3</v>
      </c>
    </row>
    <row r="205" spans="2:5" x14ac:dyDescent="0.25">
      <c r="B205" s="56" t="s">
        <v>20</v>
      </c>
      <c r="C205" s="57" t="s">
        <v>25</v>
      </c>
      <c r="D205" s="58" t="s">
        <v>24</v>
      </c>
      <c r="E205" s="62">
        <v>4.0900000000000008E-3</v>
      </c>
    </row>
    <row r="206" spans="2:5" x14ac:dyDescent="0.25">
      <c r="B206" s="56" t="s">
        <v>20</v>
      </c>
      <c r="C206" s="57" t="s">
        <v>25</v>
      </c>
      <c r="D206" s="58" t="s">
        <v>27</v>
      </c>
      <c r="E206" s="62">
        <v>2.1099999999999999E-3</v>
      </c>
    </row>
    <row r="207" spans="2:5" x14ac:dyDescent="0.25">
      <c r="B207" s="56" t="s">
        <v>20</v>
      </c>
      <c r="C207" s="57" t="s">
        <v>25</v>
      </c>
      <c r="D207" s="58" t="s">
        <v>24</v>
      </c>
      <c r="E207" s="62">
        <v>3.0500000000000002E-3</v>
      </c>
    </row>
    <row r="208" spans="2:5" x14ac:dyDescent="0.25">
      <c r="B208" s="56" t="s">
        <v>20</v>
      </c>
      <c r="C208" s="57" t="s">
        <v>25</v>
      </c>
      <c r="D208" s="58" t="s">
        <v>22</v>
      </c>
      <c r="E208" s="62">
        <v>4.8199999999999988E-3</v>
      </c>
    </row>
    <row r="209" spans="2:5" x14ac:dyDescent="0.25">
      <c r="B209" s="56" t="s">
        <v>20</v>
      </c>
      <c r="C209" s="57" t="s">
        <v>25</v>
      </c>
      <c r="D209" s="58" t="s">
        <v>24</v>
      </c>
      <c r="E209" s="62">
        <v>4.4900000000000001E-3</v>
      </c>
    </row>
    <row r="210" spans="2:5" x14ac:dyDescent="0.25">
      <c r="B210" s="56" t="s">
        <v>20</v>
      </c>
      <c r="C210" s="57" t="s">
        <v>25</v>
      </c>
      <c r="D210" s="58" t="s">
        <v>24</v>
      </c>
      <c r="E210" s="62">
        <v>4.5800000000000007E-3</v>
      </c>
    </row>
    <row r="211" spans="2:5" x14ac:dyDescent="0.25">
      <c r="B211" s="56" t="s">
        <v>20</v>
      </c>
      <c r="C211" s="57" t="s">
        <v>25</v>
      </c>
      <c r="D211" s="58" t="s">
        <v>37</v>
      </c>
      <c r="E211" s="62">
        <v>2.4099999999999989E-3</v>
      </c>
    </row>
    <row r="212" spans="2:5" x14ac:dyDescent="0.25">
      <c r="B212" s="56" t="s">
        <v>20</v>
      </c>
      <c r="C212" s="57" t="s">
        <v>25</v>
      </c>
      <c r="D212" s="58" t="s">
        <v>28</v>
      </c>
      <c r="E212" s="62">
        <v>6.729999999999999E-3</v>
      </c>
    </row>
    <row r="213" spans="2:5" x14ac:dyDescent="0.25">
      <c r="B213" s="56" t="s">
        <v>20</v>
      </c>
      <c r="C213" s="57" t="s">
        <v>25</v>
      </c>
      <c r="D213" s="58" t="s">
        <v>31</v>
      </c>
      <c r="E213" s="62">
        <v>3.0399999999999997E-3</v>
      </c>
    </row>
    <row r="214" spans="2:5" x14ac:dyDescent="0.25">
      <c r="B214" s="56" t="s">
        <v>20</v>
      </c>
      <c r="C214" s="57" t="s">
        <v>25</v>
      </c>
      <c r="D214" s="58" t="s">
        <v>24</v>
      </c>
      <c r="E214" s="62">
        <v>7.2299999999999994E-3</v>
      </c>
    </row>
    <row r="215" spans="2:5" x14ac:dyDescent="0.25">
      <c r="B215" s="56" t="s">
        <v>20</v>
      </c>
      <c r="C215" s="57" t="s">
        <v>25</v>
      </c>
      <c r="D215" s="58" t="s">
        <v>37</v>
      </c>
      <c r="E215" s="62">
        <v>2.9300000000000003E-3</v>
      </c>
    </row>
    <row r="216" spans="2:5" x14ac:dyDescent="0.25">
      <c r="B216" s="56" t="s">
        <v>20</v>
      </c>
      <c r="C216" s="57" t="s">
        <v>25</v>
      </c>
      <c r="D216" s="58" t="s">
        <v>24</v>
      </c>
      <c r="E216" s="62">
        <v>7.3699999999999972E-3</v>
      </c>
    </row>
    <row r="217" spans="2:5" x14ac:dyDescent="0.25">
      <c r="B217" s="56" t="s">
        <v>20</v>
      </c>
      <c r="C217" s="57" t="s">
        <v>25</v>
      </c>
      <c r="D217" s="58" t="s">
        <v>24</v>
      </c>
      <c r="E217" s="62">
        <v>5.009999999999998E-3</v>
      </c>
    </row>
    <row r="218" spans="2:5" x14ac:dyDescent="0.25">
      <c r="B218" s="56" t="s">
        <v>20</v>
      </c>
      <c r="C218" s="57" t="s">
        <v>25</v>
      </c>
      <c r="D218" s="58" t="s">
        <v>22</v>
      </c>
      <c r="E218" s="62">
        <v>5.4800000000000005E-3</v>
      </c>
    </row>
    <row r="219" spans="2:5" x14ac:dyDescent="0.25">
      <c r="B219" s="56" t="s">
        <v>20</v>
      </c>
      <c r="C219" s="57" t="s">
        <v>25</v>
      </c>
      <c r="D219" s="58" t="s">
        <v>24</v>
      </c>
      <c r="E219" s="62">
        <v>3.5899999999999981E-3</v>
      </c>
    </row>
    <row r="220" spans="2:5" x14ac:dyDescent="0.25">
      <c r="B220" s="56" t="s">
        <v>20</v>
      </c>
      <c r="C220" s="57" t="s">
        <v>25</v>
      </c>
      <c r="D220" s="58" t="s">
        <v>28</v>
      </c>
      <c r="E220" s="62">
        <v>4.4399999999999986E-3</v>
      </c>
    </row>
    <row r="221" spans="2:5" x14ac:dyDescent="0.25">
      <c r="B221" s="56" t="s">
        <v>20</v>
      </c>
      <c r="C221" s="57" t="s">
        <v>25</v>
      </c>
      <c r="D221" s="58" t="s">
        <v>28</v>
      </c>
      <c r="E221" s="62">
        <v>4.3899999999999998E-3</v>
      </c>
    </row>
    <row r="222" spans="2:5" x14ac:dyDescent="0.25">
      <c r="B222" s="56" t="s">
        <v>20</v>
      </c>
      <c r="C222" s="57" t="s">
        <v>25</v>
      </c>
      <c r="D222" s="58" t="s">
        <v>24</v>
      </c>
      <c r="E222" s="62">
        <v>8.0299999999999972E-3</v>
      </c>
    </row>
    <row r="223" spans="2:5" x14ac:dyDescent="0.25">
      <c r="B223" s="56" t="s">
        <v>20</v>
      </c>
      <c r="C223" s="57" t="s">
        <v>25</v>
      </c>
      <c r="D223" s="58" t="s">
        <v>37</v>
      </c>
      <c r="E223" s="62">
        <v>2.2100000000000006E-3</v>
      </c>
    </row>
    <row r="224" spans="2:5" x14ac:dyDescent="0.25">
      <c r="B224" s="56" t="s">
        <v>20</v>
      </c>
      <c r="C224" s="57" t="s">
        <v>25</v>
      </c>
      <c r="D224" s="58" t="s">
        <v>24</v>
      </c>
      <c r="E224" s="62">
        <v>7.0200000000000028E-3</v>
      </c>
    </row>
    <row r="225" spans="2:5" x14ac:dyDescent="0.25">
      <c r="B225" s="56" t="s">
        <v>20</v>
      </c>
      <c r="C225" s="57" t="s">
        <v>25</v>
      </c>
      <c r="D225" s="58" t="s">
        <v>24</v>
      </c>
      <c r="E225" s="62">
        <v>4.4799999999999979E-3</v>
      </c>
    </row>
    <row r="226" spans="2:5" x14ac:dyDescent="0.25">
      <c r="B226" s="56" t="s">
        <v>20</v>
      </c>
      <c r="C226" s="57" t="s">
        <v>25</v>
      </c>
      <c r="D226" s="58" t="s">
        <v>24</v>
      </c>
      <c r="E226" s="62">
        <v>2.2299999999999998E-3</v>
      </c>
    </row>
    <row r="227" spans="2:5" x14ac:dyDescent="0.25">
      <c r="B227" s="56" t="s">
        <v>20</v>
      </c>
      <c r="C227" s="57" t="s">
        <v>25</v>
      </c>
      <c r="D227" s="58" t="s">
        <v>28</v>
      </c>
      <c r="E227" s="62">
        <v>3.7999999999999996E-3</v>
      </c>
    </row>
    <row r="228" spans="2:5" x14ac:dyDescent="0.25">
      <c r="B228" s="56" t="s">
        <v>20</v>
      </c>
      <c r="C228" s="57" t="s">
        <v>25</v>
      </c>
      <c r="D228" s="58" t="s">
        <v>33</v>
      </c>
      <c r="E228" s="62">
        <v>3.1400000000000013E-3</v>
      </c>
    </row>
    <row r="229" spans="2:5" x14ac:dyDescent="0.25">
      <c r="B229" s="56" t="s">
        <v>20</v>
      </c>
      <c r="C229" s="57" t="s">
        <v>25</v>
      </c>
      <c r="D229" s="58" t="s">
        <v>28</v>
      </c>
      <c r="E229" s="62">
        <v>5.850000000000001E-3</v>
      </c>
    </row>
    <row r="230" spans="2:5" x14ac:dyDescent="0.25">
      <c r="B230" s="56" t="s">
        <v>20</v>
      </c>
      <c r="C230" s="57" t="s">
        <v>25</v>
      </c>
      <c r="D230" s="58" t="s">
        <v>24</v>
      </c>
      <c r="E230" s="62">
        <v>4.080000000000002E-3</v>
      </c>
    </row>
    <row r="231" spans="2:5" x14ac:dyDescent="0.25">
      <c r="B231" s="56" t="s">
        <v>20</v>
      </c>
      <c r="C231" s="57" t="s">
        <v>23</v>
      </c>
      <c r="D231" s="58" t="s">
        <v>37</v>
      </c>
      <c r="E231" s="62">
        <v>2.2700000000000003E-3</v>
      </c>
    </row>
    <row r="232" spans="2:5" x14ac:dyDescent="0.25">
      <c r="B232" s="56" t="s">
        <v>20</v>
      </c>
      <c r="C232" s="57" t="s">
        <v>23</v>
      </c>
      <c r="D232" s="58" t="s">
        <v>24</v>
      </c>
      <c r="E232" s="62">
        <v>6.4199999999999986E-3</v>
      </c>
    </row>
    <row r="233" spans="2:5" x14ac:dyDescent="0.25">
      <c r="B233" s="56" t="s">
        <v>20</v>
      </c>
      <c r="C233" s="57" t="s">
        <v>23</v>
      </c>
      <c r="D233" s="58" t="s">
        <v>29</v>
      </c>
      <c r="E233" s="62">
        <v>4.1399999999999987E-3</v>
      </c>
    </row>
    <row r="234" spans="2:5" x14ac:dyDescent="0.25">
      <c r="B234" s="56" t="s">
        <v>20</v>
      </c>
      <c r="C234" s="57" t="s">
        <v>23</v>
      </c>
      <c r="D234" s="58" t="s">
        <v>28</v>
      </c>
      <c r="E234" s="62">
        <v>2.8400000000000001E-3</v>
      </c>
    </row>
    <row r="235" spans="2:5" x14ac:dyDescent="0.25">
      <c r="B235" s="56" t="s">
        <v>20</v>
      </c>
      <c r="C235" s="57" t="s">
        <v>23</v>
      </c>
      <c r="D235" s="58" t="s">
        <v>28</v>
      </c>
      <c r="E235" s="62">
        <v>2.3100000000000009E-3</v>
      </c>
    </row>
    <row r="236" spans="2:5" x14ac:dyDescent="0.25">
      <c r="B236" s="56" t="s">
        <v>20</v>
      </c>
      <c r="C236" s="57" t="s">
        <v>23</v>
      </c>
      <c r="D236" s="58" t="s">
        <v>24</v>
      </c>
      <c r="E236" s="62">
        <v>2.8299999999999996E-3</v>
      </c>
    </row>
    <row r="237" spans="2:5" x14ac:dyDescent="0.25">
      <c r="B237" s="56" t="s">
        <v>20</v>
      </c>
      <c r="C237" s="57" t="s">
        <v>23</v>
      </c>
      <c r="D237" s="58" t="s">
        <v>24</v>
      </c>
      <c r="E237" s="62">
        <v>3.8199999999999996E-3</v>
      </c>
    </row>
    <row r="238" spans="2:5" x14ac:dyDescent="0.25">
      <c r="B238" s="56" t="s">
        <v>20</v>
      </c>
      <c r="C238" s="57" t="s">
        <v>23</v>
      </c>
      <c r="D238" s="58" t="s">
        <v>24</v>
      </c>
      <c r="E238" s="62">
        <v>2.8000000000000008E-3</v>
      </c>
    </row>
    <row r="239" spans="2:5" x14ac:dyDescent="0.25">
      <c r="B239" s="56" t="s">
        <v>20</v>
      </c>
      <c r="C239" s="57" t="s">
        <v>23</v>
      </c>
      <c r="D239" s="58" t="s">
        <v>31</v>
      </c>
      <c r="E239" s="62">
        <v>3.6200000000000008E-3</v>
      </c>
    </row>
    <row r="240" spans="2:5" x14ac:dyDescent="0.25">
      <c r="B240" s="56" t="s">
        <v>20</v>
      </c>
      <c r="C240" s="57" t="s">
        <v>23</v>
      </c>
      <c r="D240" s="58" t="s">
        <v>24</v>
      </c>
      <c r="E240" s="62">
        <v>5.0299999999999989E-3</v>
      </c>
    </row>
    <row r="241" spans="2:5" x14ac:dyDescent="0.25">
      <c r="B241" s="56" t="s">
        <v>20</v>
      </c>
      <c r="C241" s="57" t="s">
        <v>23</v>
      </c>
      <c r="D241" s="58" t="s">
        <v>24</v>
      </c>
      <c r="E241" s="62">
        <v>6.0399999999999994E-3</v>
      </c>
    </row>
    <row r="242" spans="2:5" x14ac:dyDescent="0.25">
      <c r="B242" s="56" t="s">
        <v>20</v>
      </c>
      <c r="C242" s="57" t="s">
        <v>23</v>
      </c>
      <c r="D242" s="58" t="s">
        <v>24</v>
      </c>
      <c r="E242" s="62">
        <v>2.7600000000000007E-3</v>
      </c>
    </row>
    <row r="243" spans="2:5" x14ac:dyDescent="0.25">
      <c r="B243" s="56" t="s">
        <v>20</v>
      </c>
      <c r="C243" s="57" t="s">
        <v>23</v>
      </c>
      <c r="D243" s="58" t="s">
        <v>24</v>
      </c>
      <c r="E243" s="62">
        <v>2.98E-3</v>
      </c>
    </row>
    <row r="244" spans="2:5" x14ac:dyDescent="0.25">
      <c r="B244" s="56" t="s">
        <v>20</v>
      </c>
      <c r="C244" s="57" t="s">
        <v>23</v>
      </c>
      <c r="D244" s="58" t="s">
        <v>24</v>
      </c>
      <c r="E244" s="62">
        <v>2.9199999999999994E-3</v>
      </c>
    </row>
    <row r="245" spans="2:5" x14ac:dyDescent="0.25">
      <c r="B245" s="56" t="s">
        <v>20</v>
      </c>
      <c r="C245" s="57" t="s">
        <v>23</v>
      </c>
      <c r="D245" s="58" t="s">
        <v>27</v>
      </c>
      <c r="E245" s="62">
        <v>4.1500000000000009E-3</v>
      </c>
    </row>
    <row r="246" spans="2:5" x14ac:dyDescent="0.25">
      <c r="B246" s="56" t="s">
        <v>20</v>
      </c>
      <c r="C246" s="57" t="s">
        <v>23</v>
      </c>
      <c r="D246" s="58" t="s">
        <v>28</v>
      </c>
      <c r="E246" s="62">
        <v>3.7099999999999985E-3</v>
      </c>
    </row>
    <row r="247" spans="2:5" x14ac:dyDescent="0.25">
      <c r="B247" s="56" t="s">
        <v>20</v>
      </c>
      <c r="C247" s="57" t="s">
        <v>21</v>
      </c>
      <c r="D247" s="58" t="s">
        <v>24</v>
      </c>
      <c r="E247" s="62">
        <v>6.7099999999999998E-3</v>
      </c>
    </row>
    <row r="248" spans="2:5" x14ac:dyDescent="0.25">
      <c r="B248" s="56" t="s">
        <v>20</v>
      </c>
      <c r="C248" s="57" t="s">
        <v>21</v>
      </c>
      <c r="D248" s="58" t="s">
        <v>35</v>
      </c>
      <c r="E248" s="62">
        <v>6.069999999999999E-3</v>
      </c>
    </row>
    <row r="249" spans="2:5" x14ac:dyDescent="0.25">
      <c r="B249" s="56" t="s">
        <v>20</v>
      </c>
      <c r="C249" s="57" t="s">
        <v>21</v>
      </c>
      <c r="D249" s="58" t="s">
        <v>24</v>
      </c>
      <c r="E249" s="62">
        <v>6.8200000000000005E-3</v>
      </c>
    </row>
    <row r="250" spans="2:5" x14ac:dyDescent="0.25">
      <c r="B250" s="56" t="s">
        <v>20</v>
      </c>
      <c r="C250" s="57" t="s">
        <v>25</v>
      </c>
      <c r="D250" s="58" t="s">
        <v>24</v>
      </c>
      <c r="E250" s="62">
        <v>7.499999999999998E-3</v>
      </c>
    </row>
    <row r="251" spans="2:5" x14ac:dyDescent="0.25">
      <c r="B251" s="56" t="s">
        <v>20</v>
      </c>
      <c r="C251" s="57" t="s">
        <v>25</v>
      </c>
      <c r="D251" s="58" t="s">
        <v>31</v>
      </c>
      <c r="E251" s="62">
        <v>3.6200000000000008E-3</v>
      </c>
    </row>
    <row r="252" spans="2:5" x14ac:dyDescent="0.25">
      <c r="B252" s="56" t="s">
        <v>20</v>
      </c>
      <c r="C252" s="57" t="s">
        <v>25</v>
      </c>
      <c r="D252" s="58" t="s">
        <v>24</v>
      </c>
      <c r="E252" s="62">
        <v>4.409999999999999E-3</v>
      </c>
    </row>
    <row r="253" spans="2:5" x14ac:dyDescent="0.25">
      <c r="B253" s="56" t="s">
        <v>20</v>
      </c>
      <c r="C253" s="57" t="s">
        <v>25</v>
      </c>
      <c r="D253" s="58" t="s">
        <v>24</v>
      </c>
      <c r="E253" s="62">
        <v>2.3700000000000001E-3</v>
      </c>
    </row>
    <row r="254" spans="2:5" x14ac:dyDescent="0.25">
      <c r="B254" s="56" t="s">
        <v>20</v>
      </c>
      <c r="C254" s="57" t="s">
        <v>25</v>
      </c>
      <c r="D254" s="58" t="s">
        <v>27</v>
      </c>
      <c r="E254" s="62">
        <v>2.2100000000000006E-3</v>
      </c>
    </row>
    <row r="255" spans="2:5" x14ac:dyDescent="0.25">
      <c r="B255" s="56" t="s">
        <v>20</v>
      </c>
      <c r="C255" s="57" t="s">
        <v>25</v>
      </c>
      <c r="D255" s="58" t="s">
        <v>24</v>
      </c>
      <c r="E255" s="62">
        <v>5.4599999999999996E-3</v>
      </c>
    </row>
    <row r="256" spans="2:5" x14ac:dyDescent="0.25">
      <c r="B256" s="56" t="s">
        <v>20</v>
      </c>
      <c r="C256" s="57" t="s">
        <v>25</v>
      </c>
      <c r="D256" s="58" t="s">
        <v>22</v>
      </c>
      <c r="E256" s="62">
        <v>8.0100000000000015E-3</v>
      </c>
    </row>
    <row r="257" spans="2:5" x14ac:dyDescent="0.25">
      <c r="B257" s="56" t="s">
        <v>20</v>
      </c>
      <c r="C257" s="57" t="s">
        <v>38</v>
      </c>
      <c r="D257" s="58" t="s">
        <v>22</v>
      </c>
      <c r="E257" s="62">
        <v>5.4200000000000003E-3</v>
      </c>
    </row>
    <row r="258" spans="2:5" x14ac:dyDescent="0.25">
      <c r="B258" s="56" t="s">
        <v>20</v>
      </c>
      <c r="C258" s="57" t="s">
        <v>38</v>
      </c>
      <c r="D258" s="58" t="s">
        <v>27</v>
      </c>
      <c r="E258" s="62">
        <v>4.1900000000000019E-3</v>
      </c>
    </row>
    <row r="259" spans="2:5" x14ac:dyDescent="0.25">
      <c r="B259" s="56" t="s">
        <v>20</v>
      </c>
      <c r="C259" s="57" t="s">
        <v>38</v>
      </c>
      <c r="D259" s="58" t="s">
        <v>27</v>
      </c>
      <c r="E259" s="62">
        <v>4.1900000000000019E-3</v>
      </c>
    </row>
    <row r="260" spans="2:5" x14ac:dyDescent="0.25">
      <c r="B260" s="56" t="s">
        <v>20</v>
      </c>
      <c r="C260" s="57" t="s">
        <v>38</v>
      </c>
      <c r="D260" s="58" t="s">
        <v>24</v>
      </c>
      <c r="E260" s="62">
        <v>6.0500000000000007E-3</v>
      </c>
    </row>
    <row r="261" spans="2:5" x14ac:dyDescent="0.25">
      <c r="B261" s="56" t="s">
        <v>20</v>
      </c>
      <c r="C261" s="57" t="s">
        <v>38</v>
      </c>
      <c r="D261" s="58" t="s">
        <v>22</v>
      </c>
      <c r="E261" s="62">
        <v>6.1100000000000008E-3</v>
      </c>
    </row>
    <row r="262" spans="2:5" x14ac:dyDescent="0.25">
      <c r="B262" s="56" t="s">
        <v>20</v>
      </c>
      <c r="C262" s="57" t="s">
        <v>38</v>
      </c>
      <c r="D262" s="58" t="s">
        <v>24</v>
      </c>
      <c r="E262" s="62">
        <v>6.499999999999998E-3</v>
      </c>
    </row>
    <row r="263" spans="2:5" x14ac:dyDescent="0.25">
      <c r="B263" s="56" t="s">
        <v>20</v>
      </c>
      <c r="C263" s="57" t="s">
        <v>38</v>
      </c>
      <c r="D263" s="58" t="s">
        <v>33</v>
      </c>
      <c r="E263" s="62">
        <v>4.5700000000000011E-3</v>
      </c>
    </row>
    <row r="264" spans="2:5" x14ac:dyDescent="0.25">
      <c r="B264" s="56" t="s">
        <v>20</v>
      </c>
      <c r="C264" s="57" t="s">
        <v>38</v>
      </c>
      <c r="D264" s="58" t="s">
        <v>37</v>
      </c>
      <c r="E264" s="62">
        <v>4.2700000000000004E-3</v>
      </c>
    </row>
    <row r="265" spans="2:5" x14ac:dyDescent="0.25">
      <c r="B265" s="56" t="s">
        <v>20</v>
      </c>
      <c r="C265" s="57" t="s">
        <v>26</v>
      </c>
      <c r="D265" s="58" t="s">
        <v>24</v>
      </c>
      <c r="E265" s="62">
        <v>5.009999999999998E-3</v>
      </c>
    </row>
    <row r="266" spans="2:5" x14ac:dyDescent="0.25">
      <c r="B266" s="56" t="s">
        <v>20</v>
      </c>
      <c r="C266" s="57" t="s">
        <v>25</v>
      </c>
      <c r="D266" s="58" t="s">
        <v>31</v>
      </c>
      <c r="E266" s="62">
        <v>5.7999999999999987E-3</v>
      </c>
    </row>
    <row r="267" spans="2:5" x14ac:dyDescent="0.25">
      <c r="B267" s="56" t="s">
        <v>20</v>
      </c>
      <c r="C267" s="57" t="s">
        <v>39</v>
      </c>
      <c r="D267" s="58" t="s">
        <v>35</v>
      </c>
      <c r="E267" s="62">
        <v>5.1800000000000023E-3</v>
      </c>
    </row>
    <row r="268" spans="2:5" x14ac:dyDescent="0.25">
      <c r="B268" s="56" t="s">
        <v>20</v>
      </c>
      <c r="C268" s="57" t="s">
        <v>36</v>
      </c>
      <c r="D268" s="58" t="s">
        <v>35</v>
      </c>
      <c r="E268" s="62">
        <v>5.8799999999999981E-3</v>
      </c>
    </row>
    <row r="269" spans="2:5" x14ac:dyDescent="0.25">
      <c r="B269" s="56" t="s">
        <v>20</v>
      </c>
      <c r="C269" s="57" t="s">
        <v>36</v>
      </c>
      <c r="D269" s="58" t="s">
        <v>24</v>
      </c>
      <c r="E269" s="62">
        <v>6.1199999999999987E-3</v>
      </c>
    </row>
    <row r="270" spans="2:5" x14ac:dyDescent="0.25">
      <c r="B270" s="56" t="s">
        <v>20</v>
      </c>
      <c r="C270" s="57" t="s">
        <v>36</v>
      </c>
      <c r="D270" s="58" t="s">
        <v>24</v>
      </c>
      <c r="E270" s="62">
        <v>4.6199999999999982E-3</v>
      </c>
    </row>
    <row r="271" spans="2:5" x14ac:dyDescent="0.25">
      <c r="B271" s="56" t="s">
        <v>20</v>
      </c>
      <c r="C271" s="57" t="s">
        <v>36</v>
      </c>
      <c r="D271" s="58" t="s">
        <v>24</v>
      </c>
      <c r="E271" s="62">
        <v>7.4699999999999992E-3</v>
      </c>
    </row>
    <row r="272" spans="2:5" x14ac:dyDescent="0.25">
      <c r="B272" s="56" t="s">
        <v>20</v>
      </c>
      <c r="C272" s="57" t="s">
        <v>36</v>
      </c>
      <c r="D272" s="58" t="s">
        <v>24</v>
      </c>
      <c r="E272" s="62">
        <v>7.3100000000000023E-3</v>
      </c>
    </row>
    <row r="273" spans="2:5" x14ac:dyDescent="0.25">
      <c r="B273" s="56" t="s">
        <v>20</v>
      </c>
      <c r="C273" s="57" t="s">
        <v>36</v>
      </c>
      <c r="D273" s="58" t="s">
        <v>24</v>
      </c>
      <c r="E273" s="62">
        <v>4.4900000000000001E-3</v>
      </c>
    </row>
    <row r="274" spans="2:5" x14ac:dyDescent="0.25">
      <c r="B274" s="56" t="s">
        <v>20</v>
      </c>
      <c r="C274" s="57" t="s">
        <v>36</v>
      </c>
      <c r="D274" s="58" t="s">
        <v>35</v>
      </c>
      <c r="E274" s="62">
        <v>5.6700000000000014E-3</v>
      </c>
    </row>
    <row r="275" spans="2:5" x14ac:dyDescent="0.25">
      <c r="B275" s="56" t="s">
        <v>20</v>
      </c>
      <c r="C275" s="57" t="s">
        <v>36</v>
      </c>
      <c r="D275" s="58" t="s">
        <v>24</v>
      </c>
      <c r="E275" s="62">
        <v>6.3499999999999989E-3</v>
      </c>
    </row>
    <row r="276" spans="2:5" x14ac:dyDescent="0.25">
      <c r="B276" s="56" t="s">
        <v>20</v>
      </c>
      <c r="C276" s="57" t="s">
        <v>36</v>
      </c>
      <c r="D276" s="58" t="s">
        <v>24</v>
      </c>
      <c r="E276" s="62">
        <v>7.4600000000000022E-3</v>
      </c>
    </row>
    <row r="277" spans="2:5" x14ac:dyDescent="0.25">
      <c r="B277" s="56" t="s">
        <v>20</v>
      </c>
      <c r="C277" s="57" t="s">
        <v>36</v>
      </c>
      <c r="D277" s="58" t="s">
        <v>24</v>
      </c>
      <c r="E277" s="62">
        <v>4.7200000000000011E-3</v>
      </c>
    </row>
    <row r="278" spans="2:5" x14ac:dyDescent="0.25">
      <c r="B278" s="56" t="s">
        <v>20</v>
      </c>
      <c r="C278" s="57" t="s">
        <v>36</v>
      </c>
      <c r="D278" s="58" t="s">
        <v>24</v>
      </c>
      <c r="E278" s="62">
        <v>6.2500000000000021E-3</v>
      </c>
    </row>
    <row r="279" spans="2:5" x14ac:dyDescent="0.25">
      <c r="B279" s="56" t="s">
        <v>20</v>
      </c>
      <c r="C279" s="57" t="s">
        <v>36</v>
      </c>
      <c r="D279" s="58" t="s">
        <v>35</v>
      </c>
      <c r="E279" s="62">
        <v>6.3200000000000001E-3</v>
      </c>
    </row>
    <row r="280" spans="2:5" x14ac:dyDescent="0.25">
      <c r="B280" s="56" t="s">
        <v>20</v>
      </c>
      <c r="C280" s="57" t="s">
        <v>36</v>
      </c>
      <c r="D280" s="58" t="s">
        <v>35</v>
      </c>
      <c r="E280" s="62">
        <v>6.2000000000000006E-3</v>
      </c>
    </row>
    <row r="281" spans="2:5" x14ac:dyDescent="0.25">
      <c r="B281" s="56" t="s">
        <v>20</v>
      </c>
      <c r="C281" s="57" t="s">
        <v>36</v>
      </c>
      <c r="D281" s="58" t="s">
        <v>32</v>
      </c>
      <c r="E281" s="62">
        <v>7.5600000000000016E-3</v>
      </c>
    </row>
    <row r="282" spans="2:5" x14ac:dyDescent="0.25">
      <c r="B282" s="56" t="s">
        <v>20</v>
      </c>
      <c r="C282" s="57" t="s">
        <v>36</v>
      </c>
      <c r="D282" s="58" t="s">
        <v>32</v>
      </c>
      <c r="E282" s="62">
        <v>7.1100000000000035E-3</v>
      </c>
    </row>
    <row r="283" spans="2:5" x14ac:dyDescent="0.25">
      <c r="B283" s="56" t="s">
        <v>20</v>
      </c>
      <c r="C283" s="57" t="s">
        <v>26</v>
      </c>
      <c r="D283" s="58" t="s">
        <v>40</v>
      </c>
      <c r="E283" s="62">
        <v>5.7000000000000011E-3</v>
      </c>
    </row>
    <row r="284" spans="2:5" x14ac:dyDescent="0.25">
      <c r="B284" s="56" t="s">
        <v>20</v>
      </c>
      <c r="C284" s="57" t="s">
        <v>26</v>
      </c>
      <c r="D284" s="58" t="s">
        <v>40</v>
      </c>
      <c r="E284" s="62">
        <v>5.4100000000000016E-3</v>
      </c>
    </row>
    <row r="285" spans="2:5" x14ac:dyDescent="0.25">
      <c r="B285" s="56" t="s">
        <v>20</v>
      </c>
      <c r="C285" s="57" t="s">
        <v>26</v>
      </c>
      <c r="D285" s="58" t="s">
        <v>40</v>
      </c>
      <c r="E285" s="62">
        <v>6.6100000000000022E-3</v>
      </c>
    </row>
    <row r="286" spans="2:5" x14ac:dyDescent="0.25">
      <c r="B286" s="56" t="s">
        <v>20</v>
      </c>
      <c r="C286" s="57" t="s">
        <v>26</v>
      </c>
      <c r="D286" s="58" t="s">
        <v>40</v>
      </c>
      <c r="E286" s="62">
        <v>5.5899999999999986E-3</v>
      </c>
    </row>
    <row r="287" spans="2:5" x14ac:dyDescent="0.25">
      <c r="B287" s="56" t="s">
        <v>20</v>
      </c>
      <c r="C287" s="57" t="s">
        <v>26</v>
      </c>
      <c r="D287" s="58" t="s">
        <v>40</v>
      </c>
      <c r="E287" s="62">
        <v>5.850000000000001E-3</v>
      </c>
    </row>
    <row r="288" spans="2:5" x14ac:dyDescent="0.25">
      <c r="B288" s="56" t="s">
        <v>20</v>
      </c>
      <c r="C288" s="57" t="s">
        <v>26</v>
      </c>
      <c r="D288" s="58" t="s">
        <v>40</v>
      </c>
      <c r="E288" s="62">
        <v>5.4200000000000003E-3</v>
      </c>
    </row>
    <row r="289" spans="2:5" x14ac:dyDescent="0.25">
      <c r="B289" s="56" t="s">
        <v>20</v>
      </c>
      <c r="C289" s="57" t="s">
        <v>26</v>
      </c>
      <c r="D289" s="58" t="s">
        <v>40</v>
      </c>
      <c r="E289" s="62">
        <v>5.4100000000000016E-3</v>
      </c>
    </row>
    <row r="290" spans="2:5" x14ac:dyDescent="0.25">
      <c r="B290" s="56" t="s">
        <v>20</v>
      </c>
      <c r="C290" s="57" t="s">
        <v>26</v>
      </c>
      <c r="D290" s="58" t="s">
        <v>40</v>
      </c>
      <c r="E290" s="62">
        <v>5.2899999999999987E-3</v>
      </c>
    </row>
    <row r="291" spans="2:5" x14ac:dyDescent="0.25">
      <c r="B291" s="56" t="s">
        <v>20</v>
      </c>
      <c r="C291" s="57" t="s">
        <v>26</v>
      </c>
      <c r="D291" s="58" t="s">
        <v>40</v>
      </c>
      <c r="E291" s="62">
        <v>7.4699999999999992E-3</v>
      </c>
    </row>
    <row r="292" spans="2:5" x14ac:dyDescent="0.25">
      <c r="B292" s="56" t="s">
        <v>20</v>
      </c>
      <c r="C292" s="57" t="s">
        <v>26</v>
      </c>
      <c r="D292" s="58" t="s">
        <v>40</v>
      </c>
      <c r="E292" s="62">
        <v>5.6200000000000026E-3</v>
      </c>
    </row>
    <row r="293" spans="2:5" x14ac:dyDescent="0.25">
      <c r="B293" s="56" t="s">
        <v>20</v>
      </c>
      <c r="C293" s="57" t="s">
        <v>26</v>
      </c>
      <c r="D293" s="58" t="s">
        <v>40</v>
      </c>
      <c r="E293" s="62">
        <v>5.5899999999999986E-3</v>
      </c>
    </row>
    <row r="294" spans="2:5" x14ac:dyDescent="0.25">
      <c r="B294" s="56" t="s">
        <v>20</v>
      </c>
      <c r="C294" s="57" t="s">
        <v>26</v>
      </c>
      <c r="D294" s="58" t="s">
        <v>40</v>
      </c>
      <c r="E294" s="62">
        <v>5.1999999999999989E-3</v>
      </c>
    </row>
    <row r="295" spans="2:5" x14ac:dyDescent="0.25">
      <c r="B295" s="56" t="s">
        <v>41</v>
      </c>
      <c r="C295" s="57" t="s">
        <v>26</v>
      </c>
      <c r="D295" s="58" t="s">
        <v>30</v>
      </c>
      <c r="E295" s="62">
        <v>2.0500000000000002E-3</v>
      </c>
    </row>
    <row r="296" spans="2:5" x14ac:dyDescent="0.25">
      <c r="B296" s="56" t="s">
        <v>41</v>
      </c>
      <c r="C296" s="57" t="s">
        <v>26</v>
      </c>
      <c r="D296" s="58" t="s">
        <v>24</v>
      </c>
      <c r="E296" s="62">
        <v>5.2499999999999977E-3</v>
      </c>
    </row>
    <row r="297" spans="2:5" x14ac:dyDescent="0.25">
      <c r="B297" s="56" t="s">
        <v>41</v>
      </c>
      <c r="C297" s="57" t="s">
        <v>38</v>
      </c>
      <c r="D297" s="58" t="s">
        <v>24</v>
      </c>
      <c r="E297" s="62">
        <v>3.9399999999999999E-3</v>
      </c>
    </row>
    <row r="298" spans="2:5" x14ac:dyDescent="0.25">
      <c r="B298" s="56" t="s">
        <v>41</v>
      </c>
      <c r="C298" s="57" t="s">
        <v>25</v>
      </c>
      <c r="D298" s="58" t="s">
        <v>35</v>
      </c>
      <c r="E298" s="62">
        <v>1.1999999999999995E-3</v>
      </c>
    </row>
    <row r="299" spans="2:5" x14ac:dyDescent="0.25">
      <c r="B299" s="56" t="s">
        <v>41</v>
      </c>
      <c r="C299" s="57" t="s">
        <v>26</v>
      </c>
      <c r="D299" s="58" t="s">
        <v>31</v>
      </c>
      <c r="E299" s="62">
        <v>3.6100000000000012E-3</v>
      </c>
    </row>
    <row r="300" spans="2:5" x14ac:dyDescent="0.25">
      <c r="B300" s="56" t="s">
        <v>41</v>
      </c>
      <c r="C300" s="57" t="s">
        <v>26</v>
      </c>
      <c r="D300" s="58" t="s">
        <v>32</v>
      </c>
      <c r="E300" s="62">
        <v>4.0900000000000008E-3</v>
      </c>
    </row>
    <row r="301" spans="2:5" x14ac:dyDescent="0.25">
      <c r="B301" s="56" t="s">
        <v>41</v>
      </c>
      <c r="C301" s="57" t="s">
        <v>26</v>
      </c>
      <c r="D301" s="58" t="s">
        <v>28</v>
      </c>
      <c r="E301" s="62">
        <v>3.7099999999999985E-3</v>
      </c>
    </row>
    <row r="302" spans="2:5" x14ac:dyDescent="0.25">
      <c r="B302" s="56" t="s">
        <v>41</v>
      </c>
      <c r="C302" s="57" t="s">
        <v>39</v>
      </c>
      <c r="D302" s="58" t="s">
        <v>35</v>
      </c>
      <c r="E302" s="62">
        <v>3.4200000000000012E-3</v>
      </c>
    </row>
    <row r="303" spans="2:5" x14ac:dyDescent="0.25">
      <c r="B303" s="56" t="s">
        <v>41</v>
      </c>
      <c r="C303" s="57" t="s">
        <v>25</v>
      </c>
      <c r="D303" s="58" t="s">
        <v>32</v>
      </c>
      <c r="E303" s="62">
        <v>2.5500000000000011E-3</v>
      </c>
    </row>
    <row r="304" spans="2:5" x14ac:dyDescent="0.25">
      <c r="B304" s="56" t="s">
        <v>41</v>
      </c>
      <c r="C304" s="57" t="s">
        <v>39</v>
      </c>
      <c r="D304" s="58" t="s">
        <v>35</v>
      </c>
      <c r="E304" s="62">
        <v>4.8900000000000002E-3</v>
      </c>
    </row>
    <row r="305" spans="2:5" x14ac:dyDescent="0.25">
      <c r="B305" s="56" t="s">
        <v>41</v>
      </c>
      <c r="C305" s="57" t="s">
        <v>38</v>
      </c>
      <c r="D305" s="58" t="s">
        <v>24</v>
      </c>
      <c r="E305" s="62">
        <v>3.9900000000000005E-3</v>
      </c>
    </row>
    <row r="306" spans="2:5" x14ac:dyDescent="0.25">
      <c r="B306" s="56" t="s">
        <v>41</v>
      </c>
      <c r="C306" s="57" t="s">
        <v>25</v>
      </c>
      <c r="D306" s="58" t="s">
        <v>35</v>
      </c>
      <c r="E306" s="62">
        <v>1.1599999999999996E-3</v>
      </c>
    </row>
    <row r="307" spans="2:5" x14ac:dyDescent="0.25">
      <c r="B307" s="56" t="s">
        <v>41</v>
      </c>
      <c r="C307" s="57" t="s">
        <v>36</v>
      </c>
      <c r="D307" s="58" t="s">
        <v>35</v>
      </c>
      <c r="E307" s="62">
        <v>3.6300000000000013E-3</v>
      </c>
    </row>
    <row r="308" spans="2:5" x14ac:dyDescent="0.25">
      <c r="B308" s="56" t="s">
        <v>41</v>
      </c>
      <c r="C308" s="57" t="s">
        <v>26</v>
      </c>
      <c r="D308" s="58" t="s">
        <v>32</v>
      </c>
      <c r="E308" s="62">
        <v>3.5400000000000015E-3</v>
      </c>
    </row>
    <row r="309" spans="2:5" x14ac:dyDescent="0.25">
      <c r="B309" s="56" t="s">
        <v>41</v>
      </c>
      <c r="C309" s="57" t="s">
        <v>25</v>
      </c>
      <c r="D309" s="58" t="s">
        <v>35</v>
      </c>
      <c r="E309" s="62">
        <v>2.1099999999999999E-3</v>
      </c>
    </row>
    <row r="310" spans="2:5" x14ac:dyDescent="0.25">
      <c r="B310" s="56" t="s">
        <v>41</v>
      </c>
      <c r="C310" s="57" t="s">
        <v>25</v>
      </c>
      <c r="D310" s="58" t="s">
        <v>24</v>
      </c>
      <c r="E310" s="62">
        <v>2.1600000000000005E-3</v>
      </c>
    </row>
    <row r="311" spans="2:5" x14ac:dyDescent="0.25">
      <c r="B311" s="56" t="s">
        <v>41</v>
      </c>
      <c r="C311" s="57" t="s">
        <v>36</v>
      </c>
      <c r="D311" s="58" t="s">
        <v>24</v>
      </c>
      <c r="E311" s="62">
        <v>3.7599999999999995E-3</v>
      </c>
    </row>
    <row r="312" spans="2:5" x14ac:dyDescent="0.25">
      <c r="B312" s="56" t="s">
        <v>41</v>
      </c>
      <c r="C312" s="57" t="s">
        <v>25</v>
      </c>
      <c r="D312" s="58" t="s">
        <v>24</v>
      </c>
      <c r="E312" s="62">
        <v>3.5499999999999998E-3</v>
      </c>
    </row>
    <row r="313" spans="2:5" x14ac:dyDescent="0.25">
      <c r="B313" s="56" t="s">
        <v>41</v>
      </c>
      <c r="C313" s="57" t="s">
        <v>26</v>
      </c>
      <c r="D313" s="58" t="s">
        <v>27</v>
      </c>
      <c r="E313" s="62">
        <v>4.1500000000000009E-3</v>
      </c>
    </row>
    <row r="314" spans="2:5" x14ac:dyDescent="0.25">
      <c r="B314" s="56" t="s">
        <v>41</v>
      </c>
      <c r="C314" s="57" t="s">
        <v>36</v>
      </c>
      <c r="D314" s="58" t="s">
        <v>37</v>
      </c>
      <c r="E314" s="62">
        <v>3.1400000000000013E-3</v>
      </c>
    </row>
    <row r="315" spans="2:5" x14ac:dyDescent="0.25">
      <c r="B315" s="56" t="s">
        <v>41</v>
      </c>
      <c r="C315" s="57" t="s">
        <v>26</v>
      </c>
      <c r="D315" s="58" t="s">
        <v>24</v>
      </c>
      <c r="E315" s="62">
        <v>4.6199999999999982E-3</v>
      </c>
    </row>
    <row r="316" spans="2:5" x14ac:dyDescent="0.25">
      <c r="B316" s="56" t="s">
        <v>41</v>
      </c>
      <c r="C316" s="57" t="s">
        <v>26</v>
      </c>
      <c r="D316" s="58" t="s">
        <v>29</v>
      </c>
      <c r="E316" s="62">
        <v>2.8700000000000002E-3</v>
      </c>
    </row>
    <row r="317" spans="2:5" x14ac:dyDescent="0.25">
      <c r="B317" s="56" t="s">
        <v>41</v>
      </c>
      <c r="C317" s="57" t="s">
        <v>36</v>
      </c>
      <c r="D317" s="58" t="s">
        <v>35</v>
      </c>
      <c r="E317" s="62">
        <v>3.7099999999999985E-3</v>
      </c>
    </row>
    <row r="318" spans="2:5" x14ac:dyDescent="0.25">
      <c r="B318" s="56" t="s">
        <v>41</v>
      </c>
      <c r="C318" s="57" t="s">
        <v>36</v>
      </c>
      <c r="D318" s="58" t="s">
        <v>22</v>
      </c>
      <c r="E318" s="62">
        <v>3.7099999999999985E-3</v>
      </c>
    </row>
    <row r="319" spans="2:5" x14ac:dyDescent="0.25">
      <c r="B319" s="56" t="s">
        <v>41</v>
      </c>
      <c r="C319" s="57" t="s">
        <v>36</v>
      </c>
      <c r="D319" s="58" t="s">
        <v>35</v>
      </c>
      <c r="E319" s="62">
        <v>3.3900000000000011E-3</v>
      </c>
    </row>
    <row r="320" spans="2:5" x14ac:dyDescent="0.25">
      <c r="B320" s="56" t="s">
        <v>41</v>
      </c>
      <c r="C320" s="57" t="s">
        <v>36</v>
      </c>
      <c r="D320" s="58" t="s">
        <v>37</v>
      </c>
      <c r="E320" s="62">
        <v>3.4399999999999986E-3</v>
      </c>
    </row>
    <row r="321" spans="2:5" x14ac:dyDescent="0.25">
      <c r="B321" s="56" t="s">
        <v>41</v>
      </c>
      <c r="C321" s="57" t="s">
        <v>25</v>
      </c>
      <c r="D321" s="58" t="s">
        <v>24</v>
      </c>
      <c r="E321" s="62">
        <v>2.4200000000000003E-3</v>
      </c>
    </row>
    <row r="322" spans="2:5" x14ac:dyDescent="0.25">
      <c r="B322" s="56" t="s">
        <v>41</v>
      </c>
      <c r="C322" s="57" t="s">
        <v>23</v>
      </c>
      <c r="D322" s="58" t="s">
        <v>33</v>
      </c>
      <c r="E322" s="62">
        <v>2.5600000000000015E-3</v>
      </c>
    </row>
    <row r="323" spans="2:5" x14ac:dyDescent="0.25">
      <c r="B323" s="56" t="s">
        <v>41</v>
      </c>
      <c r="C323" s="57" t="s">
        <v>25</v>
      </c>
      <c r="D323" s="58" t="s">
        <v>28</v>
      </c>
      <c r="E323" s="62">
        <v>1.4399999999999999E-3</v>
      </c>
    </row>
    <row r="324" spans="2:5" x14ac:dyDescent="0.25">
      <c r="B324" s="56" t="s">
        <v>41</v>
      </c>
      <c r="C324" s="57" t="s">
        <v>38</v>
      </c>
      <c r="D324" s="58" t="s">
        <v>35</v>
      </c>
      <c r="E324" s="62">
        <v>2.3300000000000005E-3</v>
      </c>
    </row>
    <row r="325" spans="2:5" x14ac:dyDescent="0.25">
      <c r="B325" s="56" t="s">
        <v>41</v>
      </c>
      <c r="C325" s="57" t="s">
        <v>25</v>
      </c>
      <c r="D325" s="58" t="s">
        <v>29</v>
      </c>
      <c r="E325" s="62">
        <v>1.9699999999999995E-3</v>
      </c>
    </row>
    <row r="326" spans="2:5" x14ac:dyDescent="0.25">
      <c r="B326" s="56" t="s">
        <v>41</v>
      </c>
      <c r="C326" s="57" t="s">
        <v>26</v>
      </c>
      <c r="D326" s="58" t="s">
        <v>32</v>
      </c>
      <c r="E326" s="62">
        <v>3.5200000000000014E-3</v>
      </c>
    </row>
    <row r="327" spans="2:5" x14ac:dyDescent="0.25">
      <c r="B327" s="56" t="s">
        <v>41</v>
      </c>
      <c r="C327" s="57" t="s">
        <v>38</v>
      </c>
      <c r="D327" s="58" t="s">
        <v>24</v>
      </c>
      <c r="E327" s="62">
        <v>3.9499999999999995E-3</v>
      </c>
    </row>
    <row r="328" spans="2:5" x14ac:dyDescent="0.25">
      <c r="B328" s="56" t="s">
        <v>41</v>
      </c>
      <c r="C328" s="57" t="s">
        <v>26</v>
      </c>
      <c r="D328" s="58" t="s">
        <v>28</v>
      </c>
      <c r="E328" s="62">
        <v>1.9499999999999997E-3</v>
      </c>
    </row>
    <row r="329" spans="2:5" x14ac:dyDescent="0.25">
      <c r="B329" s="56" t="s">
        <v>41</v>
      </c>
      <c r="C329" s="57" t="s">
        <v>21</v>
      </c>
      <c r="D329" s="58" t="s">
        <v>35</v>
      </c>
      <c r="E329" s="62">
        <v>4.4200000000000021E-3</v>
      </c>
    </row>
    <row r="330" spans="2:5" x14ac:dyDescent="0.25">
      <c r="B330" s="56" t="s">
        <v>41</v>
      </c>
      <c r="C330" s="57" t="s">
        <v>26</v>
      </c>
      <c r="D330" s="58" t="s">
        <v>29</v>
      </c>
      <c r="E330" s="62">
        <v>2.429999999999999E-3</v>
      </c>
    </row>
    <row r="331" spans="2:5" x14ac:dyDescent="0.25">
      <c r="B331" s="56" t="s">
        <v>41</v>
      </c>
      <c r="C331" s="57" t="s">
        <v>36</v>
      </c>
      <c r="D331" s="58" t="s">
        <v>30</v>
      </c>
      <c r="E331" s="62">
        <v>3.4399999999999986E-3</v>
      </c>
    </row>
    <row r="332" spans="2:5" x14ac:dyDescent="0.25">
      <c r="B332" s="56" t="s">
        <v>41</v>
      </c>
      <c r="C332" s="57" t="s">
        <v>25</v>
      </c>
      <c r="D332" s="58" t="s">
        <v>32</v>
      </c>
      <c r="E332" s="62">
        <v>2.9500000000000004E-3</v>
      </c>
    </row>
    <row r="333" spans="2:5" x14ac:dyDescent="0.25">
      <c r="B333" s="56" t="s">
        <v>41</v>
      </c>
      <c r="C333" s="57" t="s">
        <v>25</v>
      </c>
      <c r="D333" s="58" t="s">
        <v>24</v>
      </c>
      <c r="E333" s="62">
        <v>2.5199999999999997E-3</v>
      </c>
    </row>
    <row r="334" spans="2:5" x14ac:dyDescent="0.25">
      <c r="B334" s="56" t="s">
        <v>41</v>
      </c>
      <c r="C334" s="57" t="s">
        <v>25</v>
      </c>
      <c r="D334" s="58" t="s">
        <v>24</v>
      </c>
      <c r="E334" s="62">
        <v>2.2800000000000003E-3</v>
      </c>
    </row>
    <row r="335" spans="2:5" x14ac:dyDescent="0.25">
      <c r="B335" s="56" t="s">
        <v>41</v>
      </c>
      <c r="C335" s="57" t="s">
        <v>26</v>
      </c>
      <c r="D335" s="58" t="s">
        <v>24</v>
      </c>
      <c r="E335" s="62">
        <v>5.7300000000000007E-3</v>
      </c>
    </row>
    <row r="336" spans="2:5" x14ac:dyDescent="0.25">
      <c r="B336" s="56" t="s">
        <v>41</v>
      </c>
      <c r="C336" s="57" t="s">
        <v>23</v>
      </c>
      <c r="D336" s="58" t="s">
        <v>28</v>
      </c>
      <c r="E336" s="62">
        <v>1.7500000000000005E-3</v>
      </c>
    </row>
    <row r="337" spans="2:5" x14ac:dyDescent="0.25">
      <c r="B337" s="56" t="s">
        <v>41</v>
      </c>
      <c r="C337" s="57" t="s">
        <v>25</v>
      </c>
      <c r="D337" s="58" t="s">
        <v>35</v>
      </c>
      <c r="E337" s="62">
        <v>3.4300000000000008E-3</v>
      </c>
    </row>
    <row r="338" spans="2:5" x14ac:dyDescent="0.25">
      <c r="B338" s="56" t="s">
        <v>41</v>
      </c>
      <c r="C338" s="57" t="s">
        <v>36</v>
      </c>
      <c r="D338" s="58" t="s">
        <v>24</v>
      </c>
      <c r="E338" s="62">
        <v>4.9199999999999982E-3</v>
      </c>
    </row>
    <row r="339" spans="2:5" x14ac:dyDescent="0.25">
      <c r="B339" s="56" t="s">
        <v>41</v>
      </c>
      <c r="C339" s="57" t="s">
        <v>26</v>
      </c>
      <c r="D339" s="58" t="s">
        <v>32</v>
      </c>
      <c r="E339" s="62">
        <v>4.1100000000000008E-3</v>
      </c>
    </row>
    <row r="340" spans="2:5" x14ac:dyDescent="0.25">
      <c r="B340" s="56" t="s">
        <v>41</v>
      </c>
      <c r="C340" s="57" t="s">
        <v>26</v>
      </c>
      <c r="D340" s="58" t="s">
        <v>37</v>
      </c>
      <c r="E340" s="62">
        <v>2.4500000000000004E-3</v>
      </c>
    </row>
    <row r="341" spans="2:5" x14ac:dyDescent="0.25">
      <c r="B341" s="56" t="s">
        <v>41</v>
      </c>
      <c r="C341" s="57" t="s">
        <v>26</v>
      </c>
      <c r="D341" s="58" t="s">
        <v>24</v>
      </c>
      <c r="E341" s="62">
        <v>4.2799999999999982E-3</v>
      </c>
    </row>
    <row r="342" spans="2:5" x14ac:dyDescent="0.25">
      <c r="B342" s="56" t="s">
        <v>41</v>
      </c>
      <c r="C342" s="57" t="s">
        <v>38</v>
      </c>
      <c r="D342" s="58" t="s">
        <v>24</v>
      </c>
      <c r="E342" s="62">
        <v>3.9399999999999999E-3</v>
      </c>
    </row>
    <row r="343" spans="2:5" x14ac:dyDescent="0.25">
      <c r="B343" s="56" t="s">
        <v>41</v>
      </c>
      <c r="C343" s="57" t="s">
        <v>25</v>
      </c>
      <c r="D343" s="58" t="s">
        <v>35</v>
      </c>
      <c r="E343" s="62">
        <v>1.7799999999999995E-3</v>
      </c>
    </row>
    <row r="344" spans="2:5" x14ac:dyDescent="0.25">
      <c r="B344" s="56" t="s">
        <v>41</v>
      </c>
      <c r="C344" s="57" t="s">
        <v>25</v>
      </c>
      <c r="D344" s="58" t="s">
        <v>35</v>
      </c>
      <c r="E344" s="62">
        <v>1.8699999999999999E-3</v>
      </c>
    </row>
    <row r="345" spans="2:5" x14ac:dyDescent="0.25">
      <c r="B345" s="56" t="s">
        <v>41</v>
      </c>
      <c r="C345" s="57" t="s">
        <v>26</v>
      </c>
      <c r="D345" s="58" t="s">
        <v>24</v>
      </c>
      <c r="E345" s="62">
        <v>5.3400000000000001E-3</v>
      </c>
    </row>
    <row r="346" spans="2:5" x14ac:dyDescent="0.25">
      <c r="B346" s="56" t="s">
        <v>41</v>
      </c>
      <c r="C346" s="57" t="s">
        <v>26</v>
      </c>
      <c r="D346" s="58" t="s">
        <v>24</v>
      </c>
      <c r="E346" s="62">
        <v>5.1400000000000013E-3</v>
      </c>
    </row>
    <row r="347" spans="2:5" x14ac:dyDescent="0.25">
      <c r="B347" s="56" t="s">
        <v>41</v>
      </c>
      <c r="C347" s="57" t="s">
        <v>25</v>
      </c>
      <c r="D347" s="58" t="s">
        <v>24</v>
      </c>
      <c r="E347" s="62">
        <v>2.4099999999999989E-3</v>
      </c>
    </row>
    <row r="348" spans="2:5" x14ac:dyDescent="0.25">
      <c r="B348" s="56" t="s">
        <v>41</v>
      </c>
      <c r="C348" s="57" t="s">
        <v>25</v>
      </c>
      <c r="D348" s="58" t="s">
        <v>28</v>
      </c>
      <c r="E348" s="62">
        <v>3.4600000000000008E-3</v>
      </c>
    </row>
    <row r="349" spans="2:5" x14ac:dyDescent="0.25">
      <c r="B349" s="56" t="s">
        <v>41</v>
      </c>
      <c r="C349" s="57" t="s">
        <v>25</v>
      </c>
      <c r="D349" s="58" t="s">
        <v>37</v>
      </c>
      <c r="E349" s="62">
        <v>1.4000000000000004E-3</v>
      </c>
    </row>
    <row r="350" spans="2:5" x14ac:dyDescent="0.25">
      <c r="B350" s="56" t="s">
        <v>41</v>
      </c>
      <c r="C350" s="57" t="s">
        <v>25</v>
      </c>
      <c r="D350" s="58" t="s">
        <v>29</v>
      </c>
      <c r="E350" s="62">
        <v>2.3100000000000009E-3</v>
      </c>
    </row>
    <row r="351" spans="2:5" x14ac:dyDescent="0.25">
      <c r="B351" s="56" t="s">
        <v>41</v>
      </c>
      <c r="C351" s="57" t="s">
        <v>25</v>
      </c>
      <c r="D351" s="58" t="s">
        <v>32</v>
      </c>
      <c r="E351" s="62">
        <v>2.5700000000000002E-3</v>
      </c>
    </row>
    <row r="352" spans="2:5" x14ac:dyDescent="0.25">
      <c r="B352" s="56" t="s">
        <v>41</v>
      </c>
      <c r="C352" s="57" t="s">
        <v>25</v>
      </c>
      <c r="D352" s="58" t="s">
        <v>24</v>
      </c>
      <c r="E352" s="62">
        <v>4.6600000000000018E-3</v>
      </c>
    </row>
    <row r="353" spans="2:5" x14ac:dyDescent="0.25">
      <c r="B353" s="56" t="s">
        <v>41</v>
      </c>
      <c r="C353" s="57" t="s">
        <v>25</v>
      </c>
      <c r="D353" s="58" t="s">
        <v>31</v>
      </c>
      <c r="E353" s="62">
        <v>3.6899999999999988E-3</v>
      </c>
    </row>
    <row r="354" spans="2:5" x14ac:dyDescent="0.25">
      <c r="B354" s="56" t="s">
        <v>41</v>
      </c>
      <c r="C354" s="57" t="s">
        <v>25</v>
      </c>
      <c r="D354" s="58" t="s">
        <v>32</v>
      </c>
      <c r="E354" s="62">
        <v>2.9199999999999994E-3</v>
      </c>
    </row>
    <row r="355" spans="2:5" x14ac:dyDescent="0.25">
      <c r="B355" s="56" t="s">
        <v>41</v>
      </c>
      <c r="C355" s="57" t="s">
        <v>25</v>
      </c>
      <c r="D355" s="58" t="s">
        <v>29</v>
      </c>
      <c r="E355" s="62">
        <v>2.5199999999999997E-3</v>
      </c>
    </row>
    <row r="356" spans="2:5" x14ac:dyDescent="0.25">
      <c r="B356" s="56" t="s">
        <v>41</v>
      </c>
      <c r="C356" s="57" t="s">
        <v>25</v>
      </c>
      <c r="D356" s="58" t="s">
        <v>24</v>
      </c>
      <c r="E356" s="62">
        <v>2.6499999999999991E-3</v>
      </c>
    </row>
    <row r="357" spans="2:5" x14ac:dyDescent="0.25">
      <c r="B357" s="56" t="s">
        <v>41</v>
      </c>
      <c r="C357" s="57" t="s">
        <v>25</v>
      </c>
      <c r="D357" s="58" t="s">
        <v>24</v>
      </c>
      <c r="E357" s="62">
        <v>2.2100000000000006E-3</v>
      </c>
    </row>
    <row r="358" spans="2:5" x14ac:dyDescent="0.25">
      <c r="B358" s="56" t="s">
        <v>41</v>
      </c>
      <c r="C358" s="57" t="s">
        <v>25</v>
      </c>
      <c r="D358" s="58" t="s">
        <v>24</v>
      </c>
      <c r="E358" s="62">
        <v>2.5700000000000002E-3</v>
      </c>
    </row>
    <row r="359" spans="2:5" x14ac:dyDescent="0.25">
      <c r="B359" s="56" t="s">
        <v>41</v>
      </c>
      <c r="C359" s="57" t="s">
        <v>23</v>
      </c>
      <c r="D359" s="58" t="s">
        <v>37</v>
      </c>
      <c r="E359" s="62">
        <v>2.3E-3</v>
      </c>
    </row>
    <row r="360" spans="2:5" x14ac:dyDescent="0.25">
      <c r="B360" s="56" t="s">
        <v>41</v>
      </c>
      <c r="C360" s="57" t="s">
        <v>23</v>
      </c>
      <c r="D360" s="58" t="s">
        <v>22</v>
      </c>
      <c r="E360" s="62">
        <v>2.8700000000000002E-3</v>
      </c>
    </row>
    <row r="361" spans="2:5" x14ac:dyDescent="0.25">
      <c r="B361" s="56" t="s">
        <v>41</v>
      </c>
      <c r="C361" s="57" t="s">
        <v>23</v>
      </c>
      <c r="D361" s="58" t="s">
        <v>22</v>
      </c>
      <c r="E361" s="62">
        <v>2.3800000000000002E-3</v>
      </c>
    </row>
    <row r="362" spans="2:5" x14ac:dyDescent="0.25">
      <c r="B362" s="56" t="s">
        <v>41</v>
      </c>
      <c r="C362" s="57" t="s">
        <v>21</v>
      </c>
      <c r="D362" s="58" t="s">
        <v>35</v>
      </c>
      <c r="E362" s="62">
        <v>4.0300000000000015E-3</v>
      </c>
    </row>
    <row r="363" spans="2:5" x14ac:dyDescent="0.25">
      <c r="B363" s="56" t="s">
        <v>41</v>
      </c>
      <c r="C363" s="57" t="s">
        <v>21</v>
      </c>
      <c r="D363" s="58" t="s">
        <v>31</v>
      </c>
      <c r="E363" s="62">
        <v>5.4000000000000012E-3</v>
      </c>
    </row>
    <row r="364" spans="2:5" x14ac:dyDescent="0.25">
      <c r="B364" s="56" t="s">
        <v>41</v>
      </c>
      <c r="C364" s="57" t="s">
        <v>25</v>
      </c>
      <c r="D364" s="58" t="s">
        <v>22</v>
      </c>
      <c r="E364" s="62">
        <v>5.0399999999999993E-3</v>
      </c>
    </row>
    <row r="365" spans="2:5" x14ac:dyDescent="0.25">
      <c r="B365" s="56" t="s">
        <v>41</v>
      </c>
      <c r="C365" s="57" t="s">
        <v>25</v>
      </c>
      <c r="D365" s="58" t="s">
        <v>24</v>
      </c>
      <c r="E365" s="62">
        <v>2.1400000000000008E-3</v>
      </c>
    </row>
    <row r="366" spans="2:5" x14ac:dyDescent="0.25">
      <c r="B366" s="56" t="s">
        <v>41</v>
      </c>
      <c r="C366" s="57" t="s">
        <v>25</v>
      </c>
      <c r="D366" s="58" t="s">
        <v>24</v>
      </c>
      <c r="E366" s="62">
        <v>2.3999999999999994E-3</v>
      </c>
    </row>
    <row r="367" spans="2:5" x14ac:dyDescent="0.25">
      <c r="B367" s="56" t="s">
        <v>41</v>
      </c>
      <c r="C367" s="57" t="s">
        <v>25</v>
      </c>
      <c r="D367" s="58" t="s">
        <v>24</v>
      </c>
      <c r="E367" s="62">
        <v>4.5800000000000007E-3</v>
      </c>
    </row>
    <row r="368" spans="2:5" x14ac:dyDescent="0.25">
      <c r="B368" s="56" t="s">
        <v>41</v>
      </c>
      <c r="C368" s="57" t="s">
        <v>25</v>
      </c>
      <c r="D368" s="58" t="s">
        <v>24</v>
      </c>
      <c r="E368" s="62">
        <v>3.3299999999999996E-3</v>
      </c>
    </row>
    <row r="369" spans="2:5" x14ac:dyDescent="0.25">
      <c r="B369" s="56" t="s">
        <v>41</v>
      </c>
      <c r="C369" s="57" t="s">
        <v>25</v>
      </c>
      <c r="D369" s="58" t="s">
        <v>24</v>
      </c>
      <c r="E369" s="62">
        <v>2.7500000000000007E-3</v>
      </c>
    </row>
    <row r="370" spans="2:5" x14ac:dyDescent="0.25">
      <c r="B370" s="56" t="s">
        <v>41</v>
      </c>
      <c r="C370" s="57" t="s">
        <v>36</v>
      </c>
      <c r="D370" s="58" t="s">
        <v>31</v>
      </c>
      <c r="E370" s="62">
        <v>4.0700000000000007E-3</v>
      </c>
    </row>
    <row r="371" spans="2:5" x14ac:dyDescent="0.25">
      <c r="B371" s="56" t="s">
        <v>41</v>
      </c>
      <c r="C371" s="57" t="s">
        <v>36</v>
      </c>
      <c r="D371" s="58" t="s">
        <v>24</v>
      </c>
      <c r="E371" s="62">
        <v>4.429999999999999E-3</v>
      </c>
    </row>
    <row r="372" spans="2:5" x14ac:dyDescent="0.25">
      <c r="B372" s="56" t="s">
        <v>41</v>
      </c>
      <c r="C372" s="57" t="s">
        <v>36</v>
      </c>
      <c r="D372" s="58" t="s">
        <v>24</v>
      </c>
      <c r="E372" s="62">
        <v>4.2199999999999998E-3</v>
      </c>
    </row>
    <row r="373" spans="2:5" x14ac:dyDescent="0.25">
      <c r="B373" s="56" t="s">
        <v>41</v>
      </c>
      <c r="C373" s="57" t="s">
        <v>36</v>
      </c>
      <c r="D373" s="58" t="s">
        <v>35</v>
      </c>
      <c r="E373" s="62">
        <v>3.1300000000000013E-3</v>
      </c>
    </row>
    <row r="374" spans="2:5" x14ac:dyDescent="0.25">
      <c r="B374" s="56" t="s">
        <v>41</v>
      </c>
      <c r="C374" s="57" t="s">
        <v>36</v>
      </c>
      <c r="D374" s="58" t="s">
        <v>35</v>
      </c>
      <c r="E374" s="62">
        <v>3.5400000000000015E-3</v>
      </c>
    </row>
    <row r="375" spans="2:5" x14ac:dyDescent="0.25">
      <c r="B375" s="56" t="s">
        <v>41</v>
      </c>
      <c r="C375" s="57" t="s">
        <v>26</v>
      </c>
      <c r="D375" s="58" t="s">
        <v>40</v>
      </c>
      <c r="E375" s="62">
        <v>5.1599999999999988E-3</v>
      </c>
    </row>
    <row r="376" spans="2:5" x14ac:dyDescent="0.25">
      <c r="B376" s="56" t="s">
        <v>41</v>
      </c>
      <c r="C376" s="57" t="s">
        <v>26</v>
      </c>
      <c r="D376" s="58" t="s">
        <v>40</v>
      </c>
      <c r="E376" s="62">
        <v>5.2999999999999983E-3</v>
      </c>
    </row>
    <row r="377" spans="2:5" x14ac:dyDescent="0.25">
      <c r="B377" s="56" t="s">
        <v>41</v>
      </c>
      <c r="C377" s="57" t="s">
        <v>26</v>
      </c>
      <c r="D377" s="58" t="s">
        <v>40</v>
      </c>
      <c r="E377" s="62">
        <v>4.1399999999999987E-3</v>
      </c>
    </row>
    <row r="378" spans="2:5" x14ac:dyDescent="0.25">
      <c r="B378" s="56" t="s">
        <v>41</v>
      </c>
      <c r="C378" s="57" t="s">
        <v>26</v>
      </c>
      <c r="D378" s="58" t="s">
        <v>40</v>
      </c>
      <c r="E378" s="62">
        <v>4.5300000000000002E-3</v>
      </c>
    </row>
    <row r="379" spans="2:5" x14ac:dyDescent="0.25">
      <c r="B379" s="56" t="s">
        <v>41</v>
      </c>
      <c r="C379" s="57" t="s">
        <v>26</v>
      </c>
      <c r="D379" s="58" t="s">
        <v>40</v>
      </c>
      <c r="E379" s="62">
        <v>5.0700000000000007E-3</v>
      </c>
    </row>
    <row r="380" spans="2:5" x14ac:dyDescent="0.25">
      <c r="B380" s="56" t="s">
        <v>41</v>
      </c>
      <c r="C380" s="57" t="s">
        <v>26</v>
      </c>
      <c r="D380" s="58" t="s">
        <v>40</v>
      </c>
      <c r="E380" s="62">
        <v>5.2999999999999983E-3</v>
      </c>
    </row>
    <row r="381" spans="2:5" x14ac:dyDescent="0.25">
      <c r="B381" s="56" t="s">
        <v>41</v>
      </c>
      <c r="C381" s="57" t="s">
        <v>26</v>
      </c>
      <c r="D381" s="58" t="s">
        <v>40</v>
      </c>
      <c r="E381" s="62">
        <v>5.4800000000000005E-3</v>
      </c>
    </row>
    <row r="382" spans="2:5" x14ac:dyDescent="0.25">
      <c r="B382" s="56" t="s">
        <v>41</v>
      </c>
      <c r="C382" s="57" t="s">
        <v>26</v>
      </c>
      <c r="D382" s="58" t="s">
        <v>40</v>
      </c>
      <c r="E382" s="62">
        <v>4.7900000000000017E-3</v>
      </c>
    </row>
    <row r="383" spans="2:5" x14ac:dyDescent="0.25">
      <c r="B383" s="56" t="s">
        <v>42</v>
      </c>
      <c r="C383" s="57" t="s">
        <v>26</v>
      </c>
      <c r="D383" s="58" t="s">
        <v>35</v>
      </c>
      <c r="E383" s="62">
        <v>2.8100000000000009E-3</v>
      </c>
    </row>
    <row r="384" spans="2:5" x14ac:dyDescent="0.25">
      <c r="B384" s="56" t="s">
        <v>42</v>
      </c>
      <c r="C384" s="57" t="s">
        <v>25</v>
      </c>
      <c r="D384" s="58" t="s">
        <v>35</v>
      </c>
      <c r="E384" s="62">
        <v>1.0700000000000004E-3</v>
      </c>
    </row>
    <row r="385" spans="2:5" x14ac:dyDescent="0.25">
      <c r="B385" s="56" t="s">
        <v>42</v>
      </c>
      <c r="C385" s="57" t="s">
        <v>26</v>
      </c>
      <c r="D385" s="58" t="s">
        <v>29</v>
      </c>
      <c r="E385" s="62">
        <v>3.4200000000000012E-3</v>
      </c>
    </row>
    <row r="386" spans="2:5" x14ac:dyDescent="0.25">
      <c r="B386" s="56" t="s">
        <v>42</v>
      </c>
      <c r="C386" s="57" t="s">
        <v>26</v>
      </c>
      <c r="D386" s="58" t="s">
        <v>30</v>
      </c>
      <c r="E386" s="62">
        <v>2.8400000000000001E-3</v>
      </c>
    </row>
    <row r="387" spans="2:5" x14ac:dyDescent="0.25">
      <c r="B387" s="56" t="s">
        <v>42</v>
      </c>
      <c r="C387" s="57" t="s">
        <v>25</v>
      </c>
      <c r="D387" s="58" t="s">
        <v>35</v>
      </c>
      <c r="E387" s="62">
        <v>1.0399999999999997E-3</v>
      </c>
    </row>
    <row r="388" spans="2:5" x14ac:dyDescent="0.25">
      <c r="B388" s="56" t="s">
        <v>42</v>
      </c>
      <c r="C388" s="57" t="s">
        <v>25</v>
      </c>
      <c r="D388" s="58" t="s">
        <v>35</v>
      </c>
      <c r="E388" s="62">
        <v>1.0499999999999995E-3</v>
      </c>
    </row>
    <row r="389" spans="2:5" x14ac:dyDescent="0.25">
      <c r="B389" s="56" t="s">
        <v>42</v>
      </c>
      <c r="C389" s="57" t="s">
        <v>26</v>
      </c>
      <c r="D389" s="58" t="s">
        <v>35</v>
      </c>
      <c r="E389" s="62">
        <v>1.1100000000000005E-3</v>
      </c>
    </row>
    <row r="390" spans="2:5" x14ac:dyDescent="0.25">
      <c r="B390" s="56" t="s">
        <v>42</v>
      </c>
      <c r="C390" s="57" t="s">
        <v>26</v>
      </c>
      <c r="D390" s="58" t="s">
        <v>32</v>
      </c>
      <c r="E390" s="62">
        <v>3.2099999999999993E-3</v>
      </c>
    </row>
    <row r="391" spans="2:5" x14ac:dyDescent="0.25">
      <c r="B391" s="56" t="s">
        <v>42</v>
      </c>
      <c r="C391" s="57" t="s">
        <v>25</v>
      </c>
      <c r="D391" s="58" t="s">
        <v>35</v>
      </c>
      <c r="E391" s="62">
        <v>1.2100000000000001E-3</v>
      </c>
    </row>
    <row r="392" spans="2:5" x14ac:dyDescent="0.25">
      <c r="B392" s="56" t="s">
        <v>42</v>
      </c>
      <c r="C392" s="57" t="s">
        <v>25</v>
      </c>
      <c r="D392" s="58" t="s">
        <v>35</v>
      </c>
      <c r="E392" s="62">
        <v>9.8999999999999956E-4</v>
      </c>
    </row>
    <row r="393" spans="2:5" x14ac:dyDescent="0.25">
      <c r="B393" s="56" t="s">
        <v>42</v>
      </c>
      <c r="C393" s="57" t="s">
        <v>25</v>
      </c>
      <c r="D393" s="58" t="s">
        <v>35</v>
      </c>
      <c r="E393" s="62">
        <v>1.2199999999999999E-3</v>
      </c>
    </row>
    <row r="394" spans="2:5" x14ac:dyDescent="0.25">
      <c r="B394" s="56" t="s">
        <v>42</v>
      </c>
      <c r="C394" s="57" t="s">
        <v>38</v>
      </c>
      <c r="D394" s="58" t="s">
        <v>35</v>
      </c>
      <c r="E394" s="62">
        <v>2.2499999999999994E-3</v>
      </c>
    </row>
    <row r="395" spans="2:5" x14ac:dyDescent="0.25">
      <c r="B395" s="56" t="s">
        <v>42</v>
      </c>
      <c r="C395" s="57" t="s">
        <v>36</v>
      </c>
      <c r="D395" s="58" t="s">
        <v>24</v>
      </c>
      <c r="E395" s="62">
        <v>3.2099999999999993E-3</v>
      </c>
    </row>
    <row r="396" spans="2:5" x14ac:dyDescent="0.25">
      <c r="B396" s="56" t="s">
        <v>43</v>
      </c>
      <c r="C396" s="57" t="s">
        <v>26</v>
      </c>
      <c r="D396" s="58" t="s">
        <v>37</v>
      </c>
      <c r="E396" s="62">
        <v>2.2209999999999997E-2</v>
      </c>
    </row>
    <row r="397" spans="2:5" x14ac:dyDescent="0.25">
      <c r="B397" s="56" t="s">
        <v>43</v>
      </c>
      <c r="C397" s="57" t="s">
        <v>26</v>
      </c>
      <c r="D397" s="58" t="s">
        <v>27</v>
      </c>
      <c r="E397" s="62">
        <v>1.106E-2</v>
      </c>
    </row>
    <row r="398" spans="2:5" x14ac:dyDescent="0.25">
      <c r="B398" s="56" t="s">
        <v>43</v>
      </c>
      <c r="C398" s="57" t="s">
        <v>26</v>
      </c>
      <c r="D398" s="58" t="s">
        <v>28</v>
      </c>
      <c r="E398" s="62">
        <v>3.4039999999999994E-2</v>
      </c>
    </row>
    <row r="399" spans="2:5" x14ac:dyDescent="0.25">
      <c r="B399" s="56" t="s">
        <v>43</v>
      </c>
      <c r="C399" s="57" t="s">
        <v>26</v>
      </c>
      <c r="D399" s="58" t="s">
        <v>31</v>
      </c>
      <c r="E399" s="62">
        <v>5.2540000000000017E-2</v>
      </c>
    </row>
    <row r="400" spans="2:5" x14ac:dyDescent="0.25">
      <c r="B400" s="56" t="s">
        <v>43</v>
      </c>
      <c r="C400" s="57" t="s">
        <v>26</v>
      </c>
      <c r="D400" s="58" t="s">
        <v>28</v>
      </c>
      <c r="E400" s="62">
        <v>3.8569999999999993E-2</v>
      </c>
    </row>
    <row r="401" spans="2:5" x14ac:dyDescent="0.25">
      <c r="B401" s="56" t="s">
        <v>43</v>
      </c>
      <c r="C401" s="57" t="s">
        <v>26</v>
      </c>
      <c r="D401" s="58" t="s">
        <v>29</v>
      </c>
      <c r="E401" s="62">
        <v>7.9499999999999987E-3</v>
      </c>
    </row>
    <row r="402" spans="2:5" x14ac:dyDescent="0.25">
      <c r="B402" s="56" t="s">
        <v>43</v>
      </c>
      <c r="C402" s="57" t="s">
        <v>26</v>
      </c>
      <c r="D402" s="58" t="s">
        <v>29</v>
      </c>
      <c r="E402" s="62">
        <v>1.9789999999999999E-2</v>
      </c>
    </row>
    <row r="403" spans="2:5" x14ac:dyDescent="0.25">
      <c r="B403" s="56" t="s">
        <v>43</v>
      </c>
      <c r="C403" s="57" t="s">
        <v>26</v>
      </c>
      <c r="D403" s="58" t="s">
        <v>37</v>
      </c>
      <c r="E403" s="62">
        <v>3.5009999999999999E-2</v>
      </c>
    </row>
    <row r="404" spans="2:5" x14ac:dyDescent="0.25">
      <c r="B404" s="56" t="s">
        <v>43</v>
      </c>
      <c r="C404" s="57" t="s">
        <v>26</v>
      </c>
      <c r="D404" s="58" t="s">
        <v>37</v>
      </c>
      <c r="E404" s="62">
        <v>9.8399999999999963E-3</v>
      </c>
    </row>
    <row r="405" spans="2:5" x14ac:dyDescent="0.25">
      <c r="B405" s="56" t="s">
        <v>43</v>
      </c>
      <c r="C405" s="57" t="s">
        <v>26</v>
      </c>
      <c r="D405" s="58" t="s">
        <v>22</v>
      </c>
      <c r="E405" s="62">
        <v>2.7270000000000003E-2</v>
      </c>
    </row>
    <row r="406" spans="2:5" x14ac:dyDescent="0.25">
      <c r="B406" s="56" t="s">
        <v>43</v>
      </c>
      <c r="C406" s="57" t="s">
        <v>26</v>
      </c>
      <c r="D406" s="58" t="s">
        <v>37</v>
      </c>
      <c r="E406" s="62">
        <v>5.3800000000000001E-2</v>
      </c>
    </row>
    <row r="407" spans="2:5" x14ac:dyDescent="0.25">
      <c r="B407" s="56" t="s">
        <v>43</v>
      </c>
      <c r="C407" s="57" t="s">
        <v>26</v>
      </c>
      <c r="D407" s="58" t="s">
        <v>37</v>
      </c>
      <c r="E407" s="62">
        <v>5.4129999999999991E-2</v>
      </c>
    </row>
    <row r="408" spans="2:5" x14ac:dyDescent="0.25">
      <c r="B408" s="56" t="s">
        <v>43</v>
      </c>
      <c r="C408" s="57" t="s">
        <v>26</v>
      </c>
      <c r="D408" s="58" t="s">
        <v>28</v>
      </c>
      <c r="E408" s="62">
        <v>1.917E-2</v>
      </c>
    </row>
    <row r="409" spans="2:5" x14ac:dyDescent="0.25">
      <c r="B409" s="56" t="s">
        <v>43</v>
      </c>
      <c r="C409" s="57" t="s">
        <v>34</v>
      </c>
      <c r="D409" s="58" t="s">
        <v>35</v>
      </c>
      <c r="E409" s="62">
        <v>3.0790000000000008E-2</v>
      </c>
    </row>
    <row r="410" spans="2:5" x14ac:dyDescent="0.25">
      <c r="B410" s="56" t="s">
        <v>43</v>
      </c>
      <c r="C410" s="57" t="s">
        <v>34</v>
      </c>
      <c r="D410" s="58" t="s">
        <v>27</v>
      </c>
      <c r="E410" s="62">
        <v>4.0589999999999994E-2</v>
      </c>
    </row>
    <row r="411" spans="2:5" x14ac:dyDescent="0.25">
      <c r="B411" s="56" t="s">
        <v>43</v>
      </c>
      <c r="C411" s="57" t="s">
        <v>34</v>
      </c>
      <c r="D411" s="58" t="s">
        <v>35</v>
      </c>
      <c r="E411" s="62">
        <v>3.0869999999999998E-2</v>
      </c>
    </row>
    <row r="412" spans="2:5" x14ac:dyDescent="0.25">
      <c r="B412" s="56" t="s">
        <v>43</v>
      </c>
      <c r="C412" s="57" t="s">
        <v>26</v>
      </c>
      <c r="D412" s="58" t="s">
        <v>32</v>
      </c>
      <c r="E412" s="62">
        <v>6.5930000000000016E-2</v>
      </c>
    </row>
    <row r="413" spans="2:5" x14ac:dyDescent="0.25">
      <c r="B413" s="56" t="s">
        <v>43</v>
      </c>
      <c r="C413" s="57" t="s">
        <v>26</v>
      </c>
      <c r="D413" s="58" t="s">
        <v>24</v>
      </c>
      <c r="E413" s="62">
        <v>4.4830000000000002E-2</v>
      </c>
    </row>
    <row r="414" spans="2:5" x14ac:dyDescent="0.25">
      <c r="B414" s="56" t="s">
        <v>43</v>
      </c>
      <c r="C414" s="57" t="s">
        <v>26</v>
      </c>
      <c r="D414" s="58" t="s">
        <v>37</v>
      </c>
      <c r="E414" s="62">
        <v>3.7769999999999991E-2</v>
      </c>
    </row>
    <row r="415" spans="2:5" x14ac:dyDescent="0.25">
      <c r="B415" s="56" t="s">
        <v>43</v>
      </c>
      <c r="C415" s="57" t="s">
        <v>26</v>
      </c>
      <c r="D415" s="58" t="s">
        <v>37</v>
      </c>
      <c r="E415" s="62">
        <v>4.8690000000000004E-2</v>
      </c>
    </row>
    <row r="416" spans="2:5" x14ac:dyDescent="0.25">
      <c r="B416" s="56" t="s">
        <v>43</v>
      </c>
      <c r="C416" s="57" t="s">
        <v>25</v>
      </c>
      <c r="D416" s="58" t="s">
        <v>35</v>
      </c>
      <c r="E416" s="62">
        <v>2.3980000000000005E-2</v>
      </c>
    </row>
    <row r="417" spans="2:5" x14ac:dyDescent="0.25">
      <c r="B417" s="56" t="s">
        <v>43</v>
      </c>
      <c r="C417" s="57" t="s">
        <v>26</v>
      </c>
      <c r="D417" s="58" t="s">
        <v>30</v>
      </c>
      <c r="E417" s="62">
        <v>6.5930000000000016E-2</v>
      </c>
    </row>
    <row r="418" spans="2:5" x14ac:dyDescent="0.25">
      <c r="B418" s="56" t="s">
        <v>43</v>
      </c>
      <c r="C418" s="57" t="s">
        <v>26</v>
      </c>
      <c r="D418" s="58" t="s">
        <v>37</v>
      </c>
      <c r="E418" s="62">
        <v>1.3830000000000002E-2</v>
      </c>
    </row>
    <row r="419" spans="2:5" x14ac:dyDescent="0.25">
      <c r="B419" s="56" t="s">
        <v>43</v>
      </c>
      <c r="C419" s="57" t="s">
        <v>26</v>
      </c>
      <c r="D419" s="58" t="s">
        <v>28</v>
      </c>
      <c r="E419" s="62">
        <v>2.7560000000000005E-2</v>
      </c>
    </row>
    <row r="420" spans="2:5" x14ac:dyDescent="0.25">
      <c r="B420" s="56" t="s">
        <v>43</v>
      </c>
      <c r="C420" s="57" t="s">
        <v>26</v>
      </c>
      <c r="D420" s="58" t="s">
        <v>31</v>
      </c>
      <c r="E420" s="62">
        <v>5.525999999999999E-2</v>
      </c>
    </row>
    <row r="421" spans="2:5" x14ac:dyDescent="0.25">
      <c r="B421" s="56" t="s">
        <v>43</v>
      </c>
      <c r="C421" s="57" t="s">
        <v>26</v>
      </c>
      <c r="D421" s="58" t="s">
        <v>37</v>
      </c>
      <c r="E421" s="62">
        <v>3.0800000000000001E-2</v>
      </c>
    </row>
    <row r="422" spans="2:5" x14ac:dyDescent="0.25">
      <c r="B422" s="56" t="s">
        <v>43</v>
      </c>
      <c r="C422" s="57" t="s">
        <v>26</v>
      </c>
      <c r="D422" s="58" t="s">
        <v>37</v>
      </c>
      <c r="E422" s="62">
        <v>4.9329999999999999E-2</v>
      </c>
    </row>
    <row r="423" spans="2:5" x14ac:dyDescent="0.25">
      <c r="B423" s="56" t="s">
        <v>43</v>
      </c>
      <c r="C423" s="57" t="s">
        <v>26</v>
      </c>
      <c r="D423" s="58" t="s">
        <v>31</v>
      </c>
      <c r="E423" s="62">
        <v>1.7600000000000008E-2</v>
      </c>
    </row>
    <row r="424" spans="2:5" x14ac:dyDescent="0.25">
      <c r="B424" s="56" t="s">
        <v>43</v>
      </c>
      <c r="C424" s="57" t="s">
        <v>26</v>
      </c>
      <c r="D424" s="58" t="s">
        <v>33</v>
      </c>
      <c r="E424" s="62">
        <v>2.2329999999999996E-2</v>
      </c>
    </row>
    <row r="425" spans="2:5" x14ac:dyDescent="0.25">
      <c r="B425" s="56" t="s">
        <v>43</v>
      </c>
      <c r="C425" s="57" t="s">
        <v>26</v>
      </c>
      <c r="D425" s="58" t="s">
        <v>33</v>
      </c>
      <c r="E425" s="62">
        <v>2.2390000000000004E-2</v>
      </c>
    </row>
    <row r="426" spans="2:5" x14ac:dyDescent="0.25">
      <c r="B426" s="56" t="s">
        <v>43</v>
      </c>
      <c r="C426" s="57" t="s">
        <v>26</v>
      </c>
      <c r="D426" s="58" t="s">
        <v>37</v>
      </c>
      <c r="E426" s="62">
        <v>5.3519999999999998E-2</v>
      </c>
    </row>
    <row r="427" spans="2:5" x14ac:dyDescent="0.25">
      <c r="B427" s="56" t="s">
        <v>43</v>
      </c>
      <c r="C427" s="57" t="s">
        <v>26</v>
      </c>
      <c r="D427" s="58" t="s">
        <v>37</v>
      </c>
      <c r="E427" s="62">
        <v>5.7129999999999993E-2</v>
      </c>
    </row>
    <row r="428" spans="2:5" x14ac:dyDescent="0.25">
      <c r="B428" s="56" t="s">
        <v>43</v>
      </c>
      <c r="C428" s="57" t="s">
        <v>26</v>
      </c>
      <c r="D428" s="58" t="s">
        <v>29</v>
      </c>
      <c r="E428" s="62">
        <v>4.7670000000000004E-2</v>
      </c>
    </row>
    <row r="429" spans="2:5" x14ac:dyDescent="0.25">
      <c r="B429" s="56" t="s">
        <v>43</v>
      </c>
      <c r="C429" s="57" t="s">
        <v>26</v>
      </c>
      <c r="D429" s="58" t="s">
        <v>31</v>
      </c>
      <c r="E429" s="62">
        <v>1.7630000000000007E-2</v>
      </c>
    </row>
    <row r="430" spans="2:5" x14ac:dyDescent="0.25">
      <c r="B430" s="56" t="s">
        <v>43</v>
      </c>
      <c r="C430" s="57" t="s">
        <v>26</v>
      </c>
      <c r="D430" s="58" t="s">
        <v>30</v>
      </c>
      <c r="E430" s="62">
        <v>3.1029999999999999E-2</v>
      </c>
    </row>
    <row r="431" spans="2:5" x14ac:dyDescent="0.25">
      <c r="B431" s="56" t="s">
        <v>43</v>
      </c>
      <c r="C431" s="57" t="s">
        <v>26</v>
      </c>
      <c r="D431" s="58" t="s">
        <v>27</v>
      </c>
      <c r="E431" s="62">
        <v>6.183000000000001E-2</v>
      </c>
    </row>
    <row r="432" spans="2:5" x14ac:dyDescent="0.25">
      <c r="B432" s="56" t="s">
        <v>43</v>
      </c>
      <c r="C432" s="57" t="s">
        <v>26</v>
      </c>
      <c r="D432" s="58" t="s">
        <v>37</v>
      </c>
      <c r="E432" s="62">
        <v>3.2059999999999998E-2</v>
      </c>
    </row>
    <row r="433" spans="2:5" x14ac:dyDescent="0.25">
      <c r="B433" s="56" t="s">
        <v>43</v>
      </c>
      <c r="C433" s="57" t="s">
        <v>21</v>
      </c>
      <c r="D433" s="58" t="s">
        <v>35</v>
      </c>
      <c r="E433" s="62">
        <v>3.0800000000000001E-2</v>
      </c>
    </row>
    <row r="434" spans="2:5" x14ac:dyDescent="0.25">
      <c r="B434" s="56" t="s">
        <v>43</v>
      </c>
      <c r="C434" s="57" t="s">
        <v>25</v>
      </c>
      <c r="D434" s="58" t="s">
        <v>28</v>
      </c>
      <c r="E434" s="62">
        <v>6.0999999999999997E-4</v>
      </c>
    </row>
    <row r="435" spans="2:5" x14ac:dyDescent="0.25">
      <c r="B435" s="56" t="s">
        <v>43</v>
      </c>
      <c r="C435" s="57" t="s">
        <v>25</v>
      </c>
      <c r="D435" s="58" t="s">
        <v>31</v>
      </c>
      <c r="E435" s="62">
        <v>4.274E-2</v>
      </c>
    </row>
    <row r="436" spans="2:5" x14ac:dyDescent="0.25">
      <c r="B436" s="56" t="s">
        <v>43</v>
      </c>
      <c r="C436" s="57" t="s">
        <v>25</v>
      </c>
      <c r="D436" s="58" t="s">
        <v>29</v>
      </c>
      <c r="E436" s="62">
        <v>1.0200000000000006E-2</v>
      </c>
    </row>
    <row r="437" spans="2:5" x14ac:dyDescent="0.25">
      <c r="B437" s="56" t="s">
        <v>43</v>
      </c>
      <c r="C437" s="57" t="s">
        <v>25</v>
      </c>
      <c r="D437" s="58" t="s">
        <v>37</v>
      </c>
      <c r="E437" s="62">
        <v>4.6099999999999995E-3</v>
      </c>
    </row>
    <row r="438" spans="2:5" x14ac:dyDescent="0.25">
      <c r="B438" s="56" t="s">
        <v>43</v>
      </c>
      <c r="C438" s="57" t="s">
        <v>25</v>
      </c>
      <c r="D438" s="58" t="s">
        <v>37</v>
      </c>
      <c r="E438" s="62">
        <v>2.8319999999999994E-2</v>
      </c>
    </row>
    <row r="439" spans="2:5" x14ac:dyDescent="0.25">
      <c r="B439" s="56" t="s">
        <v>43</v>
      </c>
      <c r="C439" s="57" t="s">
        <v>25</v>
      </c>
      <c r="D439" s="58" t="s">
        <v>31</v>
      </c>
      <c r="E439" s="62">
        <v>2.2199999999999993E-3</v>
      </c>
    </row>
    <row r="440" spans="2:5" x14ac:dyDescent="0.25">
      <c r="B440" s="56" t="s">
        <v>43</v>
      </c>
      <c r="C440" s="57" t="s">
        <v>25</v>
      </c>
      <c r="D440" s="58" t="s">
        <v>37</v>
      </c>
      <c r="E440" s="62">
        <v>1.3789999999999998E-2</v>
      </c>
    </row>
    <row r="441" spans="2:5" x14ac:dyDescent="0.25">
      <c r="B441" s="56" t="s">
        <v>43</v>
      </c>
      <c r="C441" s="57" t="s">
        <v>25</v>
      </c>
      <c r="D441" s="58" t="s">
        <v>31</v>
      </c>
      <c r="E441" s="62">
        <v>5.8599999999999999E-2</v>
      </c>
    </row>
    <row r="442" spans="2:5" x14ac:dyDescent="0.25">
      <c r="B442" s="56" t="s">
        <v>43</v>
      </c>
      <c r="C442" s="57" t="s">
        <v>25</v>
      </c>
      <c r="D442" s="58" t="s">
        <v>31</v>
      </c>
      <c r="E442" s="62">
        <v>2.0790000000000003E-2</v>
      </c>
    </row>
    <row r="443" spans="2:5" x14ac:dyDescent="0.25">
      <c r="B443" s="56" t="s">
        <v>43</v>
      </c>
      <c r="C443" s="57" t="s">
        <v>25</v>
      </c>
      <c r="D443" s="58" t="s">
        <v>28</v>
      </c>
      <c r="E443" s="62">
        <v>9.1000000000000033E-4</v>
      </c>
    </row>
    <row r="444" spans="2:5" x14ac:dyDescent="0.25">
      <c r="B444" s="56" t="s">
        <v>43</v>
      </c>
      <c r="C444" s="57" t="s">
        <v>25</v>
      </c>
      <c r="D444" s="58" t="s">
        <v>37</v>
      </c>
      <c r="E444" s="62">
        <v>4.36E-2</v>
      </c>
    </row>
    <row r="445" spans="2:5" x14ac:dyDescent="0.25">
      <c r="B445" s="56" t="s">
        <v>43</v>
      </c>
      <c r="C445" s="57" t="s">
        <v>25</v>
      </c>
      <c r="D445" s="58" t="s">
        <v>28</v>
      </c>
      <c r="E445" s="62">
        <v>7.0460000000000009E-2</v>
      </c>
    </row>
    <row r="446" spans="2:5" x14ac:dyDescent="0.25">
      <c r="B446" s="56" t="s">
        <v>43</v>
      </c>
      <c r="C446" s="57" t="s">
        <v>25</v>
      </c>
      <c r="D446" s="58" t="s">
        <v>24</v>
      </c>
      <c r="E446" s="62">
        <v>2.5699999999999997E-2</v>
      </c>
    </row>
    <row r="447" spans="2:5" x14ac:dyDescent="0.25">
      <c r="B447" s="56" t="s">
        <v>43</v>
      </c>
      <c r="C447" s="57" t="s">
        <v>25</v>
      </c>
      <c r="D447" s="58" t="s">
        <v>28</v>
      </c>
      <c r="E447" s="62">
        <v>1.9759999999999996E-2</v>
      </c>
    </row>
    <row r="448" spans="2:5" x14ac:dyDescent="0.25">
      <c r="B448" s="56" t="s">
        <v>43</v>
      </c>
      <c r="C448" s="57" t="s">
        <v>25</v>
      </c>
      <c r="D448" s="58" t="s">
        <v>37</v>
      </c>
      <c r="E448" s="62">
        <v>1.6420000000000008E-2</v>
      </c>
    </row>
    <row r="449" spans="2:5" x14ac:dyDescent="0.25">
      <c r="B449" s="56" t="s">
        <v>43</v>
      </c>
      <c r="C449" s="57" t="s">
        <v>25</v>
      </c>
      <c r="D449" s="58" t="s">
        <v>29</v>
      </c>
      <c r="E449" s="62">
        <v>2.2589999999999999E-2</v>
      </c>
    </row>
    <row r="450" spans="2:5" x14ac:dyDescent="0.25">
      <c r="B450" s="56" t="s">
        <v>43</v>
      </c>
      <c r="C450" s="57" t="s">
        <v>25</v>
      </c>
      <c r="D450" s="58" t="s">
        <v>33</v>
      </c>
      <c r="E450" s="62">
        <v>1.2610000000000003E-2</v>
      </c>
    </row>
    <row r="451" spans="2:5" x14ac:dyDescent="0.25">
      <c r="B451" s="56" t="s">
        <v>43</v>
      </c>
      <c r="C451" s="57" t="s">
        <v>25</v>
      </c>
      <c r="D451" s="58" t="s">
        <v>37</v>
      </c>
      <c r="E451" s="62">
        <v>2.4399999999999998E-2</v>
      </c>
    </row>
    <row r="452" spans="2:5" x14ac:dyDescent="0.25">
      <c r="B452" s="56" t="s">
        <v>43</v>
      </c>
      <c r="C452" s="57" t="s">
        <v>25</v>
      </c>
      <c r="D452" s="58" t="s">
        <v>33</v>
      </c>
      <c r="E452" s="62">
        <v>1.3220000000000004E-2</v>
      </c>
    </row>
    <row r="453" spans="2:5" x14ac:dyDescent="0.25">
      <c r="B453" s="56" t="s">
        <v>43</v>
      </c>
      <c r="C453" s="57" t="s">
        <v>25</v>
      </c>
      <c r="D453" s="58" t="s">
        <v>37</v>
      </c>
      <c r="E453" s="62">
        <v>4.0640000000000009E-2</v>
      </c>
    </row>
    <row r="454" spans="2:5" x14ac:dyDescent="0.25">
      <c r="B454" s="56" t="s">
        <v>43</v>
      </c>
      <c r="C454" s="57" t="s">
        <v>25</v>
      </c>
      <c r="D454" s="58" t="s">
        <v>33</v>
      </c>
      <c r="E454" s="62">
        <v>1.3310000000000002E-2</v>
      </c>
    </row>
    <row r="455" spans="2:5" x14ac:dyDescent="0.25">
      <c r="B455" s="56" t="s">
        <v>43</v>
      </c>
      <c r="C455" s="57" t="s">
        <v>25</v>
      </c>
      <c r="D455" s="58" t="s">
        <v>33</v>
      </c>
      <c r="E455" s="62">
        <v>1.4689999999999995E-2</v>
      </c>
    </row>
    <row r="456" spans="2:5" x14ac:dyDescent="0.25">
      <c r="B456" s="56" t="s">
        <v>43</v>
      </c>
      <c r="C456" s="57" t="s">
        <v>25</v>
      </c>
      <c r="D456" s="58" t="s">
        <v>27</v>
      </c>
      <c r="E456" s="62">
        <v>2.5889999999999996E-2</v>
      </c>
    </row>
    <row r="457" spans="2:5" x14ac:dyDescent="0.25">
      <c r="B457" s="56" t="s">
        <v>43</v>
      </c>
      <c r="C457" s="57" t="s">
        <v>25</v>
      </c>
      <c r="D457" s="58" t="s">
        <v>28</v>
      </c>
      <c r="E457" s="62">
        <v>5.7259999999999998E-2</v>
      </c>
    </row>
    <row r="458" spans="2:5" x14ac:dyDescent="0.25">
      <c r="B458" s="56" t="s">
        <v>43</v>
      </c>
      <c r="C458" s="57" t="s">
        <v>21</v>
      </c>
      <c r="D458" s="58" t="s">
        <v>24</v>
      </c>
      <c r="E458" s="62">
        <v>3.9790000000000006E-2</v>
      </c>
    </row>
    <row r="459" spans="2:5" x14ac:dyDescent="0.25">
      <c r="B459" s="56" t="s">
        <v>43</v>
      </c>
      <c r="C459" s="57" t="s">
        <v>21</v>
      </c>
      <c r="D459" s="58" t="s">
        <v>35</v>
      </c>
      <c r="E459" s="62">
        <v>6.6490000000000007E-2</v>
      </c>
    </row>
    <row r="460" spans="2:5" x14ac:dyDescent="0.25">
      <c r="B460" s="56" t="s">
        <v>43</v>
      </c>
      <c r="C460" s="57" t="s">
        <v>21</v>
      </c>
      <c r="D460" s="58" t="s">
        <v>35</v>
      </c>
      <c r="E460" s="62">
        <v>1.9939999999999996E-2</v>
      </c>
    </row>
    <row r="461" spans="2:5" x14ac:dyDescent="0.25">
      <c r="B461" s="56" t="s">
        <v>43</v>
      </c>
      <c r="C461" s="57" t="s">
        <v>21</v>
      </c>
      <c r="D461" s="58" t="s">
        <v>24</v>
      </c>
      <c r="E461" s="62">
        <v>4.4459999999999993E-2</v>
      </c>
    </row>
    <row r="462" spans="2:5" x14ac:dyDescent="0.25">
      <c r="B462" s="56" t="s">
        <v>43</v>
      </c>
      <c r="C462" s="57" t="s">
        <v>21</v>
      </c>
      <c r="D462" s="58" t="s">
        <v>24</v>
      </c>
      <c r="E462" s="62">
        <v>4.5260000000000009E-2</v>
      </c>
    </row>
    <row r="463" spans="2:5" x14ac:dyDescent="0.25">
      <c r="B463" s="56" t="s">
        <v>43</v>
      </c>
      <c r="C463" s="57" t="s">
        <v>21</v>
      </c>
      <c r="D463" s="58" t="s">
        <v>24</v>
      </c>
      <c r="E463" s="62">
        <v>3.9739999999999991E-2</v>
      </c>
    </row>
    <row r="464" spans="2:5" x14ac:dyDescent="0.25">
      <c r="B464" s="56" t="s">
        <v>43</v>
      </c>
      <c r="C464" s="57" t="s">
        <v>25</v>
      </c>
      <c r="D464" s="58" t="s">
        <v>37</v>
      </c>
      <c r="E464" s="62">
        <v>2.6560000000000004E-2</v>
      </c>
    </row>
    <row r="465" spans="2:5" x14ac:dyDescent="0.25">
      <c r="B465" s="56" t="s">
        <v>43</v>
      </c>
      <c r="C465" s="57" t="s">
        <v>25</v>
      </c>
      <c r="D465" s="58" t="s">
        <v>37</v>
      </c>
      <c r="E465" s="62">
        <v>2.0979999999999995E-2</v>
      </c>
    </row>
    <row r="466" spans="2:5" x14ac:dyDescent="0.25">
      <c r="B466" s="56" t="s">
        <v>43</v>
      </c>
      <c r="C466" s="57" t="s">
        <v>34</v>
      </c>
      <c r="D466" s="58" t="s">
        <v>32</v>
      </c>
      <c r="E466" s="62">
        <v>6.1919999999999989E-2</v>
      </c>
    </row>
    <row r="467" spans="2:5" x14ac:dyDescent="0.25">
      <c r="B467" s="56" t="s">
        <v>43</v>
      </c>
      <c r="C467" s="57" t="s">
        <v>25</v>
      </c>
      <c r="D467" s="58" t="s">
        <v>24</v>
      </c>
      <c r="E467" s="62">
        <v>3.16E-3</v>
      </c>
    </row>
    <row r="468" spans="2:5" x14ac:dyDescent="0.25">
      <c r="B468" s="56" t="s">
        <v>43</v>
      </c>
      <c r="C468" s="57" t="s">
        <v>25</v>
      </c>
      <c r="D468" s="58" t="s">
        <v>24</v>
      </c>
      <c r="E468" s="62">
        <v>4.0430000000000001E-2</v>
      </c>
    </row>
    <row r="469" spans="2:5" x14ac:dyDescent="0.25">
      <c r="B469" s="56" t="s">
        <v>43</v>
      </c>
      <c r="C469" s="57" t="s">
        <v>26</v>
      </c>
      <c r="D469" s="58" t="s">
        <v>28</v>
      </c>
      <c r="E469" s="62">
        <v>5.7009999999999998E-2</v>
      </c>
    </row>
    <row r="470" spans="2:5" x14ac:dyDescent="0.25">
      <c r="B470" s="56" t="s">
        <v>43</v>
      </c>
      <c r="C470" s="57" t="s">
        <v>26</v>
      </c>
      <c r="D470" s="58" t="s">
        <v>28</v>
      </c>
      <c r="E470" s="62">
        <v>4.4790000000000003E-2</v>
      </c>
    </row>
    <row r="471" spans="2:5" x14ac:dyDescent="0.25">
      <c r="B471" s="56" t="s">
        <v>43</v>
      </c>
      <c r="C471" s="57" t="s">
        <v>26</v>
      </c>
      <c r="D471" s="58" t="s">
        <v>37</v>
      </c>
      <c r="E471" s="62">
        <v>2.0709999999999996E-2</v>
      </c>
    </row>
    <row r="472" spans="2:5" x14ac:dyDescent="0.25">
      <c r="B472" s="56" t="s">
        <v>43</v>
      </c>
      <c r="C472" s="57" t="s">
        <v>25</v>
      </c>
      <c r="D472" s="58" t="s">
        <v>31</v>
      </c>
      <c r="E472" s="62">
        <v>5.9749999999999998E-2</v>
      </c>
    </row>
    <row r="473" spans="2:5" x14ac:dyDescent="0.25">
      <c r="B473" s="56" t="s">
        <v>43</v>
      </c>
      <c r="C473" s="57" t="s">
        <v>25</v>
      </c>
      <c r="D473" s="58" t="s">
        <v>29</v>
      </c>
      <c r="E473" s="62">
        <v>2.3849999999999996E-2</v>
      </c>
    </row>
    <row r="474" spans="2:5" x14ac:dyDescent="0.25">
      <c r="B474" s="56" t="s">
        <v>43</v>
      </c>
      <c r="C474" s="57" t="s">
        <v>25</v>
      </c>
      <c r="D474" s="58" t="s">
        <v>31</v>
      </c>
      <c r="E474" s="62">
        <v>1.8939999999999999E-2</v>
      </c>
    </row>
    <row r="475" spans="2:5" x14ac:dyDescent="0.25">
      <c r="B475" s="56" t="s">
        <v>43</v>
      </c>
      <c r="C475" s="57" t="s">
        <v>26</v>
      </c>
      <c r="D475" s="58" t="s">
        <v>40</v>
      </c>
      <c r="E475" s="62">
        <v>4.0529999999999997E-2</v>
      </c>
    </row>
    <row r="476" spans="2:5" x14ac:dyDescent="0.25">
      <c r="B476" s="56" t="s">
        <v>43</v>
      </c>
      <c r="C476" s="57" t="s">
        <v>26</v>
      </c>
      <c r="D476" s="58" t="s">
        <v>40</v>
      </c>
      <c r="E476" s="62">
        <v>4.5099999999999994E-2</v>
      </c>
    </row>
    <row r="477" spans="2:5" x14ac:dyDescent="0.25">
      <c r="B477" s="56" t="s">
        <v>43</v>
      </c>
      <c r="C477" s="57" t="s">
        <v>26</v>
      </c>
      <c r="D477" s="58" t="s">
        <v>40</v>
      </c>
      <c r="E477" s="62">
        <v>2.5699999999999997E-2</v>
      </c>
    </row>
    <row r="478" spans="2:5" x14ac:dyDescent="0.25">
      <c r="B478" s="56" t="s">
        <v>43</v>
      </c>
      <c r="C478" s="57" t="s">
        <v>26</v>
      </c>
      <c r="D478" s="58" t="s">
        <v>40</v>
      </c>
      <c r="E478" s="62">
        <v>3.8529999999999995E-2</v>
      </c>
    </row>
    <row r="479" spans="2:5" x14ac:dyDescent="0.25">
      <c r="B479" s="56" t="s">
        <v>44</v>
      </c>
      <c r="C479" s="57" t="s">
        <v>26</v>
      </c>
      <c r="D479" s="58" t="s">
        <v>30</v>
      </c>
      <c r="E479" s="62">
        <v>7.9999999999999967E-3</v>
      </c>
    </row>
    <row r="480" spans="2:5" x14ac:dyDescent="0.25">
      <c r="B480" s="56" t="s">
        <v>44</v>
      </c>
      <c r="C480" s="57" t="s">
        <v>26</v>
      </c>
      <c r="D480" s="58" t="s">
        <v>31</v>
      </c>
      <c r="E480" s="62">
        <v>1.9879999999999995E-2</v>
      </c>
    </row>
    <row r="481" spans="2:5" x14ac:dyDescent="0.25">
      <c r="B481" s="56" t="s">
        <v>44</v>
      </c>
      <c r="C481" s="57" t="s">
        <v>26</v>
      </c>
      <c r="D481" s="58" t="s">
        <v>37</v>
      </c>
      <c r="E481" s="62">
        <v>1.2550000000000006E-2</v>
      </c>
    </row>
    <row r="482" spans="2:5" x14ac:dyDescent="0.25">
      <c r="B482" s="56" t="s">
        <v>44</v>
      </c>
      <c r="C482" s="57" t="s">
        <v>26</v>
      </c>
      <c r="D482" s="58" t="s">
        <v>27</v>
      </c>
      <c r="E482" s="62">
        <v>1.4850000000000002E-2</v>
      </c>
    </row>
    <row r="483" spans="2:5" x14ac:dyDescent="0.25">
      <c r="B483" s="56" t="s">
        <v>44</v>
      </c>
      <c r="C483" s="57" t="s">
        <v>26</v>
      </c>
      <c r="D483" s="58" t="s">
        <v>37</v>
      </c>
      <c r="E483" s="62">
        <v>2.4819999999999995E-2</v>
      </c>
    </row>
    <row r="484" spans="2:5" x14ac:dyDescent="0.25">
      <c r="B484" s="56" t="s">
        <v>44</v>
      </c>
      <c r="C484" s="57" t="s">
        <v>26</v>
      </c>
      <c r="D484" s="58" t="s">
        <v>37</v>
      </c>
      <c r="E484" s="62">
        <v>2.4410000000000001E-2</v>
      </c>
    </row>
    <row r="485" spans="2:5" x14ac:dyDescent="0.25">
      <c r="B485" s="56" t="s">
        <v>44</v>
      </c>
      <c r="C485" s="57" t="s">
        <v>26</v>
      </c>
      <c r="D485" s="58" t="s">
        <v>31</v>
      </c>
      <c r="E485" s="62">
        <v>5.4800000000000005E-3</v>
      </c>
    </row>
    <row r="486" spans="2:5" x14ac:dyDescent="0.25">
      <c r="B486" s="56" t="s">
        <v>44</v>
      </c>
      <c r="C486" s="57" t="s">
        <v>25</v>
      </c>
      <c r="D486" s="58" t="s">
        <v>24</v>
      </c>
      <c r="E486" s="62">
        <v>1.6020000000000006E-2</v>
      </c>
    </row>
    <row r="487" spans="2:5" x14ac:dyDescent="0.25">
      <c r="B487" s="56" t="s">
        <v>44</v>
      </c>
      <c r="C487" s="57" t="s">
        <v>34</v>
      </c>
      <c r="D487" s="58" t="s">
        <v>35</v>
      </c>
      <c r="E487" s="62">
        <v>1.6400000000000005E-2</v>
      </c>
    </row>
    <row r="488" spans="2:5" x14ac:dyDescent="0.25">
      <c r="B488" s="56" t="s">
        <v>44</v>
      </c>
      <c r="C488" s="57" t="s">
        <v>26</v>
      </c>
      <c r="D488" s="58" t="s">
        <v>31</v>
      </c>
      <c r="E488" s="62">
        <v>2.4129999999999999E-2</v>
      </c>
    </row>
    <row r="489" spans="2:5" x14ac:dyDescent="0.25">
      <c r="B489" s="56" t="s">
        <v>44</v>
      </c>
      <c r="C489" s="57" t="s">
        <v>26</v>
      </c>
      <c r="D489" s="58" t="s">
        <v>22</v>
      </c>
      <c r="E489" s="62">
        <v>8.2499999999999969E-3</v>
      </c>
    </row>
    <row r="490" spans="2:5" x14ac:dyDescent="0.25">
      <c r="B490" s="56" t="s">
        <v>44</v>
      </c>
      <c r="C490" s="57" t="s">
        <v>26</v>
      </c>
      <c r="D490" s="58" t="s">
        <v>24</v>
      </c>
      <c r="E490" s="62">
        <v>1.1339999999999994E-2</v>
      </c>
    </row>
    <row r="491" spans="2:5" x14ac:dyDescent="0.25">
      <c r="B491" s="56" t="s">
        <v>44</v>
      </c>
      <c r="C491" s="57" t="s">
        <v>26</v>
      </c>
      <c r="D491" s="58" t="s">
        <v>30</v>
      </c>
      <c r="E491" s="62">
        <v>1.6229999999999994E-2</v>
      </c>
    </row>
    <row r="492" spans="2:5" x14ac:dyDescent="0.25">
      <c r="B492" s="56" t="s">
        <v>44</v>
      </c>
      <c r="C492" s="57" t="s">
        <v>26</v>
      </c>
      <c r="D492" s="58" t="s">
        <v>27</v>
      </c>
      <c r="E492" s="62">
        <v>6.1700000000000001E-3</v>
      </c>
    </row>
    <row r="493" spans="2:5" x14ac:dyDescent="0.25">
      <c r="B493" s="56" t="s">
        <v>44</v>
      </c>
      <c r="C493" s="57" t="s">
        <v>26</v>
      </c>
      <c r="D493" s="58" t="s">
        <v>37</v>
      </c>
      <c r="E493" s="62">
        <v>1.5870000000000002E-2</v>
      </c>
    </row>
    <row r="494" spans="2:5" x14ac:dyDescent="0.25">
      <c r="B494" s="56" t="s">
        <v>44</v>
      </c>
      <c r="C494" s="57" t="s">
        <v>34</v>
      </c>
      <c r="D494" s="58" t="s">
        <v>35</v>
      </c>
      <c r="E494" s="62">
        <v>1.0979999999999997E-2</v>
      </c>
    </row>
    <row r="495" spans="2:5" x14ac:dyDescent="0.25">
      <c r="B495" s="56" t="s">
        <v>44</v>
      </c>
      <c r="C495" s="57" t="s">
        <v>26</v>
      </c>
      <c r="D495" s="58" t="s">
        <v>24</v>
      </c>
      <c r="E495" s="62">
        <v>8.630000000000004E-3</v>
      </c>
    </row>
    <row r="496" spans="2:5" x14ac:dyDescent="0.25">
      <c r="B496" s="56" t="s">
        <v>44</v>
      </c>
      <c r="C496" s="57" t="s">
        <v>26</v>
      </c>
      <c r="D496" s="58" t="s">
        <v>37</v>
      </c>
      <c r="E496" s="62">
        <v>1.3350000000000001E-2</v>
      </c>
    </row>
    <row r="497" spans="2:5" x14ac:dyDescent="0.25">
      <c r="B497" s="56" t="s">
        <v>44</v>
      </c>
      <c r="C497" s="57" t="s">
        <v>26</v>
      </c>
      <c r="D497" s="58" t="s">
        <v>33</v>
      </c>
      <c r="E497" s="62">
        <v>2.9360000000000001E-2</v>
      </c>
    </row>
    <row r="498" spans="2:5" x14ac:dyDescent="0.25">
      <c r="B498" s="56" t="s">
        <v>44</v>
      </c>
      <c r="C498" s="57" t="s">
        <v>26</v>
      </c>
      <c r="D498" s="58" t="s">
        <v>31</v>
      </c>
      <c r="E498" s="62">
        <v>1.8329999999999999E-2</v>
      </c>
    </row>
    <row r="499" spans="2:5" x14ac:dyDescent="0.25">
      <c r="B499" s="56" t="s">
        <v>44</v>
      </c>
      <c r="C499" s="57" t="s">
        <v>26</v>
      </c>
      <c r="D499" s="58" t="s">
        <v>30</v>
      </c>
      <c r="E499" s="62">
        <v>1.5250000000000003E-2</v>
      </c>
    </row>
    <row r="500" spans="2:5" x14ac:dyDescent="0.25">
      <c r="B500" s="56" t="s">
        <v>44</v>
      </c>
      <c r="C500" s="57" t="s">
        <v>26</v>
      </c>
      <c r="D500" s="58" t="s">
        <v>28</v>
      </c>
      <c r="E500" s="62">
        <v>1.5569999999999999E-2</v>
      </c>
    </row>
    <row r="501" spans="2:5" x14ac:dyDescent="0.25">
      <c r="B501" s="56" t="s">
        <v>44</v>
      </c>
      <c r="C501" s="57" t="s">
        <v>39</v>
      </c>
      <c r="D501" s="58" t="s">
        <v>35</v>
      </c>
      <c r="E501" s="62">
        <v>6.490000000000001E-3</v>
      </c>
    </row>
    <row r="502" spans="2:5" x14ac:dyDescent="0.25">
      <c r="B502" s="56" t="s">
        <v>44</v>
      </c>
      <c r="C502" s="57" t="s">
        <v>26</v>
      </c>
      <c r="D502" s="58" t="s">
        <v>37</v>
      </c>
      <c r="E502" s="62">
        <v>1.4819999999999993E-2</v>
      </c>
    </row>
    <row r="503" spans="2:5" x14ac:dyDescent="0.25">
      <c r="B503" s="56" t="s">
        <v>44</v>
      </c>
      <c r="C503" s="57" t="s">
        <v>25</v>
      </c>
      <c r="D503" s="58" t="s">
        <v>37</v>
      </c>
      <c r="E503" s="62">
        <v>2.3029999999999998E-2</v>
      </c>
    </row>
    <row r="504" spans="2:5" x14ac:dyDescent="0.25">
      <c r="B504" s="56" t="s">
        <v>44</v>
      </c>
      <c r="C504" s="57" t="s">
        <v>26</v>
      </c>
      <c r="D504" s="58" t="s">
        <v>29</v>
      </c>
      <c r="E504" s="62">
        <v>1.461E-2</v>
      </c>
    </row>
    <row r="505" spans="2:5" x14ac:dyDescent="0.25">
      <c r="B505" s="56" t="s">
        <v>44</v>
      </c>
      <c r="C505" s="57" t="s">
        <v>26</v>
      </c>
      <c r="D505" s="58" t="s">
        <v>30</v>
      </c>
      <c r="E505" s="62">
        <v>2.6189999999999995E-2</v>
      </c>
    </row>
    <row r="506" spans="2:5" x14ac:dyDescent="0.25">
      <c r="B506" s="56" t="s">
        <v>44</v>
      </c>
      <c r="C506" s="57" t="s">
        <v>26</v>
      </c>
      <c r="D506" s="58" t="s">
        <v>33</v>
      </c>
      <c r="E506" s="62">
        <v>2.8530000000000003E-2</v>
      </c>
    </row>
    <row r="507" spans="2:5" x14ac:dyDescent="0.25">
      <c r="B507" s="56" t="s">
        <v>44</v>
      </c>
      <c r="C507" s="57" t="s">
        <v>26</v>
      </c>
      <c r="D507" s="58" t="s">
        <v>29</v>
      </c>
      <c r="E507" s="62">
        <v>1.9529999999999995E-2</v>
      </c>
    </row>
    <row r="508" spans="2:5" x14ac:dyDescent="0.25">
      <c r="B508" s="56" t="s">
        <v>44</v>
      </c>
      <c r="C508" s="57" t="s">
        <v>26</v>
      </c>
      <c r="D508" s="58" t="s">
        <v>30</v>
      </c>
      <c r="E508" s="62">
        <v>3.850000000000001E-3</v>
      </c>
    </row>
    <row r="509" spans="2:5" x14ac:dyDescent="0.25">
      <c r="B509" s="56" t="s">
        <v>44</v>
      </c>
      <c r="C509" s="57" t="s">
        <v>26</v>
      </c>
      <c r="D509" s="58" t="s">
        <v>27</v>
      </c>
      <c r="E509" s="62">
        <v>2.4699999999999996E-2</v>
      </c>
    </row>
    <row r="510" spans="2:5" x14ac:dyDescent="0.25">
      <c r="B510" s="56" t="s">
        <v>44</v>
      </c>
      <c r="C510" s="57" t="s">
        <v>26</v>
      </c>
      <c r="D510" s="58" t="s">
        <v>27</v>
      </c>
      <c r="E510" s="62">
        <v>2.3719999999999998E-2</v>
      </c>
    </row>
    <row r="511" spans="2:5" x14ac:dyDescent="0.25">
      <c r="B511" s="56" t="s">
        <v>44</v>
      </c>
      <c r="C511" s="57" t="s">
        <v>26</v>
      </c>
      <c r="D511" s="58" t="s">
        <v>37</v>
      </c>
      <c r="E511" s="62">
        <v>2.6140000000000004E-2</v>
      </c>
    </row>
    <row r="512" spans="2:5" x14ac:dyDescent="0.25">
      <c r="B512" s="56" t="s">
        <v>44</v>
      </c>
      <c r="C512" s="57" t="s">
        <v>26</v>
      </c>
      <c r="D512" s="58" t="s">
        <v>24</v>
      </c>
      <c r="E512" s="62">
        <v>9.3500000000000007E-3</v>
      </c>
    </row>
    <row r="513" spans="2:5" x14ac:dyDescent="0.25">
      <c r="B513" s="56" t="s">
        <v>44</v>
      </c>
      <c r="C513" s="57" t="s">
        <v>26</v>
      </c>
      <c r="D513" s="58" t="s">
        <v>24</v>
      </c>
      <c r="E513" s="62">
        <v>1.8229999999999996E-2</v>
      </c>
    </row>
    <row r="514" spans="2:5" x14ac:dyDescent="0.25">
      <c r="B514" s="56" t="s">
        <v>44</v>
      </c>
      <c r="C514" s="57" t="s">
        <v>26</v>
      </c>
      <c r="D514" s="58" t="s">
        <v>31</v>
      </c>
      <c r="E514" s="62">
        <v>6.7399999999999986E-3</v>
      </c>
    </row>
    <row r="515" spans="2:5" x14ac:dyDescent="0.25">
      <c r="B515" s="56" t="s">
        <v>44</v>
      </c>
      <c r="C515" s="57" t="s">
        <v>26</v>
      </c>
      <c r="D515" s="58" t="s">
        <v>28</v>
      </c>
      <c r="E515" s="62">
        <v>1.6890000000000006E-2</v>
      </c>
    </row>
    <row r="516" spans="2:5" x14ac:dyDescent="0.25">
      <c r="B516" s="56" t="s">
        <v>44</v>
      </c>
      <c r="C516" s="57" t="s">
        <v>34</v>
      </c>
      <c r="D516" s="58" t="s">
        <v>35</v>
      </c>
      <c r="E516" s="62">
        <v>2.622E-2</v>
      </c>
    </row>
    <row r="517" spans="2:5" x14ac:dyDescent="0.25">
      <c r="B517" s="56" t="s">
        <v>44</v>
      </c>
      <c r="C517" s="57" t="s">
        <v>26</v>
      </c>
      <c r="D517" s="58" t="s">
        <v>29</v>
      </c>
      <c r="E517" s="62">
        <v>1.137E-2</v>
      </c>
    </row>
    <row r="518" spans="2:5" x14ac:dyDescent="0.25">
      <c r="B518" s="56" t="s">
        <v>44</v>
      </c>
      <c r="C518" s="57" t="s">
        <v>26</v>
      </c>
      <c r="D518" s="58" t="s">
        <v>31</v>
      </c>
      <c r="E518" s="62">
        <v>5.850000000000001E-3</v>
      </c>
    </row>
    <row r="519" spans="2:5" x14ac:dyDescent="0.25">
      <c r="B519" s="56" t="s">
        <v>44</v>
      </c>
      <c r="C519" s="57" t="s">
        <v>26</v>
      </c>
      <c r="D519" s="58" t="s">
        <v>29</v>
      </c>
      <c r="E519" s="62">
        <v>2.657E-2</v>
      </c>
    </row>
    <row r="520" spans="2:5" x14ac:dyDescent="0.25">
      <c r="B520" s="56" t="s">
        <v>44</v>
      </c>
      <c r="C520" s="57" t="s">
        <v>25</v>
      </c>
      <c r="D520" s="58" t="s">
        <v>33</v>
      </c>
      <c r="E520" s="62">
        <v>5.2099999999999985E-3</v>
      </c>
    </row>
    <row r="521" spans="2:5" x14ac:dyDescent="0.25">
      <c r="B521" s="56" t="s">
        <v>44</v>
      </c>
      <c r="C521" s="57" t="s">
        <v>26</v>
      </c>
      <c r="D521" s="58" t="s">
        <v>28</v>
      </c>
      <c r="E521" s="62">
        <v>1.2430000000000002E-2</v>
      </c>
    </row>
    <row r="522" spans="2:5" x14ac:dyDescent="0.25">
      <c r="B522" s="56" t="s">
        <v>44</v>
      </c>
      <c r="C522" s="57" t="s">
        <v>26</v>
      </c>
      <c r="D522" s="58" t="s">
        <v>28</v>
      </c>
      <c r="E522" s="62">
        <v>1.3590000000000005E-2</v>
      </c>
    </row>
    <row r="523" spans="2:5" x14ac:dyDescent="0.25">
      <c r="B523" s="56" t="s">
        <v>44</v>
      </c>
      <c r="C523" s="57" t="s">
        <v>26</v>
      </c>
      <c r="D523" s="58" t="s">
        <v>24</v>
      </c>
      <c r="E523" s="62">
        <v>2.0039999999999995E-2</v>
      </c>
    </row>
    <row r="524" spans="2:5" x14ac:dyDescent="0.25">
      <c r="B524" s="56" t="s">
        <v>44</v>
      </c>
      <c r="C524" s="57" t="s">
        <v>26</v>
      </c>
      <c r="D524" s="58" t="s">
        <v>28</v>
      </c>
      <c r="E524" s="62">
        <v>9.6399999999999975E-3</v>
      </c>
    </row>
    <row r="525" spans="2:5" x14ac:dyDescent="0.25">
      <c r="B525" s="56" t="s">
        <v>44</v>
      </c>
      <c r="C525" s="57" t="s">
        <v>26</v>
      </c>
      <c r="D525" s="58" t="s">
        <v>24</v>
      </c>
      <c r="E525" s="62">
        <v>1.107E-2</v>
      </c>
    </row>
    <row r="526" spans="2:5" x14ac:dyDescent="0.25">
      <c r="B526" s="56" t="s">
        <v>44</v>
      </c>
      <c r="C526" s="57" t="s">
        <v>26</v>
      </c>
      <c r="D526" s="58" t="s">
        <v>37</v>
      </c>
      <c r="E526" s="62">
        <v>1.417E-2</v>
      </c>
    </row>
    <row r="527" spans="2:5" x14ac:dyDescent="0.25">
      <c r="B527" s="56" t="s">
        <v>44</v>
      </c>
      <c r="C527" s="57" t="s">
        <v>26</v>
      </c>
      <c r="D527" s="58" t="s">
        <v>24</v>
      </c>
      <c r="E527" s="62">
        <v>1.1199999999999996E-2</v>
      </c>
    </row>
    <row r="528" spans="2:5" x14ac:dyDescent="0.25">
      <c r="B528" s="56" t="s">
        <v>44</v>
      </c>
      <c r="C528" s="57" t="s">
        <v>26</v>
      </c>
      <c r="D528" s="58" t="s">
        <v>24</v>
      </c>
      <c r="E528" s="62">
        <v>1.1090000000000001E-2</v>
      </c>
    </row>
    <row r="529" spans="2:5" x14ac:dyDescent="0.25">
      <c r="B529" s="56" t="s">
        <v>44</v>
      </c>
      <c r="C529" s="57" t="s">
        <v>26</v>
      </c>
      <c r="D529" s="58" t="s">
        <v>37</v>
      </c>
      <c r="E529" s="62">
        <v>8.2299999999999977E-3</v>
      </c>
    </row>
    <row r="530" spans="2:5" x14ac:dyDescent="0.25">
      <c r="B530" s="56" t="s">
        <v>44</v>
      </c>
      <c r="C530" s="57" t="s">
        <v>26</v>
      </c>
      <c r="D530" s="58" t="s">
        <v>28</v>
      </c>
      <c r="E530" s="62">
        <v>2.4049999999999995E-2</v>
      </c>
    </row>
    <row r="531" spans="2:5" x14ac:dyDescent="0.25">
      <c r="B531" s="56" t="s">
        <v>44</v>
      </c>
      <c r="C531" s="57" t="s">
        <v>26</v>
      </c>
      <c r="D531" s="58" t="s">
        <v>28</v>
      </c>
      <c r="E531" s="62">
        <v>1.8500000000000003E-2</v>
      </c>
    </row>
    <row r="532" spans="2:5" x14ac:dyDescent="0.25">
      <c r="B532" s="56" t="s">
        <v>44</v>
      </c>
      <c r="C532" s="57" t="s">
        <v>26</v>
      </c>
      <c r="D532" s="58" t="s">
        <v>28</v>
      </c>
      <c r="E532" s="62">
        <v>8.9699999999999971E-3</v>
      </c>
    </row>
    <row r="533" spans="2:5" x14ac:dyDescent="0.25">
      <c r="B533" s="56" t="s">
        <v>44</v>
      </c>
      <c r="C533" s="57" t="s">
        <v>26</v>
      </c>
      <c r="D533" s="58" t="s">
        <v>28</v>
      </c>
      <c r="E533" s="62">
        <v>1.0869999999999999E-2</v>
      </c>
    </row>
    <row r="534" spans="2:5" x14ac:dyDescent="0.25">
      <c r="B534" s="56" t="s">
        <v>44</v>
      </c>
      <c r="C534" s="57" t="s">
        <v>26</v>
      </c>
      <c r="D534" s="58" t="s">
        <v>37</v>
      </c>
      <c r="E534" s="62">
        <v>1.4200000000000003E-2</v>
      </c>
    </row>
    <row r="535" spans="2:5" x14ac:dyDescent="0.25">
      <c r="B535" s="56" t="s">
        <v>44</v>
      </c>
      <c r="C535" s="57" t="s">
        <v>26</v>
      </c>
      <c r="D535" s="58" t="s">
        <v>32</v>
      </c>
      <c r="E535" s="62">
        <v>1.6620000000000003E-2</v>
      </c>
    </row>
    <row r="536" spans="2:5" x14ac:dyDescent="0.25">
      <c r="B536" s="56" t="s">
        <v>44</v>
      </c>
      <c r="C536" s="57" t="s">
        <v>26</v>
      </c>
      <c r="D536" s="58" t="s">
        <v>22</v>
      </c>
      <c r="E536" s="62">
        <v>1.3830000000000002E-2</v>
      </c>
    </row>
    <row r="537" spans="2:5" x14ac:dyDescent="0.25">
      <c r="B537" s="56" t="s">
        <v>44</v>
      </c>
      <c r="C537" s="57" t="s">
        <v>26</v>
      </c>
      <c r="D537" s="58" t="s">
        <v>24</v>
      </c>
      <c r="E537" s="62">
        <v>3.0210000000000001E-2</v>
      </c>
    </row>
    <row r="538" spans="2:5" x14ac:dyDescent="0.25">
      <c r="B538" s="56" t="s">
        <v>44</v>
      </c>
      <c r="C538" s="57" t="s">
        <v>23</v>
      </c>
      <c r="D538" s="58" t="s">
        <v>31</v>
      </c>
      <c r="E538" s="62">
        <v>8.2299999999999977E-3</v>
      </c>
    </row>
    <row r="539" spans="2:5" x14ac:dyDescent="0.25">
      <c r="B539" s="56" t="s">
        <v>44</v>
      </c>
      <c r="C539" s="57" t="s">
        <v>26</v>
      </c>
      <c r="D539" s="58" t="s">
        <v>28</v>
      </c>
      <c r="E539" s="62">
        <v>1.6920000000000008E-2</v>
      </c>
    </row>
    <row r="540" spans="2:5" x14ac:dyDescent="0.25">
      <c r="B540" s="56" t="s">
        <v>44</v>
      </c>
      <c r="C540" s="57" t="s">
        <v>26</v>
      </c>
      <c r="D540" s="58" t="s">
        <v>27</v>
      </c>
      <c r="E540" s="62">
        <v>1.5040000000000001E-2</v>
      </c>
    </row>
    <row r="541" spans="2:5" x14ac:dyDescent="0.25">
      <c r="B541" s="56" t="s">
        <v>44</v>
      </c>
      <c r="C541" s="57" t="s">
        <v>26</v>
      </c>
      <c r="D541" s="58" t="s">
        <v>27</v>
      </c>
      <c r="E541" s="62">
        <v>1.4530000000000005E-2</v>
      </c>
    </row>
    <row r="542" spans="2:5" x14ac:dyDescent="0.25">
      <c r="B542" s="56" t="s">
        <v>44</v>
      </c>
      <c r="C542" s="57" t="s">
        <v>21</v>
      </c>
      <c r="D542" s="58" t="s">
        <v>35</v>
      </c>
      <c r="E542" s="62">
        <v>2.4899999999999995E-2</v>
      </c>
    </row>
    <row r="543" spans="2:5" x14ac:dyDescent="0.25">
      <c r="B543" s="56" t="s">
        <v>44</v>
      </c>
      <c r="C543" s="57" t="s">
        <v>26</v>
      </c>
      <c r="D543" s="58" t="s">
        <v>31</v>
      </c>
      <c r="E543" s="62">
        <v>1.0100000000000003E-2</v>
      </c>
    </row>
    <row r="544" spans="2:5" x14ac:dyDescent="0.25">
      <c r="B544" s="56" t="s">
        <v>44</v>
      </c>
      <c r="C544" s="57" t="s">
        <v>34</v>
      </c>
      <c r="D544" s="58" t="s">
        <v>32</v>
      </c>
      <c r="E544" s="62">
        <v>1.3259999999999997E-2</v>
      </c>
    </row>
    <row r="545" spans="2:5" x14ac:dyDescent="0.25">
      <c r="B545" s="56" t="s">
        <v>44</v>
      </c>
      <c r="C545" s="57" t="s">
        <v>26</v>
      </c>
      <c r="D545" s="58" t="s">
        <v>27</v>
      </c>
      <c r="E545" s="62">
        <v>1.0219999999999998E-2</v>
      </c>
    </row>
    <row r="546" spans="2:5" x14ac:dyDescent="0.25">
      <c r="B546" s="56" t="s">
        <v>44</v>
      </c>
      <c r="C546" s="57" t="s">
        <v>26</v>
      </c>
      <c r="D546" s="58" t="s">
        <v>28</v>
      </c>
      <c r="E546" s="62">
        <v>1.0419999999999999E-2</v>
      </c>
    </row>
    <row r="547" spans="2:5" x14ac:dyDescent="0.25">
      <c r="B547" s="56" t="s">
        <v>44</v>
      </c>
      <c r="C547" s="57" t="s">
        <v>26</v>
      </c>
      <c r="D547" s="58" t="s">
        <v>33</v>
      </c>
      <c r="E547" s="62">
        <v>1.8120000000000004E-2</v>
      </c>
    </row>
    <row r="548" spans="2:5" x14ac:dyDescent="0.25">
      <c r="B548" s="56" t="s">
        <v>44</v>
      </c>
      <c r="C548" s="57" t="s">
        <v>26</v>
      </c>
      <c r="D548" s="58" t="s">
        <v>33</v>
      </c>
      <c r="E548" s="62">
        <v>2.1419999999999998E-2</v>
      </c>
    </row>
    <row r="549" spans="2:5" x14ac:dyDescent="0.25">
      <c r="B549" s="56" t="s">
        <v>44</v>
      </c>
      <c r="C549" s="57" t="s">
        <v>26</v>
      </c>
      <c r="D549" s="58" t="s">
        <v>24</v>
      </c>
      <c r="E549" s="62">
        <v>1.2819999999999996E-2</v>
      </c>
    </row>
    <row r="550" spans="2:5" x14ac:dyDescent="0.25">
      <c r="B550" s="56" t="s">
        <v>44</v>
      </c>
      <c r="C550" s="57" t="s">
        <v>26</v>
      </c>
      <c r="D550" s="58" t="s">
        <v>32</v>
      </c>
      <c r="E550" s="62">
        <v>3.0499999999999996E-2</v>
      </c>
    </row>
    <row r="551" spans="2:5" x14ac:dyDescent="0.25">
      <c r="B551" s="56" t="s">
        <v>44</v>
      </c>
      <c r="C551" s="57" t="s">
        <v>26</v>
      </c>
      <c r="D551" s="58" t="s">
        <v>37</v>
      </c>
      <c r="E551" s="62">
        <v>5.4599999999999996E-3</v>
      </c>
    </row>
    <row r="552" spans="2:5" x14ac:dyDescent="0.25">
      <c r="B552" s="56" t="s">
        <v>44</v>
      </c>
      <c r="C552" s="57" t="s">
        <v>26</v>
      </c>
      <c r="D552" s="58" t="s">
        <v>37</v>
      </c>
      <c r="E552" s="62">
        <v>1.6360000000000006E-2</v>
      </c>
    </row>
    <row r="553" spans="2:5" x14ac:dyDescent="0.25">
      <c r="B553" s="56" t="s">
        <v>44</v>
      </c>
      <c r="C553" s="57" t="s">
        <v>26</v>
      </c>
      <c r="D553" s="58" t="s">
        <v>37</v>
      </c>
      <c r="E553" s="62">
        <v>1.6329999999999997E-2</v>
      </c>
    </row>
    <row r="554" spans="2:5" x14ac:dyDescent="0.25">
      <c r="B554" s="56" t="s">
        <v>44</v>
      </c>
      <c r="C554" s="57" t="s">
        <v>26</v>
      </c>
      <c r="D554" s="58" t="s">
        <v>37</v>
      </c>
      <c r="E554" s="62">
        <v>2.1170000000000005E-2</v>
      </c>
    </row>
    <row r="555" spans="2:5" x14ac:dyDescent="0.25">
      <c r="B555" s="56" t="s">
        <v>44</v>
      </c>
      <c r="C555" s="57" t="s">
        <v>23</v>
      </c>
      <c r="D555" s="58" t="s">
        <v>28</v>
      </c>
      <c r="E555" s="62">
        <v>1.3719999999999994E-2</v>
      </c>
    </row>
    <row r="556" spans="2:5" x14ac:dyDescent="0.25">
      <c r="B556" s="56" t="s">
        <v>44</v>
      </c>
      <c r="C556" s="57" t="s">
        <v>26</v>
      </c>
      <c r="D556" s="58" t="s">
        <v>24</v>
      </c>
      <c r="E556" s="62">
        <v>1.8900000000000004E-2</v>
      </c>
    </row>
    <row r="557" spans="2:5" x14ac:dyDescent="0.25">
      <c r="B557" s="56" t="s">
        <v>44</v>
      </c>
      <c r="C557" s="57" t="s">
        <v>26</v>
      </c>
      <c r="D557" s="58" t="s">
        <v>33</v>
      </c>
      <c r="E557" s="62">
        <v>1.2810000000000005E-2</v>
      </c>
    </row>
    <row r="558" spans="2:5" x14ac:dyDescent="0.25">
      <c r="B558" s="56" t="s">
        <v>44</v>
      </c>
      <c r="C558" s="57" t="s">
        <v>26</v>
      </c>
      <c r="D558" s="58" t="s">
        <v>32</v>
      </c>
      <c r="E558" s="62">
        <v>9.1200000000000031E-3</v>
      </c>
    </row>
    <row r="559" spans="2:5" x14ac:dyDescent="0.25">
      <c r="B559" s="56" t="s">
        <v>44</v>
      </c>
      <c r="C559" s="57" t="s">
        <v>26</v>
      </c>
      <c r="D559" s="58" t="s">
        <v>37</v>
      </c>
      <c r="E559" s="62">
        <v>1.5539999999999997E-2</v>
      </c>
    </row>
    <row r="560" spans="2:5" x14ac:dyDescent="0.25">
      <c r="B560" s="56" t="s">
        <v>44</v>
      </c>
      <c r="C560" s="57" t="s">
        <v>25</v>
      </c>
      <c r="D560" s="58" t="s">
        <v>37</v>
      </c>
      <c r="E560" s="62">
        <v>1.0979999999999997E-2</v>
      </c>
    </row>
    <row r="561" spans="2:5" x14ac:dyDescent="0.25">
      <c r="B561" s="56" t="s">
        <v>44</v>
      </c>
      <c r="C561" s="57" t="s">
        <v>26</v>
      </c>
      <c r="D561" s="58" t="s">
        <v>37</v>
      </c>
      <c r="E561" s="62">
        <v>6.8899999999999994E-3</v>
      </c>
    </row>
    <row r="562" spans="2:5" x14ac:dyDescent="0.25">
      <c r="B562" s="56" t="s">
        <v>44</v>
      </c>
      <c r="C562" s="57" t="s">
        <v>26</v>
      </c>
      <c r="D562" s="58" t="s">
        <v>37</v>
      </c>
      <c r="E562" s="62">
        <v>8.5900000000000021E-3</v>
      </c>
    </row>
    <row r="563" spans="2:5" x14ac:dyDescent="0.25">
      <c r="B563" s="56" t="s">
        <v>44</v>
      </c>
      <c r="C563" s="57" t="s">
        <v>26</v>
      </c>
      <c r="D563" s="58" t="s">
        <v>28</v>
      </c>
      <c r="E563" s="62">
        <v>9.9599999999999966E-3</v>
      </c>
    </row>
    <row r="564" spans="2:5" x14ac:dyDescent="0.25">
      <c r="B564" s="56" t="s">
        <v>44</v>
      </c>
      <c r="C564" s="57" t="s">
        <v>23</v>
      </c>
      <c r="D564" s="58" t="s">
        <v>31</v>
      </c>
      <c r="E564" s="62">
        <v>8.2499999999999969E-3</v>
      </c>
    </row>
    <row r="565" spans="2:5" x14ac:dyDescent="0.25">
      <c r="B565" s="56" t="s">
        <v>44</v>
      </c>
      <c r="C565" s="57" t="s">
        <v>26</v>
      </c>
      <c r="D565" s="58" t="s">
        <v>22</v>
      </c>
      <c r="E565" s="62">
        <v>2.9450000000000007E-2</v>
      </c>
    </row>
    <row r="566" spans="2:5" x14ac:dyDescent="0.25">
      <c r="B566" s="56" t="s">
        <v>44</v>
      </c>
      <c r="C566" s="57" t="s">
        <v>26</v>
      </c>
      <c r="D566" s="58" t="s">
        <v>31</v>
      </c>
      <c r="E566" s="62">
        <v>1.0200000000000006E-2</v>
      </c>
    </row>
    <row r="567" spans="2:5" x14ac:dyDescent="0.25">
      <c r="B567" s="56" t="s">
        <v>44</v>
      </c>
      <c r="C567" s="57" t="s">
        <v>26</v>
      </c>
      <c r="D567" s="58" t="s">
        <v>31</v>
      </c>
      <c r="E567" s="62">
        <v>1.5789999999999995E-2</v>
      </c>
    </row>
    <row r="568" spans="2:5" x14ac:dyDescent="0.25">
      <c r="B568" s="56" t="s">
        <v>44</v>
      </c>
      <c r="C568" s="57" t="s">
        <v>26</v>
      </c>
      <c r="D568" s="58" t="s">
        <v>29</v>
      </c>
      <c r="E568" s="62">
        <v>5.1099999999999991E-3</v>
      </c>
    </row>
    <row r="569" spans="2:5" x14ac:dyDescent="0.25">
      <c r="B569" s="56" t="s">
        <v>44</v>
      </c>
      <c r="C569" s="57" t="s">
        <v>36</v>
      </c>
      <c r="D569" s="58" t="s">
        <v>35</v>
      </c>
      <c r="E569" s="62">
        <v>1.1199999999999996E-2</v>
      </c>
    </row>
    <row r="570" spans="2:5" x14ac:dyDescent="0.25">
      <c r="B570" s="56" t="s">
        <v>44</v>
      </c>
      <c r="C570" s="57" t="s">
        <v>26</v>
      </c>
      <c r="D570" s="58" t="s">
        <v>32</v>
      </c>
      <c r="E570" s="62">
        <v>1.8669999999999999E-2</v>
      </c>
    </row>
    <row r="571" spans="2:5" x14ac:dyDescent="0.25">
      <c r="B571" s="56" t="s">
        <v>44</v>
      </c>
      <c r="C571" s="57" t="s">
        <v>25</v>
      </c>
      <c r="D571" s="58" t="s">
        <v>33</v>
      </c>
      <c r="E571" s="62">
        <v>7.3799999999999985E-3</v>
      </c>
    </row>
    <row r="572" spans="2:5" x14ac:dyDescent="0.25">
      <c r="B572" s="56" t="s">
        <v>44</v>
      </c>
      <c r="C572" s="57" t="s">
        <v>26</v>
      </c>
      <c r="D572" s="58" t="s">
        <v>37</v>
      </c>
      <c r="E572" s="62">
        <v>1.0389999999999998E-2</v>
      </c>
    </row>
    <row r="573" spans="2:5" x14ac:dyDescent="0.25">
      <c r="B573" s="56" t="s">
        <v>44</v>
      </c>
      <c r="C573" s="57" t="s">
        <v>26</v>
      </c>
      <c r="D573" s="58" t="s">
        <v>30</v>
      </c>
      <c r="E573" s="62">
        <v>2.1159999999999998E-2</v>
      </c>
    </row>
    <row r="574" spans="2:5" x14ac:dyDescent="0.25">
      <c r="B574" s="56" t="s">
        <v>44</v>
      </c>
      <c r="C574" s="57" t="s">
        <v>26</v>
      </c>
      <c r="D574" s="58" t="s">
        <v>37</v>
      </c>
      <c r="E574" s="62">
        <v>7.3699999999999972E-3</v>
      </c>
    </row>
    <row r="575" spans="2:5" x14ac:dyDescent="0.25">
      <c r="B575" s="56" t="s">
        <v>44</v>
      </c>
      <c r="C575" s="57" t="s">
        <v>25</v>
      </c>
      <c r="D575" s="58" t="s">
        <v>24</v>
      </c>
      <c r="E575" s="62">
        <v>1.0919999999999999E-2</v>
      </c>
    </row>
    <row r="576" spans="2:5" x14ac:dyDescent="0.25">
      <c r="B576" s="56" t="s">
        <v>44</v>
      </c>
      <c r="C576" s="57" t="s">
        <v>25</v>
      </c>
      <c r="D576" s="58" t="s">
        <v>27</v>
      </c>
      <c r="E576" s="62">
        <v>2.2460000000000001E-2</v>
      </c>
    </row>
    <row r="577" spans="2:5" x14ac:dyDescent="0.25">
      <c r="B577" s="56" t="s">
        <v>44</v>
      </c>
      <c r="C577" s="57" t="s">
        <v>25</v>
      </c>
      <c r="D577" s="58" t="s">
        <v>27</v>
      </c>
      <c r="E577" s="62">
        <v>2.4780000000000003E-2</v>
      </c>
    </row>
    <row r="578" spans="2:5" x14ac:dyDescent="0.25">
      <c r="B578" s="56" t="s">
        <v>44</v>
      </c>
      <c r="C578" s="57" t="s">
        <v>25</v>
      </c>
      <c r="D578" s="58" t="s">
        <v>30</v>
      </c>
      <c r="E578" s="62">
        <v>1.5789999999999995E-2</v>
      </c>
    </row>
    <row r="579" spans="2:5" x14ac:dyDescent="0.25">
      <c r="B579" s="56" t="s">
        <v>44</v>
      </c>
      <c r="C579" s="57" t="s">
        <v>25</v>
      </c>
      <c r="D579" s="58" t="s">
        <v>22</v>
      </c>
      <c r="E579" s="62">
        <v>5.3599999999999984E-3</v>
      </c>
    </row>
    <row r="580" spans="2:5" x14ac:dyDescent="0.25">
      <c r="B580" s="56" t="s">
        <v>44</v>
      </c>
      <c r="C580" s="57" t="s">
        <v>25</v>
      </c>
      <c r="D580" s="58" t="s">
        <v>29</v>
      </c>
      <c r="E580" s="62">
        <v>9.389999999999999E-3</v>
      </c>
    </row>
    <row r="581" spans="2:5" x14ac:dyDescent="0.25">
      <c r="B581" s="56" t="s">
        <v>44</v>
      </c>
      <c r="C581" s="57" t="s">
        <v>25</v>
      </c>
      <c r="D581" s="58" t="s">
        <v>31</v>
      </c>
      <c r="E581" s="62">
        <v>1.107E-2</v>
      </c>
    </row>
    <row r="582" spans="2:5" x14ac:dyDescent="0.25">
      <c r="B582" s="56" t="s">
        <v>44</v>
      </c>
      <c r="C582" s="57" t="s">
        <v>25</v>
      </c>
      <c r="D582" s="58" t="s">
        <v>31</v>
      </c>
      <c r="E582" s="62">
        <v>2.8389999999999995E-2</v>
      </c>
    </row>
    <row r="583" spans="2:5" x14ac:dyDescent="0.25">
      <c r="B583" s="56" t="s">
        <v>44</v>
      </c>
      <c r="C583" s="57" t="s">
        <v>25</v>
      </c>
      <c r="D583" s="58" t="s">
        <v>32</v>
      </c>
      <c r="E583" s="62">
        <v>1.4159999999999997E-2</v>
      </c>
    </row>
    <row r="584" spans="2:5" x14ac:dyDescent="0.25">
      <c r="B584" s="56" t="s">
        <v>44</v>
      </c>
      <c r="C584" s="57" t="s">
        <v>25</v>
      </c>
      <c r="D584" s="58" t="s">
        <v>37</v>
      </c>
      <c r="E584" s="62">
        <v>1.238E-2</v>
      </c>
    </row>
    <row r="585" spans="2:5" x14ac:dyDescent="0.25">
      <c r="B585" s="56" t="s">
        <v>44</v>
      </c>
      <c r="C585" s="57" t="s">
        <v>25</v>
      </c>
      <c r="D585" s="58" t="s">
        <v>33</v>
      </c>
      <c r="E585" s="62">
        <v>1.1839999999999996E-2</v>
      </c>
    </row>
    <row r="586" spans="2:5" x14ac:dyDescent="0.25">
      <c r="B586" s="56" t="s">
        <v>44</v>
      </c>
      <c r="C586" s="57" t="s">
        <v>25</v>
      </c>
      <c r="D586" s="58" t="s">
        <v>28</v>
      </c>
      <c r="E586" s="62">
        <v>1.1779999999999997E-2</v>
      </c>
    </row>
    <row r="587" spans="2:5" x14ac:dyDescent="0.25">
      <c r="B587" s="56" t="s">
        <v>44</v>
      </c>
      <c r="C587" s="57" t="s">
        <v>25</v>
      </c>
      <c r="D587" s="58" t="s">
        <v>37</v>
      </c>
      <c r="E587" s="62">
        <v>2.0830000000000005E-2</v>
      </c>
    </row>
    <row r="588" spans="2:5" x14ac:dyDescent="0.25">
      <c r="B588" s="56" t="s">
        <v>44</v>
      </c>
      <c r="C588" s="57" t="s">
        <v>25</v>
      </c>
      <c r="D588" s="58" t="s">
        <v>24</v>
      </c>
      <c r="E588" s="62">
        <v>2.307E-2</v>
      </c>
    </row>
    <row r="589" spans="2:5" x14ac:dyDescent="0.25">
      <c r="B589" s="56" t="s">
        <v>44</v>
      </c>
      <c r="C589" s="57" t="s">
        <v>25</v>
      </c>
      <c r="D589" s="58" t="s">
        <v>31</v>
      </c>
      <c r="E589" s="62">
        <v>7.9699999999999997E-3</v>
      </c>
    </row>
    <row r="590" spans="2:5" x14ac:dyDescent="0.25">
      <c r="B590" s="56" t="s">
        <v>44</v>
      </c>
      <c r="C590" s="57" t="s">
        <v>25</v>
      </c>
      <c r="D590" s="58" t="s">
        <v>27</v>
      </c>
      <c r="E590" s="62">
        <v>7.3900000000000025E-3</v>
      </c>
    </row>
    <row r="591" spans="2:5" x14ac:dyDescent="0.25">
      <c r="B591" s="56" t="s">
        <v>44</v>
      </c>
      <c r="C591" s="57" t="s">
        <v>23</v>
      </c>
      <c r="D591" s="58" t="s">
        <v>31</v>
      </c>
      <c r="E591" s="62">
        <v>9.0500000000000025E-3</v>
      </c>
    </row>
    <row r="592" spans="2:5" x14ac:dyDescent="0.25">
      <c r="B592" s="56" t="s">
        <v>44</v>
      </c>
      <c r="C592" s="57" t="s">
        <v>23</v>
      </c>
      <c r="D592" s="58" t="s">
        <v>30</v>
      </c>
      <c r="E592" s="62">
        <v>1.4789999999999998E-2</v>
      </c>
    </row>
    <row r="593" spans="2:5" x14ac:dyDescent="0.25">
      <c r="B593" s="56" t="s">
        <v>44</v>
      </c>
      <c r="C593" s="57" t="s">
        <v>23</v>
      </c>
      <c r="D593" s="58" t="s">
        <v>22</v>
      </c>
      <c r="E593" s="62">
        <v>6.3399999999999975E-3</v>
      </c>
    </row>
    <row r="594" spans="2:5" x14ac:dyDescent="0.25">
      <c r="B594" s="56" t="s">
        <v>44</v>
      </c>
      <c r="C594" s="57" t="s">
        <v>25</v>
      </c>
      <c r="D594" s="58" t="s">
        <v>27</v>
      </c>
      <c r="E594" s="62">
        <v>1.2209999999999997E-2</v>
      </c>
    </row>
    <row r="595" spans="2:5" x14ac:dyDescent="0.25">
      <c r="B595" s="56" t="s">
        <v>44</v>
      </c>
      <c r="C595" s="57" t="s">
        <v>25</v>
      </c>
      <c r="D595" s="58" t="s">
        <v>29</v>
      </c>
      <c r="E595" s="62">
        <v>1.1999999999999995E-3</v>
      </c>
    </row>
    <row r="596" spans="2:5" x14ac:dyDescent="0.25">
      <c r="B596" s="56" t="s">
        <v>44</v>
      </c>
      <c r="C596" s="57" t="s">
        <v>25</v>
      </c>
      <c r="D596" s="58" t="s">
        <v>27</v>
      </c>
      <c r="E596" s="62">
        <v>1.5719999999999998E-2</v>
      </c>
    </row>
    <row r="597" spans="2:5" x14ac:dyDescent="0.25">
      <c r="B597" s="56" t="s">
        <v>44</v>
      </c>
      <c r="C597" s="57" t="s">
        <v>25</v>
      </c>
      <c r="D597" s="58" t="s">
        <v>27</v>
      </c>
      <c r="E597" s="62">
        <v>2.2229999999999996E-2</v>
      </c>
    </row>
    <row r="598" spans="2:5" x14ac:dyDescent="0.25">
      <c r="B598" s="56" t="s">
        <v>44</v>
      </c>
      <c r="C598" s="57" t="s">
        <v>25</v>
      </c>
      <c r="D598" s="58" t="s">
        <v>33</v>
      </c>
      <c r="E598" s="62">
        <v>1.0259999999999997E-2</v>
      </c>
    </row>
    <row r="599" spans="2:5" x14ac:dyDescent="0.25">
      <c r="B599" s="56" t="s">
        <v>44</v>
      </c>
      <c r="C599" s="57" t="s">
        <v>25</v>
      </c>
      <c r="D599" s="58" t="s">
        <v>33</v>
      </c>
      <c r="E599" s="62">
        <v>6.3699999999999981E-3</v>
      </c>
    </row>
    <row r="600" spans="2:5" x14ac:dyDescent="0.25">
      <c r="B600" s="56" t="s">
        <v>44</v>
      </c>
      <c r="C600" s="57" t="s">
        <v>25</v>
      </c>
      <c r="D600" s="58" t="s">
        <v>35</v>
      </c>
      <c r="E600" s="62">
        <v>9.5200000000000024E-3</v>
      </c>
    </row>
    <row r="601" spans="2:5" x14ac:dyDescent="0.25">
      <c r="B601" s="56" t="s">
        <v>44</v>
      </c>
      <c r="C601" s="57" t="s">
        <v>25</v>
      </c>
      <c r="D601" s="58" t="s">
        <v>37</v>
      </c>
      <c r="E601" s="62">
        <v>2.8070000000000001E-2</v>
      </c>
    </row>
    <row r="602" spans="2:5" x14ac:dyDescent="0.25">
      <c r="B602" s="56" t="s">
        <v>44</v>
      </c>
      <c r="C602" s="57" t="s">
        <v>25</v>
      </c>
      <c r="D602" s="58" t="s">
        <v>28</v>
      </c>
      <c r="E602" s="62">
        <v>1.4599999999999998E-2</v>
      </c>
    </row>
    <row r="603" spans="2:5" x14ac:dyDescent="0.25">
      <c r="B603" s="56" t="s">
        <v>44</v>
      </c>
      <c r="C603" s="57" t="s">
        <v>25</v>
      </c>
      <c r="D603" s="58" t="s">
        <v>32</v>
      </c>
      <c r="E603" s="62">
        <v>1.4400000000000001E-2</v>
      </c>
    </row>
    <row r="604" spans="2:5" x14ac:dyDescent="0.25">
      <c r="B604" s="56" t="s">
        <v>44</v>
      </c>
      <c r="C604" s="57" t="s">
        <v>25</v>
      </c>
      <c r="D604" s="58" t="s">
        <v>37</v>
      </c>
      <c r="E604" s="62">
        <v>4.9699999999999996E-3</v>
      </c>
    </row>
    <row r="605" spans="2:5" x14ac:dyDescent="0.25">
      <c r="B605" s="56" t="s">
        <v>44</v>
      </c>
      <c r="C605" s="57" t="s">
        <v>25</v>
      </c>
      <c r="D605" s="58" t="s">
        <v>37</v>
      </c>
      <c r="E605" s="62">
        <v>1.5280000000000002E-2</v>
      </c>
    </row>
    <row r="606" spans="2:5" x14ac:dyDescent="0.25">
      <c r="B606" s="56" t="s">
        <v>44</v>
      </c>
      <c r="C606" s="57" t="s">
        <v>34</v>
      </c>
      <c r="D606" s="58" t="s">
        <v>24</v>
      </c>
      <c r="E606" s="62">
        <v>1.5739999999999997E-2</v>
      </c>
    </row>
    <row r="607" spans="2:5" x14ac:dyDescent="0.25">
      <c r="B607" s="56" t="s">
        <v>44</v>
      </c>
      <c r="C607" s="57" t="s">
        <v>34</v>
      </c>
      <c r="D607" s="58" t="s">
        <v>24</v>
      </c>
      <c r="E607" s="62">
        <v>1.4519999999999995E-2</v>
      </c>
    </row>
    <row r="608" spans="2:5" x14ac:dyDescent="0.25">
      <c r="B608" s="56" t="s">
        <v>44</v>
      </c>
      <c r="C608" s="57" t="s">
        <v>34</v>
      </c>
      <c r="D608" s="58" t="s">
        <v>31</v>
      </c>
      <c r="E608" s="62">
        <v>2.4410000000000001E-2</v>
      </c>
    </row>
    <row r="609" spans="2:5" x14ac:dyDescent="0.25">
      <c r="B609" s="56" t="s">
        <v>44</v>
      </c>
      <c r="C609" s="57" t="s">
        <v>25</v>
      </c>
      <c r="D609" s="58" t="s">
        <v>33</v>
      </c>
      <c r="E609" s="62">
        <v>1.8169999999999995E-2</v>
      </c>
    </row>
    <row r="610" spans="2:5" x14ac:dyDescent="0.25">
      <c r="B610" s="56" t="s">
        <v>44</v>
      </c>
      <c r="C610" s="57" t="s">
        <v>25</v>
      </c>
      <c r="D610" s="58" t="s">
        <v>31</v>
      </c>
      <c r="E610" s="62">
        <v>9.099999999999997E-3</v>
      </c>
    </row>
    <row r="611" spans="2:5" x14ac:dyDescent="0.25">
      <c r="B611" s="56" t="s">
        <v>44</v>
      </c>
      <c r="C611" s="57" t="s">
        <v>26</v>
      </c>
      <c r="D611" s="58" t="s">
        <v>37</v>
      </c>
      <c r="E611" s="62">
        <v>2.3890000000000005E-2</v>
      </c>
    </row>
    <row r="612" spans="2:5" x14ac:dyDescent="0.25">
      <c r="B612" s="56" t="s">
        <v>44</v>
      </c>
      <c r="C612" s="57" t="s">
        <v>25</v>
      </c>
      <c r="D612" s="58" t="s">
        <v>30</v>
      </c>
      <c r="E612" s="62">
        <v>7.5199999999999998E-3</v>
      </c>
    </row>
    <row r="613" spans="2:5" x14ac:dyDescent="0.25">
      <c r="B613" s="56" t="s">
        <v>44</v>
      </c>
      <c r="C613" s="57" t="s">
        <v>39</v>
      </c>
      <c r="D613" s="58" t="s">
        <v>24</v>
      </c>
      <c r="E613" s="62">
        <v>1.0850000000000002E-2</v>
      </c>
    </row>
    <row r="614" spans="2:5" x14ac:dyDescent="0.25">
      <c r="B614" s="56" t="s">
        <v>44</v>
      </c>
      <c r="C614" s="57" t="s">
        <v>39</v>
      </c>
      <c r="D614" s="58" t="s">
        <v>35</v>
      </c>
      <c r="E614" s="62">
        <v>8.0700000000000008E-3</v>
      </c>
    </row>
    <row r="615" spans="2:5" x14ac:dyDescent="0.25">
      <c r="B615" s="56" t="s">
        <v>44</v>
      </c>
      <c r="C615" s="57" t="s">
        <v>39</v>
      </c>
      <c r="D615" s="58" t="s">
        <v>33</v>
      </c>
      <c r="E615" s="62">
        <v>9.7700000000000026E-3</v>
      </c>
    </row>
    <row r="616" spans="2:5" x14ac:dyDescent="0.25">
      <c r="B616" s="56" t="s">
        <v>44</v>
      </c>
      <c r="C616" s="57" t="s">
        <v>39</v>
      </c>
      <c r="D616" s="58" t="s">
        <v>24</v>
      </c>
      <c r="E616" s="62">
        <v>1.7600000000000008E-2</v>
      </c>
    </row>
    <row r="617" spans="2:5" x14ac:dyDescent="0.25">
      <c r="B617" s="56" t="s">
        <v>44</v>
      </c>
      <c r="C617" s="57" t="s">
        <v>25</v>
      </c>
      <c r="D617" s="58" t="s">
        <v>30</v>
      </c>
      <c r="E617" s="62">
        <v>8.1400000000000031E-3</v>
      </c>
    </row>
    <row r="618" spans="2:5" x14ac:dyDescent="0.25">
      <c r="B618" s="56" t="s">
        <v>44</v>
      </c>
      <c r="C618" s="57" t="s">
        <v>25</v>
      </c>
      <c r="D618" s="58" t="s">
        <v>24</v>
      </c>
      <c r="E618" s="62">
        <v>1.272E-2</v>
      </c>
    </row>
    <row r="619" spans="2:5" x14ac:dyDescent="0.25">
      <c r="B619" s="56" t="s">
        <v>44</v>
      </c>
      <c r="C619" s="57" t="s">
        <v>26</v>
      </c>
      <c r="D619" s="58" t="s">
        <v>40</v>
      </c>
      <c r="E619" s="62">
        <v>1.5989999999999997E-2</v>
      </c>
    </row>
    <row r="620" spans="2:5" x14ac:dyDescent="0.25">
      <c r="B620" s="56" t="s">
        <v>44</v>
      </c>
      <c r="C620" s="57" t="s">
        <v>26</v>
      </c>
      <c r="D620" s="58" t="s">
        <v>40</v>
      </c>
      <c r="E620" s="62">
        <v>1.9380000000000001E-2</v>
      </c>
    </row>
    <row r="621" spans="2:5" x14ac:dyDescent="0.25">
      <c r="B621" s="56" t="s">
        <v>44</v>
      </c>
      <c r="C621" s="57" t="s">
        <v>26</v>
      </c>
      <c r="D621" s="58" t="s">
        <v>40</v>
      </c>
      <c r="E621" s="62">
        <v>2.4019999999999996E-2</v>
      </c>
    </row>
    <row r="622" spans="2:5" x14ac:dyDescent="0.25">
      <c r="B622" s="56" t="s">
        <v>44</v>
      </c>
      <c r="C622" s="57" t="s">
        <v>26</v>
      </c>
      <c r="D622" s="58" t="s">
        <v>40</v>
      </c>
      <c r="E622" s="62">
        <v>1.7310000000000006E-2</v>
      </c>
    </row>
    <row r="623" spans="2:5" x14ac:dyDescent="0.25">
      <c r="B623" s="56" t="s">
        <v>44</v>
      </c>
      <c r="C623" s="57" t="s">
        <v>26</v>
      </c>
      <c r="D623" s="58" t="s">
        <v>40</v>
      </c>
      <c r="E623" s="62">
        <v>1.7470000000000006E-2</v>
      </c>
    </row>
    <row r="624" spans="2:5" x14ac:dyDescent="0.25">
      <c r="B624" s="56" t="s">
        <v>44</v>
      </c>
      <c r="C624" s="57" t="s">
        <v>26</v>
      </c>
      <c r="D624" s="58" t="s">
        <v>40</v>
      </c>
      <c r="E624" s="62">
        <v>1.6319999999999994E-2</v>
      </c>
    </row>
    <row r="625" spans="2:5" x14ac:dyDescent="0.25">
      <c r="B625" s="56" t="s">
        <v>44</v>
      </c>
      <c r="C625" s="57" t="s">
        <v>26</v>
      </c>
      <c r="D625" s="58" t="s">
        <v>40</v>
      </c>
      <c r="E625" s="62">
        <v>1.443E-2</v>
      </c>
    </row>
    <row r="626" spans="2:5" x14ac:dyDescent="0.25">
      <c r="B626" s="56" t="s">
        <v>44</v>
      </c>
      <c r="C626" s="57" t="s">
        <v>26</v>
      </c>
      <c r="D626" s="58" t="s">
        <v>40</v>
      </c>
      <c r="E626" s="62">
        <v>1.2030000000000002E-2</v>
      </c>
    </row>
    <row r="627" spans="2:5" x14ac:dyDescent="0.25">
      <c r="B627" s="56" t="s">
        <v>44</v>
      </c>
      <c r="C627" s="57" t="s">
        <v>26</v>
      </c>
      <c r="D627" s="58" t="s">
        <v>40</v>
      </c>
      <c r="E627" s="62">
        <v>1.443E-2</v>
      </c>
    </row>
    <row r="628" spans="2:5" x14ac:dyDescent="0.25">
      <c r="B628" s="56" t="s">
        <v>44</v>
      </c>
      <c r="C628" s="57" t="s">
        <v>26</v>
      </c>
      <c r="D628" s="58" t="s">
        <v>40</v>
      </c>
      <c r="E628" s="62">
        <v>1.2030000000000002E-2</v>
      </c>
    </row>
    <row r="629" spans="2:5" x14ac:dyDescent="0.25">
      <c r="B629" s="56" t="s">
        <v>45</v>
      </c>
      <c r="C629" s="57" t="s">
        <v>25</v>
      </c>
      <c r="D629" s="58" t="s">
        <v>24</v>
      </c>
      <c r="E629" s="62">
        <v>6.4499999999999983E-3</v>
      </c>
    </row>
    <row r="630" spans="2:5" x14ac:dyDescent="0.25">
      <c r="B630" s="56" t="s">
        <v>45</v>
      </c>
      <c r="C630" s="57" t="s">
        <v>25</v>
      </c>
      <c r="D630" s="58" t="s">
        <v>37</v>
      </c>
      <c r="E630" s="62">
        <v>7.4699999999999992E-3</v>
      </c>
    </row>
    <row r="631" spans="2:5" x14ac:dyDescent="0.25">
      <c r="B631" s="56" t="s">
        <v>45</v>
      </c>
      <c r="C631" s="57" t="s">
        <v>26</v>
      </c>
      <c r="D631" s="58" t="s">
        <v>33</v>
      </c>
      <c r="E631" s="62">
        <v>4.8699999999999985E-3</v>
      </c>
    </row>
    <row r="632" spans="2:5" x14ac:dyDescent="0.25">
      <c r="B632" s="56" t="s">
        <v>45</v>
      </c>
      <c r="C632" s="57" t="s">
        <v>26</v>
      </c>
      <c r="D632" s="58" t="s">
        <v>29</v>
      </c>
      <c r="E632" s="62">
        <v>4.5899999999999995E-3</v>
      </c>
    </row>
    <row r="633" spans="2:5" x14ac:dyDescent="0.25">
      <c r="B633" s="56" t="s">
        <v>45</v>
      </c>
      <c r="C633" s="57" t="s">
        <v>23</v>
      </c>
      <c r="D633" s="58" t="s">
        <v>37</v>
      </c>
      <c r="E633" s="62">
        <v>5.0500000000000007E-3</v>
      </c>
    </row>
    <row r="634" spans="2:5" x14ac:dyDescent="0.25">
      <c r="B634" s="56" t="s">
        <v>45</v>
      </c>
      <c r="C634" s="57" t="s">
        <v>26</v>
      </c>
      <c r="D634" s="58" t="s">
        <v>29</v>
      </c>
      <c r="E634" s="62">
        <v>8.0299999999999972E-3</v>
      </c>
    </row>
    <row r="635" spans="2:5" x14ac:dyDescent="0.25">
      <c r="B635" s="56" t="s">
        <v>45</v>
      </c>
      <c r="C635" s="57" t="s">
        <v>26</v>
      </c>
      <c r="D635" s="58" t="s">
        <v>22</v>
      </c>
      <c r="E635" s="62">
        <v>4.749999999999999E-3</v>
      </c>
    </row>
    <row r="636" spans="2:5" x14ac:dyDescent="0.25">
      <c r="B636" s="56" t="s">
        <v>45</v>
      </c>
      <c r="C636" s="57" t="s">
        <v>26</v>
      </c>
      <c r="D636" s="58" t="s">
        <v>22</v>
      </c>
      <c r="E636" s="62">
        <v>3.1499999999999996E-3</v>
      </c>
    </row>
    <row r="637" spans="2:5" x14ac:dyDescent="0.25">
      <c r="B637" s="56" t="s">
        <v>45</v>
      </c>
      <c r="C637" s="57" t="s">
        <v>26</v>
      </c>
      <c r="D637" s="58" t="s">
        <v>24</v>
      </c>
      <c r="E637" s="62">
        <v>1.0989999999999996E-2</v>
      </c>
    </row>
    <row r="638" spans="2:5" x14ac:dyDescent="0.25">
      <c r="B638" s="56" t="s">
        <v>45</v>
      </c>
      <c r="C638" s="57" t="s">
        <v>26</v>
      </c>
      <c r="D638" s="58" t="s">
        <v>24</v>
      </c>
      <c r="E638" s="62">
        <v>7.5199999999999998E-3</v>
      </c>
    </row>
    <row r="639" spans="2:5" x14ac:dyDescent="0.25">
      <c r="B639" s="56" t="s">
        <v>45</v>
      </c>
      <c r="C639" s="57" t="s">
        <v>25</v>
      </c>
      <c r="D639" s="58" t="s">
        <v>27</v>
      </c>
      <c r="E639" s="62">
        <v>1.068E-2</v>
      </c>
    </row>
    <row r="640" spans="2:5" x14ac:dyDescent="0.25">
      <c r="B640" s="56" t="s">
        <v>45</v>
      </c>
      <c r="C640" s="57" t="s">
        <v>25</v>
      </c>
      <c r="D640" s="58" t="s">
        <v>22</v>
      </c>
      <c r="E640" s="62">
        <v>1.0820000000000003E-2</v>
      </c>
    </row>
    <row r="641" spans="2:5" x14ac:dyDescent="0.25">
      <c r="B641" s="56" t="s">
        <v>45</v>
      </c>
      <c r="C641" s="57" t="s">
        <v>26</v>
      </c>
      <c r="D641" s="58" t="s">
        <v>29</v>
      </c>
      <c r="E641" s="62">
        <v>3.9200000000000016E-3</v>
      </c>
    </row>
    <row r="642" spans="2:5" x14ac:dyDescent="0.25">
      <c r="B642" s="56" t="s">
        <v>45</v>
      </c>
      <c r="C642" s="57" t="s">
        <v>26</v>
      </c>
      <c r="D642" s="58" t="s">
        <v>24</v>
      </c>
      <c r="E642" s="62">
        <v>5.5499999999999985E-3</v>
      </c>
    </row>
    <row r="643" spans="2:5" x14ac:dyDescent="0.25">
      <c r="B643" s="56" t="s">
        <v>45</v>
      </c>
      <c r="C643" s="57" t="s">
        <v>26</v>
      </c>
      <c r="D643" s="58" t="s">
        <v>24</v>
      </c>
      <c r="E643" s="62">
        <v>6.4199999999999986E-3</v>
      </c>
    </row>
    <row r="644" spans="2:5" x14ac:dyDescent="0.25">
      <c r="B644" s="56" t="s">
        <v>45</v>
      </c>
      <c r="C644" s="57" t="s">
        <v>26</v>
      </c>
      <c r="D644" s="58" t="s">
        <v>28</v>
      </c>
      <c r="E644" s="62">
        <v>8.5999999999999965E-3</v>
      </c>
    </row>
    <row r="645" spans="2:5" x14ac:dyDescent="0.25">
      <c r="B645" s="56" t="s">
        <v>45</v>
      </c>
      <c r="C645" s="57" t="s">
        <v>25</v>
      </c>
      <c r="D645" s="58" t="s">
        <v>31</v>
      </c>
      <c r="E645" s="62">
        <v>6.0800000000000003E-3</v>
      </c>
    </row>
    <row r="646" spans="2:5" x14ac:dyDescent="0.25">
      <c r="B646" s="56" t="s">
        <v>45</v>
      </c>
      <c r="C646" s="57" t="s">
        <v>36</v>
      </c>
      <c r="D646" s="58" t="s">
        <v>24</v>
      </c>
      <c r="E646" s="62">
        <v>5.7199999999999977E-3</v>
      </c>
    </row>
    <row r="647" spans="2:5" x14ac:dyDescent="0.25">
      <c r="B647" s="56" t="s">
        <v>45</v>
      </c>
      <c r="C647" s="57" t="s">
        <v>26</v>
      </c>
      <c r="D647" s="58" t="s">
        <v>27</v>
      </c>
      <c r="E647" s="62">
        <v>4.9499999999999987E-3</v>
      </c>
    </row>
    <row r="648" spans="2:5" x14ac:dyDescent="0.25">
      <c r="B648" s="56" t="s">
        <v>45</v>
      </c>
      <c r="C648" s="57" t="s">
        <v>26</v>
      </c>
      <c r="D648" s="58" t="s">
        <v>27</v>
      </c>
      <c r="E648" s="62">
        <v>4.9400000000000008E-3</v>
      </c>
    </row>
    <row r="649" spans="2:5" x14ac:dyDescent="0.25">
      <c r="B649" s="56" t="s">
        <v>45</v>
      </c>
      <c r="C649" s="57" t="s">
        <v>26</v>
      </c>
      <c r="D649" s="58" t="s">
        <v>28</v>
      </c>
      <c r="E649" s="62">
        <v>2.4600000000000008E-3</v>
      </c>
    </row>
    <row r="650" spans="2:5" x14ac:dyDescent="0.25">
      <c r="B650" s="56" t="s">
        <v>45</v>
      </c>
      <c r="C650" s="57" t="s">
        <v>26</v>
      </c>
      <c r="D650" s="58" t="s">
        <v>29</v>
      </c>
      <c r="E650" s="62">
        <v>8.3500000000000015E-3</v>
      </c>
    </row>
    <row r="651" spans="2:5" x14ac:dyDescent="0.25">
      <c r="B651" s="56" t="s">
        <v>45</v>
      </c>
      <c r="C651" s="57" t="s">
        <v>26</v>
      </c>
      <c r="D651" s="58" t="s">
        <v>37</v>
      </c>
      <c r="E651" s="62">
        <v>9.5999999999999992E-3</v>
      </c>
    </row>
    <row r="652" spans="2:5" x14ac:dyDescent="0.25">
      <c r="B652" s="56" t="s">
        <v>45</v>
      </c>
      <c r="C652" s="57" t="s">
        <v>26</v>
      </c>
      <c r="D652" s="58" t="s">
        <v>28</v>
      </c>
      <c r="E652" s="62">
        <v>2.7699999999999995E-3</v>
      </c>
    </row>
    <row r="653" spans="2:5" x14ac:dyDescent="0.25">
      <c r="B653" s="56" t="s">
        <v>45</v>
      </c>
      <c r="C653" s="57" t="s">
        <v>26</v>
      </c>
      <c r="D653" s="58" t="s">
        <v>24</v>
      </c>
      <c r="E653" s="62">
        <v>8.7699999999999983E-3</v>
      </c>
    </row>
    <row r="654" spans="2:5" x14ac:dyDescent="0.25">
      <c r="B654" s="56" t="s">
        <v>45</v>
      </c>
      <c r="C654" s="57" t="s">
        <v>26</v>
      </c>
      <c r="D654" s="58" t="s">
        <v>37</v>
      </c>
      <c r="E654" s="62">
        <v>8.0200000000000011E-3</v>
      </c>
    </row>
    <row r="655" spans="2:5" x14ac:dyDescent="0.25">
      <c r="B655" s="56" t="s">
        <v>45</v>
      </c>
      <c r="C655" s="57" t="s">
        <v>26</v>
      </c>
      <c r="D655" s="58" t="s">
        <v>28</v>
      </c>
      <c r="E655" s="62">
        <v>8.4400000000000013E-3</v>
      </c>
    </row>
    <row r="656" spans="2:5" x14ac:dyDescent="0.25">
      <c r="B656" s="56" t="s">
        <v>45</v>
      </c>
      <c r="C656" s="57" t="s">
        <v>26</v>
      </c>
      <c r="D656" s="58" t="s">
        <v>33</v>
      </c>
      <c r="E656" s="62">
        <v>8.9599999999999975E-3</v>
      </c>
    </row>
    <row r="657" spans="2:5" x14ac:dyDescent="0.25">
      <c r="B657" s="56" t="s">
        <v>45</v>
      </c>
      <c r="C657" s="57" t="s">
        <v>26</v>
      </c>
      <c r="D657" s="58" t="s">
        <v>32</v>
      </c>
      <c r="E657" s="62">
        <v>1.1599999999999999E-2</v>
      </c>
    </row>
    <row r="658" spans="2:5" x14ac:dyDescent="0.25">
      <c r="B658" s="56" t="s">
        <v>45</v>
      </c>
      <c r="C658" s="57" t="s">
        <v>25</v>
      </c>
      <c r="D658" s="58" t="s">
        <v>37</v>
      </c>
      <c r="E658" s="62">
        <v>8.479999999999998E-3</v>
      </c>
    </row>
    <row r="659" spans="2:5" x14ac:dyDescent="0.25">
      <c r="B659" s="56" t="s">
        <v>45</v>
      </c>
      <c r="C659" s="57" t="s">
        <v>26</v>
      </c>
      <c r="D659" s="58" t="s">
        <v>29</v>
      </c>
      <c r="E659" s="62">
        <v>5.2999999999999983E-3</v>
      </c>
    </row>
    <row r="660" spans="2:5" x14ac:dyDescent="0.25">
      <c r="B660" s="56" t="s">
        <v>45</v>
      </c>
      <c r="C660" s="57" t="s">
        <v>25</v>
      </c>
      <c r="D660" s="58" t="s">
        <v>27</v>
      </c>
      <c r="E660" s="62">
        <v>3.7599999999999995E-3</v>
      </c>
    </row>
    <row r="661" spans="2:5" x14ac:dyDescent="0.25">
      <c r="B661" s="56" t="s">
        <v>45</v>
      </c>
      <c r="C661" s="57" t="s">
        <v>25</v>
      </c>
      <c r="D661" s="58" t="s">
        <v>31</v>
      </c>
      <c r="E661" s="62">
        <v>3.2800000000000008E-3</v>
      </c>
    </row>
    <row r="662" spans="2:5" x14ac:dyDescent="0.25">
      <c r="B662" s="56" t="s">
        <v>45</v>
      </c>
      <c r="C662" s="57" t="s">
        <v>26</v>
      </c>
      <c r="D662" s="58" t="s">
        <v>28</v>
      </c>
      <c r="E662" s="62">
        <v>6.1000000000000004E-3</v>
      </c>
    </row>
    <row r="663" spans="2:5" x14ac:dyDescent="0.25">
      <c r="B663" s="56" t="s">
        <v>45</v>
      </c>
      <c r="C663" s="57" t="s">
        <v>38</v>
      </c>
      <c r="D663" s="58" t="s">
        <v>31</v>
      </c>
      <c r="E663" s="62">
        <v>5.8799999999999981E-3</v>
      </c>
    </row>
    <row r="664" spans="2:5" x14ac:dyDescent="0.25">
      <c r="B664" s="56" t="s">
        <v>45</v>
      </c>
      <c r="C664" s="57" t="s">
        <v>26</v>
      </c>
      <c r="D664" s="58" t="s">
        <v>37</v>
      </c>
      <c r="E664" s="62">
        <v>9.2499999999999961E-3</v>
      </c>
    </row>
    <row r="665" spans="2:5" x14ac:dyDescent="0.25">
      <c r="B665" s="56" t="s">
        <v>45</v>
      </c>
      <c r="C665" s="57" t="s">
        <v>26</v>
      </c>
      <c r="D665" s="58" t="s">
        <v>29</v>
      </c>
      <c r="E665" s="62">
        <v>4.429999999999999E-3</v>
      </c>
    </row>
    <row r="666" spans="2:5" x14ac:dyDescent="0.25">
      <c r="B666" s="56" t="s">
        <v>45</v>
      </c>
      <c r="C666" s="57" t="s">
        <v>26</v>
      </c>
      <c r="D666" s="58" t="s">
        <v>28</v>
      </c>
      <c r="E666" s="62">
        <v>7.7999999999999996E-3</v>
      </c>
    </row>
    <row r="667" spans="2:5" x14ac:dyDescent="0.25">
      <c r="B667" s="56" t="s">
        <v>45</v>
      </c>
      <c r="C667" s="57" t="s">
        <v>26</v>
      </c>
      <c r="D667" s="58" t="s">
        <v>30</v>
      </c>
      <c r="E667" s="62">
        <v>8.630000000000004E-3</v>
      </c>
    </row>
    <row r="668" spans="2:5" x14ac:dyDescent="0.25">
      <c r="B668" s="56" t="s">
        <v>45</v>
      </c>
      <c r="C668" s="57" t="s">
        <v>25</v>
      </c>
      <c r="D668" s="58" t="s">
        <v>24</v>
      </c>
      <c r="E668" s="62">
        <v>7.4199999999999978E-3</v>
      </c>
    </row>
    <row r="669" spans="2:5" x14ac:dyDescent="0.25">
      <c r="B669" s="56" t="s">
        <v>45</v>
      </c>
      <c r="C669" s="57" t="s">
        <v>26</v>
      </c>
      <c r="D669" s="58" t="s">
        <v>37</v>
      </c>
      <c r="E669" s="62">
        <v>4.6699999999999997E-3</v>
      </c>
    </row>
    <row r="670" spans="2:5" x14ac:dyDescent="0.25">
      <c r="B670" s="56" t="s">
        <v>45</v>
      </c>
      <c r="C670" s="57" t="s">
        <v>25</v>
      </c>
      <c r="D670" s="58" t="s">
        <v>29</v>
      </c>
      <c r="E670" s="62">
        <v>8.5400000000000007E-3</v>
      </c>
    </row>
    <row r="671" spans="2:5" x14ac:dyDescent="0.25">
      <c r="B671" s="56" t="s">
        <v>45</v>
      </c>
      <c r="C671" s="57" t="s">
        <v>26</v>
      </c>
      <c r="D671" s="58" t="s">
        <v>37</v>
      </c>
      <c r="E671" s="62">
        <v>7.92E-3</v>
      </c>
    </row>
    <row r="672" spans="2:5" x14ac:dyDescent="0.25">
      <c r="B672" s="56" t="s">
        <v>45</v>
      </c>
      <c r="C672" s="57" t="s">
        <v>26</v>
      </c>
      <c r="D672" s="58" t="s">
        <v>22</v>
      </c>
      <c r="E672" s="62">
        <v>2.6599999999999996E-3</v>
      </c>
    </row>
    <row r="673" spans="2:5" x14ac:dyDescent="0.25">
      <c r="B673" s="56" t="s">
        <v>45</v>
      </c>
      <c r="C673" s="57" t="s">
        <v>26</v>
      </c>
      <c r="D673" s="58" t="s">
        <v>31</v>
      </c>
      <c r="E673" s="62">
        <v>2.8799999999999997E-3</v>
      </c>
    </row>
    <row r="674" spans="2:5" x14ac:dyDescent="0.25">
      <c r="B674" s="56" t="s">
        <v>45</v>
      </c>
      <c r="C674" s="57" t="s">
        <v>26</v>
      </c>
      <c r="D674" s="58" t="s">
        <v>29</v>
      </c>
      <c r="E674" s="62">
        <v>7.139999999999997E-3</v>
      </c>
    </row>
    <row r="675" spans="2:5" x14ac:dyDescent="0.25">
      <c r="B675" s="56" t="s">
        <v>45</v>
      </c>
      <c r="C675" s="57" t="s">
        <v>26</v>
      </c>
      <c r="D675" s="58" t="s">
        <v>30</v>
      </c>
      <c r="E675" s="62">
        <v>7.8699999999999985E-3</v>
      </c>
    </row>
    <row r="676" spans="2:5" x14ac:dyDescent="0.25">
      <c r="B676" s="56" t="s">
        <v>45</v>
      </c>
      <c r="C676" s="57" t="s">
        <v>26</v>
      </c>
      <c r="D676" s="58" t="s">
        <v>31</v>
      </c>
      <c r="E676" s="62">
        <v>4.2300000000000011E-3</v>
      </c>
    </row>
    <row r="677" spans="2:5" x14ac:dyDescent="0.25">
      <c r="B677" s="56" t="s">
        <v>45</v>
      </c>
      <c r="C677" s="57" t="s">
        <v>25</v>
      </c>
      <c r="D677" s="58" t="s">
        <v>30</v>
      </c>
      <c r="E677" s="62">
        <v>4.6600000000000018E-3</v>
      </c>
    </row>
    <row r="678" spans="2:5" x14ac:dyDescent="0.25">
      <c r="B678" s="56" t="s">
        <v>45</v>
      </c>
      <c r="C678" s="57" t="s">
        <v>23</v>
      </c>
      <c r="D678" s="58" t="s">
        <v>28</v>
      </c>
      <c r="E678" s="62">
        <v>3.7499999999999986E-3</v>
      </c>
    </row>
    <row r="679" spans="2:5" x14ac:dyDescent="0.25">
      <c r="B679" s="56" t="s">
        <v>45</v>
      </c>
      <c r="C679" s="57" t="s">
        <v>36</v>
      </c>
      <c r="D679" s="58" t="s">
        <v>24</v>
      </c>
      <c r="E679" s="62">
        <v>4.7600000000000012E-3</v>
      </c>
    </row>
    <row r="680" spans="2:5" x14ac:dyDescent="0.25">
      <c r="B680" s="56" t="s">
        <v>45</v>
      </c>
      <c r="C680" s="57" t="s">
        <v>25</v>
      </c>
      <c r="D680" s="58" t="s">
        <v>22</v>
      </c>
      <c r="E680" s="62">
        <v>1.1169999999999999E-2</v>
      </c>
    </row>
    <row r="681" spans="2:5" x14ac:dyDescent="0.25">
      <c r="B681" s="56" t="s">
        <v>45</v>
      </c>
      <c r="C681" s="57" t="s">
        <v>26</v>
      </c>
      <c r="D681" s="58" t="s">
        <v>28</v>
      </c>
      <c r="E681" s="62">
        <v>6.2099999999999994E-3</v>
      </c>
    </row>
    <row r="682" spans="2:5" x14ac:dyDescent="0.25">
      <c r="B682" s="56" t="s">
        <v>45</v>
      </c>
      <c r="C682" s="57" t="s">
        <v>38</v>
      </c>
      <c r="D682" s="58" t="s">
        <v>28</v>
      </c>
      <c r="E682" s="62">
        <v>2.8100000000000009E-3</v>
      </c>
    </row>
    <row r="683" spans="2:5" x14ac:dyDescent="0.25">
      <c r="B683" s="56" t="s">
        <v>45</v>
      </c>
      <c r="C683" s="57" t="s">
        <v>34</v>
      </c>
      <c r="D683" s="58" t="s">
        <v>35</v>
      </c>
      <c r="E683" s="62">
        <v>8.1300000000000018E-3</v>
      </c>
    </row>
    <row r="684" spans="2:5" x14ac:dyDescent="0.25">
      <c r="B684" s="56" t="s">
        <v>45</v>
      </c>
      <c r="C684" s="57" t="s">
        <v>26</v>
      </c>
      <c r="D684" s="58" t="s">
        <v>24</v>
      </c>
      <c r="E684" s="62">
        <v>7.0400000000000029E-3</v>
      </c>
    </row>
    <row r="685" spans="2:5" x14ac:dyDescent="0.25">
      <c r="B685" s="56" t="s">
        <v>45</v>
      </c>
      <c r="C685" s="57" t="s">
        <v>26</v>
      </c>
      <c r="D685" s="58" t="s">
        <v>24</v>
      </c>
      <c r="E685" s="62">
        <v>7.0599999999999977E-3</v>
      </c>
    </row>
    <row r="686" spans="2:5" x14ac:dyDescent="0.25">
      <c r="B686" s="56" t="s">
        <v>45</v>
      </c>
      <c r="C686" s="57" t="s">
        <v>26</v>
      </c>
      <c r="D686" s="58" t="s">
        <v>29</v>
      </c>
      <c r="E686" s="62">
        <v>3.7499999999999986E-3</v>
      </c>
    </row>
    <row r="687" spans="2:5" x14ac:dyDescent="0.25">
      <c r="B687" s="56" t="s">
        <v>45</v>
      </c>
      <c r="C687" s="57" t="s">
        <v>25</v>
      </c>
      <c r="D687" s="58" t="s">
        <v>31</v>
      </c>
      <c r="E687" s="62">
        <v>3.4399999999999986E-3</v>
      </c>
    </row>
    <row r="688" spans="2:5" x14ac:dyDescent="0.25">
      <c r="B688" s="56" t="s">
        <v>45</v>
      </c>
      <c r="C688" s="57" t="s">
        <v>25</v>
      </c>
      <c r="D688" s="58" t="s">
        <v>28</v>
      </c>
      <c r="E688" s="62">
        <v>7.2400000000000025E-3</v>
      </c>
    </row>
    <row r="689" spans="2:5" x14ac:dyDescent="0.25">
      <c r="B689" s="56" t="s">
        <v>45</v>
      </c>
      <c r="C689" s="57" t="s">
        <v>26</v>
      </c>
      <c r="D689" s="58" t="s">
        <v>28</v>
      </c>
      <c r="E689" s="62">
        <v>1.0919999999999999E-2</v>
      </c>
    </row>
    <row r="690" spans="2:5" x14ac:dyDescent="0.25">
      <c r="B690" s="56" t="s">
        <v>45</v>
      </c>
      <c r="C690" s="57" t="s">
        <v>39</v>
      </c>
      <c r="D690" s="58" t="s">
        <v>35</v>
      </c>
      <c r="E690" s="62">
        <v>6.7199999999999985E-3</v>
      </c>
    </row>
    <row r="691" spans="2:5" x14ac:dyDescent="0.25">
      <c r="B691" s="56" t="s">
        <v>45</v>
      </c>
      <c r="C691" s="57" t="s">
        <v>26</v>
      </c>
      <c r="D691" s="58" t="s">
        <v>28</v>
      </c>
      <c r="E691" s="62">
        <v>1.4799999999999995E-2</v>
      </c>
    </row>
    <row r="692" spans="2:5" x14ac:dyDescent="0.25">
      <c r="B692" s="56" t="s">
        <v>45</v>
      </c>
      <c r="C692" s="57" t="s">
        <v>26</v>
      </c>
      <c r="D692" s="58" t="s">
        <v>24</v>
      </c>
      <c r="E692" s="62">
        <v>5.5499999999999985E-3</v>
      </c>
    </row>
    <row r="693" spans="2:5" x14ac:dyDescent="0.25">
      <c r="B693" s="56" t="s">
        <v>45</v>
      </c>
      <c r="C693" s="57" t="s">
        <v>38</v>
      </c>
      <c r="D693" s="58" t="s">
        <v>31</v>
      </c>
      <c r="E693" s="62">
        <v>4.6299999999999996E-3</v>
      </c>
    </row>
    <row r="694" spans="2:5" x14ac:dyDescent="0.25">
      <c r="B694" s="56" t="s">
        <v>45</v>
      </c>
      <c r="C694" s="57" t="s">
        <v>26</v>
      </c>
      <c r="D694" s="58" t="s">
        <v>28</v>
      </c>
      <c r="E694" s="62">
        <v>7.7200000000000003E-3</v>
      </c>
    </row>
    <row r="695" spans="2:5" x14ac:dyDescent="0.25">
      <c r="B695" s="56" t="s">
        <v>45</v>
      </c>
      <c r="C695" s="57" t="s">
        <v>26</v>
      </c>
      <c r="D695" s="58" t="s">
        <v>32</v>
      </c>
      <c r="E695" s="62">
        <v>1.1090000000000001E-2</v>
      </c>
    </row>
    <row r="696" spans="2:5" x14ac:dyDescent="0.25">
      <c r="B696" s="56" t="s">
        <v>45</v>
      </c>
      <c r="C696" s="57" t="s">
        <v>26</v>
      </c>
      <c r="D696" s="58" t="s">
        <v>24</v>
      </c>
      <c r="E696" s="62">
        <v>8.0900000000000017E-3</v>
      </c>
    </row>
    <row r="697" spans="2:5" x14ac:dyDescent="0.25">
      <c r="B697" s="56" t="s">
        <v>45</v>
      </c>
      <c r="C697" s="57" t="s">
        <v>26</v>
      </c>
      <c r="D697" s="58" t="s">
        <v>37</v>
      </c>
      <c r="E697" s="62">
        <v>1.2559999999999997E-2</v>
      </c>
    </row>
    <row r="698" spans="2:5" x14ac:dyDescent="0.25">
      <c r="B698" s="56" t="s">
        <v>45</v>
      </c>
      <c r="C698" s="57" t="s">
        <v>26</v>
      </c>
      <c r="D698" s="58" t="s">
        <v>32</v>
      </c>
      <c r="E698" s="62">
        <v>1.2569999999999998E-2</v>
      </c>
    </row>
    <row r="699" spans="2:5" x14ac:dyDescent="0.25">
      <c r="B699" s="56" t="s">
        <v>45</v>
      </c>
      <c r="C699" s="57" t="s">
        <v>26</v>
      </c>
      <c r="D699" s="58" t="s">
        <v>22</v>
      </c>
      <c r="E699" s="62">
        <v>4.830000000000001E-3</v>
      </c>
    </row>
    <row r="700" spans="2:5" x14ac:dyDescent="0.25">
      <c r="B700" s="56" t="s">
        <v>45</v>
      </c>
      <c r="C700" s="57" t="s">
        <v>26</v>
      </c>
      <c r="D700" s="58" t="s">
        <v>22</v>
      </c>
      <c r="E700" s="62">
        <v>5.2300000000000003E-3</v>
      </c>
    </row>
    <row r="701" spans="2:5" x14ac:dyDescent="0.25">
      <c r="B701" s="56" t="s">
        <v>45</v>
      </c>
      <c r="C701" s="57" t="s">
        <v>26</v>
      </c>
      <c r="D701" s="58" t="s">
        <v>24</v>
      </c>
      <c r="E701" s="62">
        <v>4.1900000000000019E-3</v>
      </c>
    </row>
    <row r="702" spans="2:5" x14ac:dyDescent="0.25">
      <c r="B702" s="56" t="s">
        <v>45</v>
      </c>
      <c r="C702" s="57" t="s">
        <v>26</v>
      </c>
      <c r="D702" s="58" t="s">
        <v>28</v>
      </c>
      <c r="E702" s="62">
        <v>8.369999999999999E-3</v>
      </c>
    </row>
    <row r="703" spans="2:5" x14ac:dyDescent="0.25">
      <c r="B703" s="56" t="s">
        <v>45</v>
      </c>
      <c r="C703" s="57" t="s">
        <v>26</v>
      </c>
      <c r="D703" s="58" t="s">
        <v>30</v>
      </c>
      <c r="E703" s="62">
        <v>7.2699999999999978E-3</v>
      </c>
    </row>
    <row r="704" spans="2:5" x14ac:dyDescent="0.25">
      <c r="B704" s="56" t="s">
        <v>45</v>
      </c>
      <c r="C704" s="57" t="s">
        <v>26</v>
      </c>
      <c r="D704" s="58" t="s">
        <v>29</v>
      </c>
      <c r="E704" s="62">
        <v>6.4300000000000026E-3</v>
      </c>
    </row>
    <row r="705" spans="2:5" x14ac:dyDescent="0.25">
      <c r="B705" s="56" t="s">
        <v>45</v>
      </c>
      <c r="C705" s="57" t="s">
        <v>26</v>
      </c>
      <c r="D705" s="58" t="s">
        <v>27</v>
      </c>
      <c r="E705" s="62">
        <v>4.7300000000000016E-3</v>
      </c>
    </row>
    <row r="706" spans="2:5" x14ac:dyDescent="0.25">
      <c r="B706" s="56" t="s">
        <v>45</v>
      </c>
      <c r="C706" s="57" t="s">
        <v>26</v>
      </c>
      <c r="D706" s="58" t="s">
        <v>37</v>
      </c>
      <c r="E706" s="62">
        <v>3.8999999999999994E-3</v>
      </c>
    </row>
    <row r="707" spans="2:5" x14ac:dyDescent="0.25">
      <c r="B707" s="56" t="s">
        <v>45</v>
      </c>
      <c r="C707" s="57" t="s">
        <v>26</v>
      </c>
      <c r="D707" s="58" t="s">
        <v>37</v>
      </c>
      <c r="E707" s="62">
        <v>3.8399999999999992E-3</v>
      </c>
    </row>
    <row r="708" spans="2:5" x14ac:dyDescent="0.25">
      <c r="B708" s="56" t="s">
        <v>45</v>
      </c>
      <c r="C708" s="57" t="s">
        <v>26</v>
      </c>
      <c r="D708" s="58" t="s">
        <v>31</v>
      </c>
      <c r="E708" s="62">
        <v>7.5399999999999998E-3</v>
      </c>
    </row>
    <row r="709" spans="2:5" x14ac:dyDescent="0.25">
      <c r="B709" s="56" t="s">
        <v>45</v>
      </c>
      <c r="C709" s="57" t="s">
        <v>26</v>
      </c>
      <c r="D709" s="58" t="s">
        <v>22</v>
      </c>
      <c r="E709" s="62">
        <v>3.2299999999999989E-3</v>
      </c>
    </row>
    <row r="710" spans="2:5" x14ac:dyDescent="0.25">
      <c r="B710" s="56" t="s">
        <v>45</v>
      </c>
      <c r="C710" s="57" t="s">
        <v>26</v>
      </c>
      <c r="D710" s="58" t="s">
        <v>27</v>
      </c>
      <c r="E710" s="62">
        <v>9.7000000000000003E-3</v>
      </c>
    </row>
    <row r="711" spans="2:5" x14ac:dyDescent="0.25">
      <c r="B711" s="56" t="s">
        <v>45</v>
      </c>
      <c r="C711" s="57" t="s">
        <v>26</v>
      </c>
      <c r="D711" s="58" t="s">
        <v>24</v>
      </c>
      <c r="E711" s="62">
        <v>8.709999999999999E-3</v>
      </c>
    </row>
    <row r="712" spans="2:5" x14ac:dyDescent="0.25">
      <c r="B712" s="56" t="s">
        <v>45</v>
      </c>
      <c r="C712" s="57" t="s">
        <v>26</v>
      </c>
      <c r="D712" s="58" t="s">
        <v>32</v>
      </c>
      <c r="E712" s="62">
        <v>6.3699999999999981E-3</v>
      </c>
    </row>
    <row r="713" spans="2:5" x14ac:dyDescent="0.25">
      <c r="B713" s="56" t="s">
        <v>45</v>
      </c>
      <c r="C713" s="57" t="s">
        <v>26</v>
      </c>
      <c r="D713" s="58" t="s">
        <v>32</v>
      </c>
      <c r="E713" s="62">
        <v>1.0719999999999999E-2</v>
      </c>
    </row>
    <row r="714" spans="2:5" x14ac:dyDescent="0.25">
      <c r="B714" s="56" t="s">
        <v>45</v>
      </c>
      <c r="C714" s="57" t="s">
        <v>26</v>
      </c>
      <c r="D714" s="58" t="s">
        <v>27</v>
      </c>
      <c r="E714" s="62">
        <v>7.2100000000000003E-3</v>
      </c>
    </row>
    <row r="715" spans="2:5" x14ac:dyDescent="0.25">
      <c r="B715" s="56" t="s">
        <v>45</v>
      </c>
      <c r="C715" s="57" t="s">
        <v>26</v>
      </c>
      <c r="D715" s="58" t="s">
        <v>31</v>
      </c>
      <c r="E715" s="62">
        <v>4.7400000000000012E-3</v>
      </c>
    </row>
    <row r="716" spans="2:5" x14ac:dyDescent="0.25">
      <c r="B716" s="56" t="s">
        <v>45</v>
      </c>
      <c r="C716" s="57" t="s">
        <v>26</v>
      </c>
      <c r="D716" s="58" t="s">
        <v>32</v>
      </c>
      <c r="E716" s="62">
        <v>8.3000000000000036E-3</v>
      </c>
    </row>
    <row r="717" spans="2:5" x14ac:dyDescent="0.25">
      <c r="B717" s="56" t="s">
        <v>45</v>
      </c>
      <c r="C717" s="57" t="s">
        <v>26</v>
      </c>
      <c r="D717" s="58" t="s">
        <v>32</v>
      </c>
      <c r="E717" s="62">
        <v>1.2859999999999995E-2</v>
      </c>
    </row>
    <row r="718" spans="2:5" x14ac:dyDescent="0.25">
      <c r="B718" s="56" t="s">
        <v>45</v>
      </c>
      <c r="C718" s="57" t="s">
        <v>25</v>
      </c>
      <c r="D718" s="58" t="s">
        <v>22</v>
      </c>
      <c r="E718" s="62">
        <v>6.0800000000000003E-3</v>
      </c>
    </row>
    <row r="719" spans="2:5" x14ac:dyDescent="0.25">
      <c r="B719" s="56" t="s">
        <v>45</v>
      </c>
      <c r="C719" s="57" t="s">
        <v>25</v>
      </c>
      <c r="D719" s="58" t="s">
        <v>22</v>
      </c>
      <c r="E719" s="62">
        <v>6.8500000000000002E-3</v>
      </c>
    </row>
    <row r="720" spans="2:5" x14ac:dyDescent="0.25">
      <c r="B720" s="56" t="s">
        <v>45</v>
      </c>
      <c r="C720" s="57" t="s">
        <v>26</v>
      </c>
      <c r="D720" s="58" t="s">
        <v>32</v>
      </c>
      <c r="E720" s="62">
        <v>9.3299999999999998E-3</v>
      </c>
    </row>
    <row r="721" spans="2:5" x14ac:dyDescent="0.25">
      <c r="B721" s="56" t="s">
        <v>45</v>
      </c>
      <c r="C721" s="57" t="s">
        <v>26</v>
      </c>
      <c r="D721" s="58" t="s">
        <v>22</v>
      </c>
      <c r="E721" s="62">
        <v>6.3100000000000014E-3</v>
      </c>
    </row>
    <row r="722" spans="2:5" x14ac:dyDescent="0.25">
      <c r="B722" s="56" t="s">
        <v>45</v>
      </c>
      <c r="C722" s="57" t="s">
        <v>26</v>
      </c>
      <c r="D722" s="58" t="s">
        <v>32</v>
      </c>
      <c r="E722" s="62">
        <v>6.2799999999999974E-3</v>
      </c>
    </row>
    <row r="723" spans="2:5" x14ac:dyDescent="0.25">
      <c r="B723" s="56" t="s">
        <v>45</v>
      </c>
      <c r="C723" s="57" t="s">
        <v>26</v>
      </c>
      <c r="D723" s="58" t="s">
        <v>32</v>
      </c>
      <c r="E723" s="62">
        <v>6.2099999999999994E-3</v>
      </c>
    </row>
    <row r="724" spans="2:5" x14ac:dyDescent="0.25">
      <c r="B724" s="56" t="s">
        <v>45</v>
      </c>
      <c r="C724" s="57" t="s">
        <v>26</v>
      </c>
      <c r="D724" s="58" t="s">
        <v>37</v>
      </c>
      <c r="E724" s="62">
        <v>7.0899999999999982E-3</v>
      </c>
    </row>
    <row r="725" spans="2:5" x14ac:dyDescent="0.25">
      <c r="B725" s="56" t="s">
        <v>45</v>
      </c>
      <c r="C725" s="57" t="s">
        <v>26</v>
      </c>
      <c r="D725" s="58" t="s">
        <v>24</v>
      </c>
      <c r="E725" s="62">
        <v>9.2099999999999977E-3</v>
      </c>
    </row>
    <row r="726" spans="2:5" x14ac:dyDescent="0.25">
      <c r="B726" s="56" t="s">
        <v>45</v>
      </c>
      <c r="C726" s="57" t="s">
        <v>26</v>
      </c>
      <c r="D726" s="58" t="s">
        <v>24</v>
      </c>
      <c r="E726" s="62">
        <v>7.5499999999999994E-3</v>
      </c>
    </row>
    <row r="727" spans="2:5" x14ac:dyDescent="0.25">
      <c r="B727" s="56" t="s">
        <v>45</v>
      </c>
      <c r="C727" s="57" t="s">
        <v>26</v>
      </c>
      <c r="D727" s="58" t="s">
        <v>28</v>
      </c>
      <c r="E727" s="62">
        <v>1.4970000000000004E-2</v>
      </c>
    </row>
    <row r="728" spans="2:5" x14ac:dyDescent="0.25">
      <c r="B728" s="56" t="s">
        <v>45</v>
      </c>
      <c r="C728" s="57" t="s">
        <v>25</v>
      </c>
      <c r="D728" s="58" t="s">
        <v>28</v>
      </c>
      <c r="E728" s="62">
        <v>7.0299999999999998E-3</v>
      </c>
    </row>
    <row r="729" spans="2:5" x14ac:dyDescent="0.25">
      <c r="B729" s="56" t="s">
        <v>45</v>
      </c>
      <c r="C729" s="57" t="s">
        <v>26</v>
      </c>
      <c r="D729" s="58" t="s">
        <v>32</v>
      </c>
      <c r="E729" s="62">
        <v>1.1679999999999999E-2</v>
      </c>
    </row>
    <row r="730" spans="2:5" x14ac:dyDescent="0.25">
      <c r="B730" s="56" t="s">
        <v>45</v>
      </c>
      <c r="C730" s="57" t="s">
        <v>26</v>
      </c>
      <c r="D730" s="58" t="s">
        <v>24</v>
      </c>
      <c r="E730" s="62">
        <v>5.1000000000000021E-3</v>
      </c>
    </row>
    <row r="731" spans="2:5" x14ac:dyDescent="0.25">
      <c r="B731" s="56" t="s">
        <v>45</v>
      </c>
      <c r="C731" s="57" t="s">
        <v>25</v>
      </c>
      <c r="D731" s="58" t="s">
        <v>24</v>
      </c>
      <c r="E731" s="62">
        <v>4.9799999999999983E-3</v>
      </c>
    </row>
    <row r="732" spans="2:5" x14ac:dyDescent="0.25">
      <c r="B732" s="56" t="s">
        <v>45</v>
      </c>
      <c r="C732" s="57" t="s">
        <v>26</v>
      </c>
      <c r="D732" s="58" t="s">
        <v>37</v>
      </c>
      <c r="E732" s="62">
        <v>5.6000000000000025E-3</v>
      </c>
    </row>
    <row r="733" spans="2:5" x14ac:dyDescent="0.25">
      <c r="B733" s="56" t="s">
        <v>45</v>
      </c>
      <c r="C733" s="57" t="s">
        <v>26</v>
      </c>
      <c r="D733" s="58" t="s">
        <v>37</v>
      </c>
      <c r="E733" s="62">
        <v>5.6100000000000021E-3</v>
      </c>
    </row>
    <row r="734" spans="2:5" x14ac:dyDescent="0.25">
      <c r="B734" s="56" t="s">
        <v>45</v>
      </c>
      <c r="C734" s="57" t="s">
        <v>26</v>
      </c>
      <c r="D734" s="58" t="s">
        <v>28</v>
      </c>
      <c r="E734" s="62">
        <v>6.2599999999999973E-3</v>
      </c>
    </row>
    <row r="735" spans="2:5" x14ac:dyDescent="0.25">
      <c r="B735" s="56" t="s">
        <v>45</v>
      </c>
      <c r="C735" s="57" t="s">
        <v>26</v>
      </c>
      <c r="D735" s="58" t="s">
        <v>22</v>
      </c>
      <c r="E735" s="62">
        <v>5.1400000000000013E-3</v>
      </c>
    </row>
    <row r="736" spans="2:5" x14ac:dyDescent="0.25">
      <c r="B736" s="56" t="s">
        <v>45</v>
      </c>
      <c r="C736" s="57" t="s">
        <v>26</v>
      </c>
      <c r="D736" s="58" t="s">
        <v>30</v>
      </c>
      <c r="E736" s="62">
        <v>1.2459999999999999E-2</v>
      </c>
    </row>
    <row r="737" spans="2:5" x14ac:dyDescent="0.25">
      <c r="B737" s="56" t="s">
        <v>45</v>
      </c>
      <c r="C737" s="57" t="s">
        <v>25</v>
      </c>
      <c r="D737" s="58" t="s">
        <v>28</v>
      </c>
      <c r="E737" s="62">
        <v>2.5299999999999997E-3</v>
      </c>
    </row>
    <row r="738" spans="2:5" x14ac:dyDescent="0.25">
      <c r="B738" s="56" t="s">
        <v>45</v>
      </c>
      <c r="C738" s="57" t="s">
        <v>25</v>
      </c>
      <c r="D738" s="58" t="s">
        <v>24</v>
      </c>
      <c r="E738" s="62">
        <v>7.1299999999999983E-3</v>
      </c>
    </row>
    <row r="739" spans="2:5" x14ac:dyDescent="0.25">
      <c r="B739" s="56" t="s">
        <v>45</v>
      </c>
      <c r="C739" s="57" t="s">
        <v>25</v>
      </c>
      <c r="D739" s="58" t="s">
        <v>31</v>
      </c>
      <c r="E739" s="62">
        <v>7.1299999999999983E-3</v>
      </c>
    </row>
    <row r="740" spans="2:5" x14ac:dyDescent="0.25">
      <c r="B740" s="56" t="s">
        <v>45</v>
      </c>
      <c r="C740" s="57" t="s">
        <v>25</v>
      </c>
      <c r="D740" s="58" t="s">
        <v>33</v>
      </c>
      <c r="E740" s="62">
        <v>3.5400000000000015E-3</v>
      </c>
    </row>
    <row r="741" spans="2:5" x14ac:dyDescent="0.25">
      <c r="B741" s="56" t="s">
        <v>45</v>
      </c>
      <c r="C741" s="57" t="s">
        <v>26</v>
      </c>
      <c r="D741" s="58" t="s">
        <v>32</v>
      </c>
      <c r="E741" s="62">
        <v>1.1860000000000002E-2</v>
      </c>
    </row>
    <row r="742" spans="2:5" x14ac:dyDescent="0.25">
      <c r="B742" s="56" t="s">
        <v>45</v>
      </c>
      <c r="C742" s="57" t="s">
        <v>26</v>
      </c>
      <c r="D742" s="58" t="s">
        <v>31</v>
      </c>
      <c r="E742" s="62">
        <v>6.4400000000000004E-3</v>
      </c>
    </row>
    <row r="743" spans="2:5" x14ac:dyDescent="0.25">
      <c r="B743" s="56" t="s">
        <v>45</v>
      </c>
      <c r="C743" s="57" t="s">
        <v>26</v>
      </c>
      <c r="D743" s="58" t="s">
        <v>27</v>
      </c>
      <c r="E743" s="62">
        <v>9.4800000000000023E-3</v>
      </c>
    </row>
    <row r="744" spans="2:5" x14ac:dyDescent="0.25">
      <c r="B744" s="56" t="s">
        <v>45</v>
      </c>
      <c r="C744" s="57" t="s">
        <v>26</v>
      </c>
      <c r="D744" s="58" t="s">
        <v>24</v>
      </c>
      <c r="E744" s="62">
        <v>1.4380000000000002E-2</v>
      </c>
    </row>
    <row r="745" spans="2:5" x14ac:dyDescent="0.25">
      <c r="B745" s="56" t="s">
        <v>45</v>
      </c>
      <c r="C745" s="57" t="s">
        <v>26</v>
      </c>
      <c r="D745" s="58" t="s">
        <v>22</v>
      </c>
      <c r="E745" s="62">
        <v>4.3200000000000009E-3</v>
      </c>
    </row>
    <row r="746" spans="2:5" x14ac:dyDescent="0.25">
      <c r="B746" s="56" t="s">
        <v>45</v>
      </c>
      <c r="C746" s="57" t="s">
        <v>36</v>
      </c>
      <c r="D746" s="58" t="s">
        <v>24</v>
      </c>
      <c r="E746" s="62">
        <v>4.8099999999999983E-3</v>
      </c>
    </row>
    <row r="747" spans="2:5" x14ac:dyDescent="0.25">
      <c r="B747" s="56" t="s">
        <v>45</v>
      </c>
      <c r="C747" s="57" t="s">
        <v>23</v>
      </c>
      <c r="D747" s="58" t="s">
        <v>30</v>
      </c>
      <c r="E747" s="62">
        <v>3.1499999999999996E-3</v>
      </c>
    </row>
    <row r="748" spans="2:5" x14ac:dyDescent="0.25">
      <c r="B748" s="56" t="s">
        <v>45</v>
      </c>
      <c r="C748" s="57" t="s">
        <v>26</v>
      </c>
      <c r="D748" s="58" t="s">
        <v>37</v>
      </c>
      <c r="E748" s="62">
        <v>1.4460000000000001E-2</v>
      </c>
    </row>
    <row r="749" spans="2:5" x14ac:dyDescent="0.25">
      <c r="B749" s="56" t="s">
        <v>45</v>
      </c>
      <c r="C749" s="57" t="s">
        <v>26</v>
      </c>
      <c r="D749" s="58" t="s">
        <v>31</v>
      </c>
      <c r="E749" s="62">
        <v>8.7300000000000034E-3</v>
      </c>
    </row>
    <row r="750" spans="2:5" x14ac:dyDescent="0.25">
      <c r="B750" s="56" t="s">
        <v>45</v>
      </c>
      <c r="C750" s="57" t="s">
        <v>26</v>
      </c>
      <c r="D750" s="58" t="s">
        <v>28</v>
      </c>
      <c r="E750" s="62">
        <v>4.7200000000000011E-3</v>
      </c>
    </row>
    <row r="751" spans="2:5" x14ac:dyDescent="0.25">
      <c r="B751" s="56" t="s">
        <v>45</v>
      </c>
      <c r="C751" s="57" t="s">
        <v>26</v>
      </c>
      <c r="D751" s="58" t="s">
        <v>28</v>
      </c>
      <c r="E751" s="62">
        <v>1.4079999999999995E-2</v>
      </c>
    </row>
    <row r="752" spans="2:5" x14ac:dyDescent="0.25">
      <c r="B752" s="56" t="s">
        <v>45</v>
      </c>
      <c r="C752" s="57" t="s">
        <v>26</v>
      </c>
      <c r="D752" s="58" t="s">
        <v>22</v>
      </c>
      <c r="E752" s="62">
        <v>8.8199999999999997E-3</v>
      </c>
    </row>
    <row r="753" spans="2:5" x14ac:dyDescent="0.25">
      <c r="B753" s="56" t="s">
        <v>45</v>
      </c>
      <c r="C753" s="57" t="s">
        <v>26</v>
      </c>
      <c r="D753" s="58" t="s">
        <v>22</v>
      </c>
      <c r="E753" s="62">
        <v>2.8299999999999996E-3</v>
      </c>
    </row>
    <row r="754" spans="2:5" x14ac:dyDescent="0.25">
      <c r="B754" s="56" t="s">
        <v>45</v>
      </c>
      <c r="C754" s="57" t="s">
        <v>26</v>
      </c>
      <c r="D754" s="58" t="s">
        <v>37</v>
      </c>
      <c r="E754" s="62">
        <v>5.8299999999999975E-3</v>
      </c>
    </row>
    <row r="755" spans="2:5" x14ac:dyDescent="0.25">
      <c r="B755" s="56" t="s">
        <v>45</v>
      </c>
      <c r="C755" s="57" t="s">
        <v>26</v>
      </c>
      <c r="D755" s="58" t="s">
        <v>31</v>
      </c>
      <c r="E755" s="62">
        <v>7.440000000000003E-3</v>
      </c>
    </row>
    <row r="756" spans="2:5" x14ac:dyDescent="0.25">
      <c r="B756" s="56" t="s">
        <v>45</v>
      </c>
      <c r="C756" s="57" t="s">
        <v>26</v>
      </c>
      <c r="D756" s="58" t="s">
        <v>24</v>
      </c>
      <c r="E756" s="62">
        <v>1.4650000000000005E-2</v>
      </c>
    </row>
    <row r="757" spans="2:5" x14ac:dyDescent="0.25">
      <c r="B757" s="56" t="s">
        <v>45</v>
      </c>
      <c r="C757" s="57" t="s">
        <v>26</v>
      </c>
      <c r="D757" s="58" t="s">
        <v>24</v>
      </c>
      <c r="E757" s="62">
        <v>1.2319999999999994E-2</v>
      </c>
    </row>
    <row r="758" spans="2:5" x14ac:dyDescent="0.25">
      <c r="B758" s="56" t="s">
        <v>45</v>
      </c>
      <c r="C758" s="57" t="s">
        <v>26</v>
      </c>
      <c r="D758" s="58" t="s">
        <v>30</v>
      </c>
      <c r="E758" s="62">
        <v>7.139999999999997E-3</v>
      </c>
    </row>
    <row r="759" spans="2:5" x14ac:dyDescent="0.25">
      <c r="B759" s="56" t="s">
        <v>45</v>
      </c>
      <c r="C759" s="57" t="s">
        <v>26</v>
      </c>
      <c r="D759" s="58" t="s">
        <v>24</v>
      </c>
      <c r="E759" s="62">
        <v>3.9900000000000005E-3</v>
      </c>
    </row>
    <row r="760" spans="2:5" x14ac:dyDescent="0.25">
      <c r="B760" s="56" t="s">
        <v>45</v>
      </c>
      <c r="C760" s="57" t="s">
        <v>26</v>
      </c>
      <c r="D760" s="58" t="s">
        <v>24</v>
      </c>
      <c r="E760" s="62">
        <v>1.3380000000000005E-2</v>
      </c>
    </row>
    <row r="761" spans="2:5" x14ac:dyDescent="0.25">
      <c r="B761" s="56" t="s">
        <v>45</v>
      </c>
      <c r="C761" s="57" t="s">
        <v>26</v>
      </c>
      <c r="D761" s="58" t="s">
        <v>29</v>
      </c>
      <c r="E761" s="62">
        <v>4.1999999999999989E-3</v>
      </c>
    </row>
    <row r="762" spans="2:5" x14ac:dyDescent="0.25">
      <c r="B762" s="56" t="s">
        <v>45</v>
      </c>
      <c r="C762" s="57" t="s">
        <v>26</v>
      </c>
      <c r="D762" s="58" t="s">
        <v>27</v>
      </c>
      <c r="E762" s="62">
        <v>4.3000000000000017E-3</v>
      </c>
    </row>
    <row r="763" spans="2:5" x14ac:dyDescent="0.25">
      <c r="B763" s="56" t="s">
        <v>45</v>
      </c>
      <c r="C763" s="57" t="s">
        <v>26</v>
      </c>
      <c r="D763" s="58" t="s">
        <v>32</v>
      </c>
      <c r="E763" s="62">
        <v>1.0599999999999998E-2</v>
      </c>
    </row>
    <row r="764" spans="2:5" x14ac:dyDescent="0.25">
      <c r="B764" s="56" t="s">
        <v>45</v>
      </c>
      <c r="C764" s="57" t="s">
        <v>36</v>
      </c>
      <c r="D764" s="58" t="s">
        <v>28</v>
      </c>
      <c r="E764" s="62">
        <v>3.3699999999999989E-3</v>
      </c>
    </row>
    <row r="765" spans="2:5" x14ac:dyDescent="0.25">
      <c r="B765" s="56" t="s">
        <v>45</v>
      </c>
      <c r="C765" s="57" t="s">
        <v>36</v>
      </c>
      <c r="D765" s="58" t="s">
        <v>35</v>
      </c>
      <c r="E765" s="62">
        <v>9.6699999999999963E-3</v>
      </c>
    </row>
    <row r="766" spans="2:5" x14ac:dyDescent="0.25">
      <c r="B766" s="56" t="s">
        <v>45</v>
      </c>
      <c r="C766" s="57" t="s">
        <v>26</v>
      </c>
      <c r="D766" s="58" t="s">
        <v>31</v>
      </c>
      <c r="E766" s="62">
        <v>2.8799999999999997E-3</v>
      </c>
    </row>
    <row r="767" spans="2:5" x14ac:dyDescent="0.25">
      <c r="B767" s="56" t="s">
        <v>45</v>
      </c>
      <c r="C767" s="57" t="s">
        <v>26</v>
      </c>
      <c r="D767" s="58" t="s">
        <v>31</v>
      </c>
      <c r="E767" s="62">
        <v>8.0299999999999972E-3</v>
      </c>
    </row>
    <row r="768" spans="2:5" x14ac:dyDescent="0.25">
      <c r="B768" s="56" t="s">
        <v>45</v>
      </c>
      <c r="C768" s="57" t="s">
        <v>26</v>
      </c>
      <c r="D768" s="58" t="s">
        <v>27</v>
      </c>
      <c r="E768" s="62">
        <v>6.2099999999999994E-3</v>
      </c>
    </row>
    <row r="769" spans="2:5" x14ac:dyDescent="0.25">
      <c r="B769" s="56" t="s">
        <v>45</v>
      </c>
      <c r="C769" s="57" t="s">
        <v>26</v>
      </c>
      <c r="D769" s="58" t="s">
        <v>37</v>
      </c>
      <c r="E769" s="62">
        <v>6.7599999999999995E-3</v>
      </c>
    </row>
    <row r="770" spans="2:5" x14ac:dyDescent="0.25">
      <c r="B770" s="56" t="s">
        <v>45</v>
      </c>
      <c r="C770" s="57" t="s">
        <v>21</v>
      </c>
      <c r="D770" s="58" t="s">
        <v>22</v>
      </c>
      <c r="E770" s="62">
        <v>8.0100000000000015E-3</v>
      </c>
    </row>
    <row r="771" spans="2:5" x14ac:dyDescent="0.25">
      <c r="B771" s="56" t="s">
        <v>45</v>
      </c>
      <c r="C771" s="57" t="s">
        <v>26</v>
      </c>
      <c r="D771" s="58" t="s">
        <v>31</v>
      </c>
      <c r="E771" s="62">
        <v>5.0500000000000007E-3</v>
      </c>
    </row>
    <row r="772" spans="2:5" x14ac:dyDescent="0.25">
      <c r="B772" s="56" t="s">
        <v>45</v>
      </c>
      <c r="C772" s="57" t="s">
        <v>25</v>
      </c>
      <c r="D772" s="58" t="s">
        <v>37</v>
      </c>
      <c r="E772" s="62">
        <v>1.2310000000000001E-2</v>
      </c>
    </row>
    <row r="773" spans="2:5" x14ac:dyDescent="0.25">
      <c r="B773" s="56" t="s">
        <v>45</v>
      </c>
      <c r="C773" s="57" t="s">
        <v>39</v>
      </c>
      <c r="D773" s="58" t="s">
        <v>35</v>
      </c>
      <c r="E773" s="62">
        <v>5.7000000000000011E-3</v>
      </c>
    </row>
    <row r="774" spans="2:5" x14ac:dyDescent="0.25">
      <c r="B774" s="56" t="s">
        <v>45</v>
      </c>
      <c r="C774" s="57" t="s">
        <v>26</v>
      </c>
      <c r="D774" s="58" t="s">
        <v>22</v>
      </c>
      <c r="E774" s="62">
        <v>8.8999999999999982E-3</v>
      </c>
    </row>
    <row r="775" spans="2:5" x14ac:dyDescent="0.25">
      <c r="B775" s="56" t="s">
        <v>45</v>
      </c>
      <c r="C775" s="57" t="s">
        <v>26</v>
      </c>
      <c r="D775" s="58" t="s">
        <v>28</v>
      </c>
      <c r="E775" s="62">
        <v>9.4000000000000004E-3</v>
      </c>
    </row>
    <row r="776" spans="2:5" x14ac:dyDescent="0.25">
      <c r="B776" s="56" t="s">
        <v>45</v>
      </c>
      <c r="C776" s="57" t="s">
        <v>26</v>
      </c>
      <c r="D776" s="58" t="s">
        <v>32</v>
      </c>
      <c r="E776" s="62">
        <v>7.980000000000001E-3</v>
      </c>
    </row>
    <row r="777" spans="2:5" x14ac:dyDescent="0.25">
      <c r="B777" s="56" t="s">
        <v>45</v>
      </c>
      <c r="C777" s="57" t="s">
        <v>26</v>
      </c>
      <c r="D777" s="58" t="s">
        <v>24</v>
      </c>
      <c r="E777" s="62">
        <v>5.9800000000000018E-3</v>
      </c>
    </row>
    <row r="778" spans="2:5" x14ac:dyDescent="0.25">
      <c r="B778" s="56" t="s">
        <v>45</v>
      </c>
      <c r="C778" s="57" t="s">
        <v>26</v>
      </c>
      <c r="D778" s="58" t="s">
        <v>22</v>
      </c>
      <c r="E778" s="62">
        <v>8.8100000000000019E-3</v>
      </c>
    </row>
    <row r="779" spans="2:5" x14ac:dyDescent="0.25">
      <c r="B779" s="56" t="s">
        <v>45</v>
      </c>
      <c r="C779" s="57" t="s">
        <v>26</v>
      </c>
      <c r="D779" s="58" t="s">
        <v>24</v>
      </c>
      <c r="E779" s="62">
        <v>1.047E-2</v>
      </c>
    </row>
    <row r="780" spans="2:5" x14ac:dyDescent="0.25">
      <c r="B780" s="56" t="s">
        <v>45</v>
      </c>
      <c r="C780" s="57" t="s">
        <v>26</v>
      </c>
      <c r="D780" s="58" t="s">
        <v>32</v>
      </c>
      <c r="E780" s="62">
        <v>4.7400000000000012E-3</v>
      </c>
    </row>
    <row r="781" spans="2:5" x14ac:dyDescent="0.25">
      <c r="B781" s="56" t="s">
        <v>45</v>
      </c>
      <c r="C781" s="57" t="s">
        <v>26</v>
      </c>
      <c r="D781" s="58" t="s">
        <v>32</v>
      </c>
      <c r="E781" s="62">
        <v>8.0800000000000021E-3</v>
      </c>
    </row>
    <row r="782" spans="2:5" x14ac:dyDescent="0.25">
      <c r="B782" s="56" t="s">
        <v>45</v>
      </c>
      <c r="C782" s="57" t="s">
        <v>26</v>
      </c>
      <c r="D782" s="58" t="s">
        <v>24</v>
      </c>
      <c r="E782" s="62">
        <v>1.0460000000000002E-2</v>
      </c>
    </row>
    <row r="783" spans="2:5" x14ac:dyDescent="0.25">
      <c r="B783" s="56" t="s">
        <v>45</v>
      </c>
      <c r="C783" s="57" t="s">
        <v>26</v>
      </c>
      <c r="D783" s="58" t="s">
        <v>30</v>
      </c>
      <c r="E783" s="62">
        <v>6.5999999999999974E-3</v>
      </c>
    </row>
    <row r="784" spans="2:5" x14ac:dyDescent="0.25">
      <c r="B784" s="56" t="s">
        <v>45</v>
      </c>
      <c r="C784" s="57" t="s">
        <v>26</v>
      </c>
      <c r="D784" s="58" t="s">
        <v>32</v>
      </c>
      <c r="E784" s="62">
        <v>8.709999999999999E-3</v>
      </c>
    </row>
    <row r="785" spans="2:5" x14ac:dyDescent="0.25">
      <c r="B785" s="56" t="s">
        <v>45</v>
      </c>
      <c r="C785" s="57" t="s">
        <v>26</v>
      </c>
      <c r="D785" s="58" t="s">
        <v>28</v>
      </c>
      <c r="E785" s="62">
        <v>1.4960000000000005E-2</v>
      </c>
    </row>
    <row r="786" spans="2:5" x14ac:dyDescent="0.25">
      <c r="B786" s="56" t="s">
        <v>45</v>
      </c>
      <c r="C786" s="57" t="s">
        <v>26</v>
      </c>
      <c r="D786" s="58" t="s">
        <v>28</v>
      </c>
      <c r="E786" s="62">
        <v>2.63E-3</v>
      </c>
    </row>
    <row r="787" spans="2:5" x14ac:dyDescent="0.25">
      <c r="B787" s="56" t="s">
        <v>45</v>
      </c>
      <c r="C787" s="57" t="s">
        <v>26</v>
      </c>
      <c r="D787" s="58" t="s">
        <v>24</v>
      </c>
      <c r="E787" s="62">
        <v>5.6500000000000014E-3</v>
      </c>
    </row>
    <row r="788" spans="2:5" x14ac:dyDescent="0.25">
      <c r="B788" s="56" t="s">
        <v>45</v>
      </c>
      <c r="C788" s="57" t="s">
        <v>25</v>
      </c>
      <c r="D788" s="58" t="s">
        <v>22</v>
      </c>
      <c r="E788" s="62">
        <v>3.7300000000000007E-3</v>
      </c>
    </row>
    <row r="789" spans="2:5" x14ac:dyDescent="0.25">
      <c r="B789" s="56" t="s">
        <v>45</v>
      </c>
      <c r="C789" s="57" t="s">
        <v>25</v>
      </c>
      <c r="D789" s="58" t="s">
        <v>31</v>
      </c>
      <c r="E789" s="62">
        <v>3.1000000000000003E-3</v>
      </c>
    </row>
    <row r="790" spans="2:5" x14ac:dyDescent="0.25">
      <c r="B790" s="56" t="s">
        <v>45</v>
      </c>
      <c r="C790" s="57" t="s">
        <v>26</v>
      </c>
      <c r="D790" s="58" t="s">
        <v>37</v>
      </c>
      <c r="E790" s="62">
        <v>4.3599999999999984E-3</v>
      </c>
    </row>
    <row r="791" spans="2:5" x14ac:dyDescent="0.25">
      <c r="B791" s="56" t="s">
        <v>45</v>
      </c>
      <c r="C791" s="57" t="s">
        <v>26</v>
      </c>
      <c r="D791" s="58" t="s">
        <v>32</v>
      </c>
      <c r="E791" s="62">
        <v>9.020000000000002E-3</v>
      </c>
    </row>
    <row r="792" spans="2:5" x14ac:dyDescent="0.25">
      <c r="B792" s="56" t="s">
        <v>45</v>
      </c>
      <c r="C792" s="57" t="s">
        <v>26</v>
      </c>
      <c r="D792" s="58" t="s">
        <v>31</v>
      </c>
      <c r="E792" s="62">
        <v>1.218E-2</v>
      </c>
    </row>
    <row r="793" spans="2:5" x14ac:dyDescent="0.25">
      <c r="B793" s="56" t="s">
        <v>45</v>
      </c>
      <c r="C793" s="57" t="s">
        <v>26</v>
      </c>
      <c r="D793" s="58" t="s">
        <v>32</v>
      </c>
      <c r="E793" s="62">
        <v>1.0780000000000003E-2</v>
      </c>
    </row>
    <row r="794" spans="2:5" x14ac:dyDescent="0.25">
      <c r="B794" s="56" t="s">
        <v>45</v>
      </c>
      <c r="C794" s="57" t="s">
        <v>26</v>
      </c>
      <c r="D794" s="58" t="s">
        <v>32</v>
      </c>
      <c r="E794" s="62">
        <v>6.069999999999999E-3</v>
      </c>
    </row>
    <row r="795" spans="2:5" x14ac:dyDescent="0.25">
      <c r="B795" s="56" t="s">
        <v>45</v>
      </c>
      <c r="C795" s="57" t="s">
        <v>26</v>
      </c>
      <c r="D795" s="58" t="s">
        <v>37</v>
      </c>
      <c r="E795" s="62">
        <v>4.2300000000000011E-3</v>
      </c>
    </row>
    <row r="796" spans="2:5" x14ac:dyDescent="0.25">
      <c r="B796" s="56" t="s">
        <v>45</v>
      </c>
      <c r="C796" s="57" t="s">
        <v>26</v>
      </c>
      <c r="D796" s="58" t="s">
        <v>31</v>
      </c>
      <c r="E796" s="62">
        <v>8.9900000000000032E-3</v>
      </c>
    </row>
    <row r="797" spans="2:5" x14ac:dyDescent="0.25">
      <c r="B797" s="56" t="s">
        <v>45</v>
      </c>
      <c r="C797" s="57" t="s">
        <v>23</v>
      </c>
      <c r="D797" s="58" t="s">
        <v>32</v>
      </c>
      <c r="E797" s="62">
        <v>4.429999999999999E-3</v>
      </c>
    </row>
    <row r="798" spans="2:5" x14ac:dyDescent="0.25">
      <c r="B798" s="56" t="s">
        <v>45</v>
      </c>
      <c r="C798" s="57" t="s">
        <v>26</v>
      </c>
      <c r="D798" s="58" t="s">
        <v>28</v>
      </c>
      <c r="E798" s="62">
        <v>8.9999999999999993E-3</v>
      </c>
    </row>
    <row r="799" spans="2:5" x14ac:dyDescent="0.25">
      <c r="B799" s="56" t="s">
        <v>45</v>
      </c>
      <c r="C799" s="57" t="s">
        <v>26</v>
      </c>
      <c r="D799" s="58" t="s">
        <v>37</v>
      </c>
      <c r="E799" s="62">
        <v>2.5199999999999997E-3</v>
      </c>
    </row>
    <row r="800" spans="2:5" x14ac:dyDescent="0.25">
      <c r="B800" s="56" t="s">
        <v>45</v>
      </c>
      <c r="C800" s="57" t="s">
        <v>26</v>
      </c>
      <c r="D800" s="58" t="s">
        <v>29</v>
      </c>
      <c r="E800" s="62">
        <v>2.2199999999999993E-3</v>
      </c>
    </row>
    <row r="801" spans="2:5" x14ac:dyDescent="0.25">
      <c r="B801" s="56" t="s">
        <v>45</v>
      </c>
      <c r="C801" s="57" t="s">
        <v>25</v>
      </c>
      <c r="D801" s="58" t="s">
        <v>31</v>
      </c>
      <c r="E801" s="62">
        <v>8.5100000000000019E-3</v>
      </c>
    </row>
    <row r="802" spans="2:5" x14ac:dyDescent="0.25">
      <c r="B802" s="56" t="s">
        <v>45</v>
      </c>
      <c r="C802" s="57" t="s">
        <v>26</v>
      </c>
      <c r="D802" s="58" t="s">
        <v>28</v>
      </c>
      <c r="E802" s="62">
        <v>1.0000000000000004E-2</v>
      </c>
    </row>
    <row r="803" spans="2:5" x14ac:dyDescent="0.25">
      <c r="B803" s="56" t="s">
        <v>45</v>
      </c>
      <c r="C803" s="57" t="s">
        <v>26</v>
      </c>
      <c r="D803" s="58" t="s">
        <v>37</v>
      </c>
      <c r="E803" s="62">
        <v>8.3900000000000034E-3</v>
      </c>
    </row>
    <row r="804" spans="2:5" x14ac:dyDescent="0.25">
      <c r="B804" s="56" t="s">
        <v>45</v>
      </c>
      <c r="C804" s="57" t="s">
        <v>26</v>
      </c>
      <c r="D804" s="58" t="s">
        <v>29</v>
      </c>
      <c r="E804" s="62">
        <v>7.2400000000000025E-3</v>
      </c>
    </row>
    <row r="805" spans="2:5" x14ac:dyDescent="0.25">
      <c r="B805" s="56" t="s">
        <v>45</v>
      </c>
      <c r="C805" s="57" t="s">
        <v>26</v>
      </c>
      <c r="D805" s="58" t="s">
        <v>24</v>
      </c>
      <c r="E805" s="62">
        <v>7.9400000000000026E-3</v>
      </c>
    </row>
    <row r="806" spans="2:5" x14ac:dyDescent="0.25">
      <c r="B806" s="56" t="s">
        <v>45</v>
      </c>
      <c r="C806" s="57" t="s">
        <v>26</v>
      </c>
      <c r="D806" s="58" t="s">
        <v>24</v>
      </c>
      <c r="E806" s="62">
        <v>1.3150000000000002E-2</v>
      </c>
    </row>
    <row r="807" spans="2:5" x14ac:dyDescent="0.25">
      <c r="B807" s="56" t="s">
        <v>45</v>
      </c>
      <c r="C807" s="57" t="s">
        <v>26</v>
      </c>
      <c r="D807" s="58" t="s">
        <v>28</v>
      </c>
      <c r="E807" s="62">
        <v>7.9000000000000008E-3</v>
      </c>
    </row>
    <row r="808" spans="2:5" x14ac:dyDescent="0.25">
      <c r="B808" s="56" t="s">
        <v>45</v>
      </c>
      <c r="C808" s="57" t="s">
        <v>26</v>
      </c>
      <c r="D808" s="58" t="s">
        <v>28</v>
      </c>
      <c r="E808" s="62">
        <v>4.4900000000000001E-3</v>
      </c>
    </row>
    <row r="809" spans="2:5" x14ac:dyDescent="0.25">
      <c r="B809" s="56" t="s">
        <v>45</v>
      </c>
      <c r="C809" s="57" t="s">
        <v>26</v>
      </c>
      <c r="D809" s="58" t="s">
        <v>27</v>
      </c>
      <c r="E809" s="62">
        <v>8.3800000000000038E-3</v>
      </c>
    </row>
    <row r="810" spans="2:5" x14ac:dyDescent="0.25">
      <c r="B810" s="56" t="s">
        <v>45</v>
      </c>
      <c r="C810" s="57" t="s">
        <v>23</v>
      </c>
      <c r="D810" s="58" t="s">
        <v>30</v>
      </c>
      <c r="E810" s="62">
        <v>3.7400000000000003E-3</v>
      </c>
    </row>
    <row r="811" spans="2:5" x14ac:dyDescent="0.25">
      <c r="B811" s="56" t="s">
        <v>45</v>
      </c>
      <c r="C811" s="57" t="s">
        <v>25</v>
      </c>
      <c r="D811" s="58" t="s">
        <v>22</v>
      </c>
      <c r="E811" s="62">
        <v>4.7099999999999989E-3</v>
      </c>
    </row>
    <row r="812" spans="2:5" x14ac:dyDescent="0.25">
      <c r="B812" s="56" t="s">
        <v>45</v>
      </c>
      <c r="C812" s="57" t="s">
        <v>26</v>
      </c>
      <c r="D812" s="58" t="s">
        <v>28</v>
      </c>
      <c r="E812" s="62">
        <v>1.4590000000000004E-2</v>
      </c>
    </row>
    <row r="813" spans="2:5" x14ac:dyDescent="0.25">
      <c r="B813" s="56" t="s">
        <v>45</v>
      </c>
      <c r="C813" s="57" t="s">
        <v>26</v>
      </c>
      <c r="D813" s="58" t="s">
        <v>27</v>
      </c>
      <c r="E813" s="62">
        <v>4.8499999999999993E-3</v>
      </c>
    </row>
    <row r="814" spans="2:5" x14ac:dyDescent="0.25">
      <c r="B814" s="56" t="s">
        <v>45</v>
      </c>
      <c r="C814" s="57" t="s">
        <v>26</v>
      </c>
      <c r="D814" s="58" t="s">
        <v>27</v>
      </c>
      <c r="E814" s="62">
        <v>4.9600000000000009E-3</v>
      </c>
    </row>
    <row r="815" spans="2:5" x14ac:dyDescent="0.25">
      <c r="B815" s="56" t="s">
        <v>45</v>
      </c>
      <c r="C815" s="57" t="s">
        <v>26</v>
      </c>
      <c r="D815" s="58" t="s">
        <v>32</v>
      </c>
      <c r="E815" s="62">
        <v>1.4400000000000001E-2</v>
      </c>
    </row>
    <row r="816" spans="2:5" x14ac:dyDescent="0.25">
      <c r="B816" s="56" t="s">
        <v>45</v>
      </c>
      <c r="C816" s="57" t="s">
        <v>26</v>
      </c>
      <c r="D816" s="58" t="s">
        <v>31</v>
      </c>
      <c r="E816" s="62">
        <v>2.5100000000000005E-3</v>
      </c>
    </row>
    <row r="817" spans="2:5" x14ac:dyDescent="0.25">
      <c r="B817" s="56" t="s">
        <v>45</v>
      </c>
      <c r="C817" s="57" t="s">
        <v>26</v>
      </c>
      <c r="D817" s="58" t="s">
        <v>31</v>
      </c>
      <c r="E817" s="62">
        <v>2.4899999999999987E-3</v>
      </c>
    </row>
    <row r="818" spans="2:5" x14ac:dyDescent="0.25">
      <c r="B818" s="56" t="s">
        <v>45</v>
      </c>
      <c r="C818" s="57" t="s">
        <v>26</v>
      </c>
      <c r="D818" s="58" t="s">
        <v>27</v>
      </c>
      <c r="E818" s="62">
        <v>8.0299999999999972E-3</v>
      </c>
    </row>
    <row r="819" spans="2:5" x14ac:dyDescent="0.25">
      <c r="B819" s="56" t="s">
        <v>45</v>
      </c>
      <c r="C819" s="57" t="s">
        <v>26</v>
      </c>
      <c r="D819" s="58" t="s">
        <v>27</v>
      </c>
      <c r="E819" s="62">
        <v>7.3499999999999972E-3</v>
      </c>
    </row>
    <row r="820" spans="2:5" x14ac:dyDescent="0.25">
      <c r="B820" s="56" t="s">
        <v>45</v>
      </c>
      <c r="C820" s="57" t="s">
        <v>26</v>
      </c>
      <c r="D820" s="58" t="s">
        <v>24</v>
      </c>
      <c r="E820" s="62">
        <v>6.989999999999998E-3</v>
      </c>
    </row>
    <row r="821" spans="2:5" x14ac:dyDescent="0.25">
      <c r="B821" s="56" t="s">
        <v>45</v>
      </c>
      <c r="C821" s="57" t="s">
        <v>26</v>
      </c>
      <c r="D821" s="58" t="s">
        <v>37</v>
      </c>
      <c r="E821" s="62">
        <v>4.4399999999999986E-3</v>
      </c>
    </row>
    <row r="822" spans="2:5" x14ac:dyDescent="0.25">
      <c r="B822" s="56" t="s">
        <v>45</v>
      </c>
      <c r="C822" s="57" t="s">
        <v>26</v>
      </c>
      <c r="D822" s="58" t="s">
        <v>32</v>
      </c>
      <c r="E822" s="62">
        <v>8.680000000000002E-3</v>
      </c>
    </row>
    <row r="823" spans="2:5" x14ac:dyDescent="0.25">
      <c r="B823" s="56" t="s">
        <v>45</v>
      </c>
      <c r="C823" s="57" t="s">
        <v>26</v>
      </c>
      <c r="D823" s="58" t="s">
        <v>32</v>
      </c>
      <c r="E823" s="62">
        <v>8.680000000000002E-3</v>
      </c>
    </row>
    <row r="824" spans="2:5" x14ac:dyDescent="0.25">
      <c r="B824" s="56" t="s">
        <v>45</v>
      </c>
      <c r="C824" s="57" t="s">
        <v>36</v>
      </c>
      <c r="D824" s="58" t="s">
        <v>27</v>
      </c>
      <c r="E824" s="62">
        <v>4.2700000000000004E-3</v>
      </c>
    </row>
    <row r="825" spans="2:5" x14ac:dyDescent="0.25">
      <c r="B825" s="56" t="s">
        <v>45</v>
      </c>
      <c r="C825" s="57" t="s">
        <v>26</v>
      </c>
      <c r="D825" s="58" t="s">
        <v>22</v>
      </c>
      <c r="E825" s="62">
        <v>8.4400000000000013E-3</v>
      </c>
    </row>
    <row r="826" spans="2:5" x14ac:dyDescent="0.25">
      <c r="B826" s="56" t="s">
        <v>45</v>
      </c>
      <c r="C826" s="57" t="s">
        <v>25</v>
      </c>
      <c r="D826" s="58" t="s">
        <v>28</v>
      </c>
      <c r="E826" s="62">
        <v>1.2049999999999996E-2</v>
      </c>
    </row>
    <row r="827" spans="2:5" x14ac:dyDescent="0.25">
      <c r="B827" s="56" t="s">
        <v>45</v>
      </c>
      <c r="C827" s="57" t="s">
        <v>26</v>
      </c>
      <c r="D827" s="58" t="s">
        <v>31</v>
      </c>
      <c r="E827" s="62">
        <v>4.7900000000000017E-3</v>
      </c>
    </row>
    <row r="828" spans="2:5" x14ac:dyDescent="0.25">
      <c r="B828" s="56" t="s">
        <v>45</v>
      </c>
      <c r="C828" s="57" t="s">
        <v>34</v>
      </c>
      <c r="D828" s="58" t="s">
        <v>35</v>
      </c>
      <c r="E828" s="62">
        <v>4.7600000000000012E-3</v>
      </c>
    </row>
    <row r="829" spans="2:5" x14ac:dyDescent="0.25">
      <c r="B829" s="56" t="s">
        <v>45</v>
      </c>
      <c r="C829" s="57" t="s">
        <v>26</v>
      </c>
      <c r="D829" s="58" t="s">
        <v>28</v>
      </c>
      <c r="E829" s="62">
        <v>1.1110000000000002E-2</v>
      </c>
    </row>
    <row r="830" spans="2:5" x14ac:dyDescent="0.25">
      <c r="B830" s="56" t="s">
        <v>45</v>
      </c>
      <c r="C830" s="57" t="s">
        <v>26</v>
      </c>
      <c r="D830" s="58" t="s">
        <v>30</v>
      </c>
      <c r="E830" s="62">
        <v>6.7500000000000008E-3</v>
      </c>
    </row>
    <row r="831" spans="2:5" x14ac:dyDescent="0.25">
      <c r="B831" s="56" t="s">
        <v>45</v>
      </c>
      <c r="C831" s="57" t="s">
        <v>34</v>
      </c>
      <c r="D831" s="58" t="s">
        <v>35</v>
      </c>
      <c r="E831" s="62">
        <v>4.4399999999999986E-3</v>
      </c>
    </row>
    <row r="832" spans="2:5" x14ac:dyDescent="0.25">
      <c r="B832" s="56" t="s">
        <v>45</v>
      </c>
      <c r="C832" s="57" t="s">
        <v>36</v>
      </c>
      <c r="D832" s="58" t="s">
        <v>35</v>
      </c>
      <c r="E832" s="62">
        <v>5.6800000000000002E-3</v>
      </c>
    </row>
    <row r="833" spans="2:5" x14ac:dyDescent="0.25">
      <c r="B833" s="56" t="s">
        <v>45</v>
      </c>
      <c r="C833" s="57" t="s">
        <v>26</v>
      </c>
      <c r="D833" s="58" t="s">
        <v>32</v>
      </c>
      <c r="E833" s="62">
        <v>6.989999999999998E-3</v>
      </c>
    </row>
    <row r="834" spans="2:5" x14ac:dyDescent="0.25">
      <c r="B834" s="56" t="s">
        <v>45</v>
      </c>
      <c r="C834" s="57" t="s">
        <v>26</v>
      </c>
      <c r="D834" s="58" t="s">
        <v>32</v>
      </c>
      <c r="E834" s="62">
        <v>1.2759999999999997E-2</v>
      </c>
    </row>
    <row r="835" spans="2:5" x14ac:dyDescent="0.25">
      <c r="B835" s="56" t="s">
        <v>45</v>
      </c>
      <c r="C835" s="57" t="s">
        <v>25</v>
      </c>
      <c r="D835" s="58" t="s">
        <v>35</v>
      </c>
      <c r="E835" s="62">
        <v>4.2500000000000003E-3</v>
      </c>
    </row>
    <row r="836" spans="2:5" x14ac:dyDescent="0.25">
      <c r="B836" s="56" t="s">
        <v>45</v>
      </c>
      <c r="C836" s="57" t="s">
        <v>26</v>
      </c>
      <c r="D836" s="58" t="s">
        <v>22</v>
      </c>
      <c r="E836" s="62">
        <v>1.8799999999999997E-3</v>
      </c>
    </row>
    <row r="837" spans="2:5" x14ac:dyDescent="0.25">
      <c r="B837" s="56" t="s">
        <v>45</v>
      </c>
      <c r="C837" s="57" t="s">
        <v>38</v>
      </c>
      <c r="D837" s="58" t="s">
        <v>31</v>
      </c>
      <c r="E837" s="62">
        <v>8.6899999999999998E-3</v>
      </c>
    </row>
    <row r="838" spans="2:5" x14ac:dyDescent="0.25">
      <c r="B838" s="56" t="s">
        <v>45</v>
      </c>
      <c r="C838" s="57" t="s">
        <v>26</v>
      </c>
      <c r="D838" s="58" t="s">
        <v>29</v>
      </c>
      <c r="E838" s="62">
        <v>3.9799999999999992E-3</v>
      </c>
    </row>
    <row r="839" spans="2:5" x14ac:dyDescent="0.25">
      <c r="B839" s="56" t="s">
        <v>45</v>
      </c>
      <c r="C839" s="57" t="s">
        <v>26</v>
      </c>
      <c r="D839" s="58" t="s">
        <v>27</v>
      </c>
      <c r="E839" s="62">
        <v>9.8000000000000032E-3</v>
      </c>
    </row>
    <row r="840" spans="2:5" x14ac:dyDescent="0.25">
      <c r="B840" s="56" t="s">
        <v>45</v>
      </c>
      <c r="C840" s="57" t="s">
        <v>26</v>
      </c>
      <c r="D840" s="58" t="s">
        <v>24</v>
      </c>
      <c r="E840" s="62">
        <v>1.213E-2</v>
      </c>
    </row>
    <row r="841" spans="2:5" x14ac:dyDescent="0.25">
      <c r="B841" s="56" t="s">
        <v>45</v>
      </c>
      <c r="C841" s="57" t="s">
        <v>25</v>
      </c>
      <c r="D841" s="58" t="s">
        <v>28</v>
      </c>
      <c r="E841" s="62">
        <v>9.9699999999999962E-3</v>
      </c>
    </row>
    <row r="842" spans="2:5" x14ac:dyDescent="0.25">
      <c r="B842" s="56" t="s">
        <v>45</v>
      </c>
      <c r="C842" s="57" t="s">
        <v>26</v>
      </c>
      <c r="D842" s="58" t="s">
        <v>32</v>
      </c>
      <c r="E842" s="62">
        <v>8.1900000000000011E-3</v>
      </c>
    </row>
    <row r="843" spans="2:5" x14ac:dyDescent="0.25">
      <c r="B843" s="56" t="s">
        <v>45</v>
      </c>
      <c r="C843" s="57" t="s">
        <v>26</v>
      </c>
      <c r="D843" s="58" t="s">
        <v>31</v>
      </c>
      <c r="E843" s="62">
        <v>5.0399999999999993E-3</v>
      </c>
    </row>
    <row r="844" spans="2:5" x14ac:dyDescent="0.25">
      <c r="B844" s="56" t="s">
        <v>45</v>
      </c>
      <c r="C844" s="57" t="s">
        <v>26</v>
      </c>
      <c r="D844" s="58" t="s">
        <v>28</v>
      </c>
      <c r="E844" s="62">
        <v>5.8100000000000018E-3</v>
      </c>
    </row>
    <row r="845" spans="2:5" x14ac:dyDescent="0.25">
      <c r="B845" s="56" t="s">
        <v>45</v>
      </c>
      <c r="C845" s="57" t="s">
        <v>23</v>
      </c>
      <c r="D845" s="58" t="s">
        <v>30</v>
      </c>
      <c r="E845" s="62">
        <v>3.4600000000000008E-3</v>
      </c>
    </row>
    <row r="846" spans="2:5" x14ac:dyDescent="0.25">
      <c r="B846" s="56" t="s">
        <v>45</v>
      </c>
      <c r="C846" s="57" t="s">
        <v>26</v>
      </c>
      <c r="D846" s="58" t="s">
        <v>33</v>
      </c>
      <c r="E846" s="62">
        <v>7.3100000000000023E-3</v>
      </c>
    </row>
    <row r="847" spans="2:5" x14ac:dyDescent="0.25">
      <c r="B847" s="56" t="s">
        <v>45</v>
      </c>
      <c r="C847" s="57" t="s">
        <v>26</v>
      </c>
      <c r="D847" s="58" t="s">
        <v>27</v>
      </c>
      <c r="E847" s="62">
        <v>4.5700000000000011E-3</v>
      </c>
    </row>
    <row r="848" spans="2:5" x14ac:dyDescent="0.25">
      <c r="B848" s="56" t="s">
        <v>45</v>
      </c>
      <c r="C848" s="57" t="s">
        <v>39</v>
      </c>
      <c r="D848" s="58" t="s">
        <v>35</v>
      </c>
      <c r="E848" s="62">
        <v>6.8700000000000028E-3</v>
      </c>
    </row>
    <row r="849" spans="2:5" x14ac:dyDescent="0.25">
      <c r="B849" s="56" t="s">
        <v>45</v>
      </c>
      <c r="C849" s="57" t="s">
        <v>25</v>
      </c>
      <c r="D849" s="58" t="s">
        <v>24</v>
      </c>
      <c r="E849" s="62">
        <v>1.0579999999999999E-2</v>
      </c>
    </row>
    <row r="850" spans="2:5" x14ac:dyDescent="0.25">
      <c r="B850" s="56" t="s">
        <v>45</v>
      </c>
      <c r="C850" s="57" t="s">
        <v>39</v>
      </c>
      <c r="D850" s="58" t="s">
        <v>35</v>
      </c>
      <c r="E850" s="62">
        <v>8.8499999999999968E-3</v>
      </c>
    </row>
    <row r="851" spans="2:5" x14ac:dyDescent="0.25">
      <c r="B851" s="56" t="s">
        <v>45</v>
      </c>
      <c r="C851" s="57" t="s">
        <v>26</v>
      </c>
      <c r="D851" s="58" t="s">
        <v>31</v>
      </c>
      <c r="E851" s="62">
        <v>9.4299999999999991E-3</v>
      </c>
    </row>
    <row r="852" spans="2:5" x14ac:dyDescent="0.25">
      <c r="B852" s="56" t="s">
        <v>45</v>
      </c>
      <c r="C852" s="57" t="s">
        <v>25</v>
      </c>
      <c r="D852" s="58" t="s">
        <v>31</v>
      </c>
      <c r="E852" s="62">
        <v>5.9300000000000004E-3</v>
      </c>
    </row>
    <row r="853" spans="2:5" x14ac:dyDescent="0.25">
      <c r="B853" s="56" t="s">
        <v>45</v>
      </c>
      <c r="C853" s="57" t="s">
        <v>25</v>
      </c>
      <c r="D853" s="58" t="s">
        <v>37</v>
      </c>
      <c r="E853" s="62">
        <v>4.7300000000000016E-3</v>
      </c>
    </row>
    <row r="854" spans="2:5" x14ac:dyDescent="0.25">
      <c r="B854" s="56" t="s">
        <v>45</v>
      </c>
      <c r="C854" s="57" t="s">
        <v>26</v>
      </c>
      <c r="D854" s="58" t="s">
        <v>22</v>
      </c>
      <c r="E854" s="62">
        <v>5.6500000000000014E-3</v>
      </c>
    </row>
    <row r="855" spans="2:5" x14ac:dyDescent="0.25">
      <c r="B855" s="56" t="s">
        <v>45</v>
      </c>
      <c r="C855" s="57" t="s">
        <v>26</v>
      </c>
      <c r="D855" s="58" t="s">
        <v>28</v>
      </c>
      <c r="E855" s="62">
        <v>1.0809999999999997E-2</v>
      </c>
    </row>
    <row r="856" spans="2:5" x14ac:dyDescent="0.25">
      <c r="B856" s="56" t="s">
        <v>45</v>
      </c>
      <c r="C856" s="57" t="s">
        <v>25</v>
      </c>
      <c r="D856" s="58" t="s">
        <v>28</v>
      </c>
      <c r="E856" s="62">
        <v>3.1499999999999996E-3</v>
      </c>
    </row>
    <row r="857" spans="2:5" x14ac:dyDescent="0.25">
      <c r="B857" s="56" t="s">
        <v>45</v>
      </c>
      <c r="C857" s="57" t="s">
        <v>26</v>
      </c>
      <c r="D857" s="58" t="s">
        <v>22</v>
      </c>
      <c r="E857" s="62">
        <v>4.0500000000000015E-3</v>
      </c>
    </row>
    <row r="858" spans="2:5" x14ac:dyDescent="0.25">
      <c r="B858" s="56" t="s">
        <v>45</v>
      </c>
      <c r="C858" s="57" t="s">
        <v>26</v>
      </c>
      <c r="D858" s="58" t="s">
        <v>28</v>
      </c>
      <c r="E858" s="62">
        <v>7.9999999999999967E-3</v>
      </c>
    </row>
    <row r="859" spans="2:5" x14ac:dyDescent="0.25">
      <c r="B859" s="56" t="s">
        <v>45</v>
      </c>
      <c r="C859" s="57" t="s">
        <v>26</v>
      </c>
      <c r="D859" s="58" t="s">
        <v>24</v>
      </c>
      <c r="E859" s="62">
        <v>1.0009999999999996E-2</v>
      </c>
    </row>
    <row r="860" spans="2:5" x14ac:dyDescent="0.25">
      <c r="B860" s="56" t="s">
        <v>45</v>
      </c>
      <c r="C860" s="57" t="s">
        <v>26</v>
      </c>
      <c r="D860" s="58" t="s">
        <v>28</v>
      </c>
      <c r="E860" s="62">
        <v>1.3109999999999998E-2</v>
      </c>
    </row>
    <row r="861" spans="2:5" x14ac:dyDescent="0.25">
      <c r="B861" s="56" t="s">
        <v>45</v>
      </c>
      <c r="C861" s="57" t="s">
        <v>25</v>
      </c>
      <c r="D861" s="58" t="s">
        <v>27</v>
      </c>
      <c r="E861" s="62">
        <v>6.3300000000000014E-3</v>
      </c>
    </row>
    <row r="862" spans="2:5" x14ac:dyDescent="0.25">
      <c r="B862" s="56" t="s">
        <v>45</v>
      </c>
      <c r="C862" s="57" t="s">
        <v>23</v>
      </c>
      <c r="D862" s="58" t="s">
        <v>28</v>
      </c>
      <c r="E862" s="62">
        <v>3.1000000000000003E-3</v>
      </c>
    </row>
    <row r="863" spans="2:5" x14ac:dyDescent="0.25">
      <c r="B863" s="56" t="s">
        <v>45</v>
      </c>
      <c r="C863" s="57" t="s">
        <v>26</v>
      </c>
      <c r="D863" s="58" t="s">
        <v>22</v>
      </c>
      <c r="E863" s="62">
        <v>9.7899999999999966E-3</v>
      </c>
    </row>
    <row r="864" spans="2:5" x14ac:dyDescent="0.25">
      <c r="B864" s="56" t="s">
        <v>45</v>
      </c>
      <c r="C864" s="57" t="s">
        <v>26</v>
      </c>
      <c r="D864" s="58" t="s">
        <v>22</v>
      </c>
      <c r="E864" s="62">
        <v>4.9300000000000021E-3</v>
      </c>
    </row>
    <row r="865" spans="2:5" x14ac:dyDescent="0.25">
      <c r="B865" s="56" t="s">
        <v>45</v>
      </c>
      <c r="C865" s="57" t="s">
        <v>26</v>
      </c>
      <c r="D865" s="58" t="s">
        <v>32</v>
      </c>
      <c r="E865" s="62">
        <v>6.729999999999999E-3</v>
      </c>
    </row>
    <row r="866" spans="2:5" x14ac:dyDescent="0.25">
      <c r="B866" s="56" t="s">
        <v>45</v>
      </c>
      <c r="C866" s="57" t="s">
        <v>25</v>
      </c>
      <c r="D866" s="58" t="s">
        <v>30</v>
      </c>
      <c r="E866" s="62">
        <v>5.6899999999999989E-3</v>
      </c>
    </row>
    <row r="867" spans="2:5" x14ac:dyDescent="0.25">
      <c r="B867" s="56" t="s">
        <v>45</v>
      </c>
      <c r="C867" s="57" t="s">
        <v>25</v>
      </c>
      <c r="D867" s="58" t="s">
        <v>27</v>
      </c>
      <c r="E867" s="62">
        <v>7.4800000000000014E-3</v>
      </c>
    </row>
    <row r="868" spans="2:5" x14ac:dyDescent="0.25">
      <c r="B868" s="56" t="s">
        <v>45</v>
      </c>
      <c r="C868" s="57" t="s">
        <v>23</v>
      </c>
      <c r="D868" s="58" t="s">
        <v>27</v>
      </c>
      <c r="E868" s="62">
        <v>2.7899999999999986E-3</v>
      </c>
    </row>
    <row r="869" spans="2:5" x14ac:dyDescent="0.25">
      <c r="B869" s="56" t="s">
        <v>45</v>
      </c>
      <c r="C869" s="57" t="s">
        <v>23</v>
      </c>
      <c r="D869" s="58" t="s">
        <v>31</v>
      </c>
      <c r="E869" s="62">
        <v>3.0500000000000002E-3</v>
      </c>
    </row>
    <row r="870" spans="2:5" x14ac:dyDescent="0.25">
      <c r="B870" s="56" t="s">
        <v>45</v>
      </c>
      <c r="C870" s="57" t="s">
        <v>26</v>
      </c>
      <c r="D870" s="58" t="s">
        <v>32</v>
      </c>
      <c r="E870" s="62">
        <v>6.5399999999999998E-3</v>
      </c>
    </row>
    <row r="871" spans="2:5" x14ac:dyDescent="0.25">
      <c r="B871" s="56" t="s">
        <v>45</v>
      </c>
      <c r="C871" s="57" t="s">
        <v>26</v>
      </c>
      <c r="D871" s="58" t="s">
        <v>32</v>
      </c>
      <c r="E871" s="62">
        <v>8.1300000000000018E-3</v>
      </c>
    </row>
    <row r="872" spans="2:5" x14ac:dyDescent="0.25">
      <c r="B872" s="56" t="s">
        <v>45</v>
      </c>
      <c r="C872" s="57" t="s">
        <v>25</v>
      </c>
      <c r="D872" s="58" t="s">
        <v>28</v>
      </c>
      <c r="E872" s="62">
        <v>5.9999999999999984E-3</v>
      </c>
    </row>
    <row r="873" spans="2:5" x14ac:dyDescent="0.25">
      <c r="B873" s="56" t="s">
        <v>45</v>
      </c>
      <c r="C873" s="57" t="s">
        <v>25</v>
      </c>
      <c r="D873" s="58" t="s">
        <v>28</v>
      </c>
      <c r="E873" s="62">
        <v>5.3799999999999994E-3</v>
      </c>
    </row>
    <row r="874" spans="2:5" x14ac:dyDescent="0.25">
      <c r="B874" s="56" t="s">
        <v>45</v>
      </c>
      <c r="C874" s="57" t="s">
        <v>25</v>
      </c>
      <c r="D874" s="58" t="s">
        <v>27</v>
      </c>
      <c r="E874" s="62">
        <v>8.9300000000000022E-3</v>
      </c>
    </row>
    <row r="875" spans="2:5" x14ac:dyDescent="0.25">
      <c r="B875" s="56" t="s">
        <v>45</v>
      </c>
      <c r="C875" s="57" t="s">
        <v>26</v>
      </c>
      <c r="D875" s="58" t="s">
        <v>37</v>
      </c>
      <c r="E875" s="62">
        <v>1.0200000000000006E-2</v>
      </c>
    </row>
    <row r="876" spans="2:5" x14ac:dyDescent="0.25">
      <c r="B876" s="56" t="s">
        <v>45</v>
      </c>
      <c r="C876" s="57" t="s">
        <v>26</v>
      </c>
      <c r="D876" s="58" t="s">
        <v>22</v>
      </c>
      <c r="E876" s="62">
        <v>4.5499999999999985E-3</v>
      </c>
    </row>
    <row r="877" spans="2:5" x14ac:dyDescent="0.25">
      <c r="B877" s="56" t="s">
        <v>45</v>
      </c>
      <c r="C877" s="57" t="s">
        <v>26</v>
      </c>
      <c r="D877" s="58" t="s">
        <v>28</v>
      </c>
      <c r="E877" s="62">
        <v>4.3400000000000001E-3</v>
      </c>
    </row>
    <row r="878" spans="2:5" x14ac:dyDescent="0.25">
      <c r="B878" s="56" t="s">
        <v>45</v>
      </c>
      <c r="C878" s="57" t="s">
        <v>25</v>
      </c>
      <c r="D878" s="58" t="s">
        <v>28</v>
      </c>
      <c r="E878" s="62">
        <v>3.7300000000000007E-3</v>
      </c>
    </row>
    <row r="879" spans="2:5" x14ac:dyDescent="0.25">
      <c r="B879" s="56" t="s">
        <v>45</v>
      </c>
      <c r="C879" s="57" t="s">
        <v>26</v>
      </c>
      <c r="D879" s="58" t="s">
        <v>32</v>
      </c>
      <c r="E879" s="62">
        <v>1.1960000000000005E-2</v>
      </c>
    </row>
    <row r="880" spans="2:5" x14ac:dyDescent="0.25">
      <c r="B880" s="56" t="s">
        <v>45</v>
      </c>
      <c r="C880" s="57" t="s">
        <v>25</v>
      </c>
      <c r="D880" s="58" t="s">
        <v>33</v>
      </c>
      <c r="E880" s="62">
        <v>6.9100000000000012E-3</v>
      </c>
    </row>
    <row r="881" spans="2:5" x14ac:dyDescent="0.25">
      <c r="B881" s="56" t="s">
        <v>45</v>
      </c>
      <c r="C881" s="57" t="s">
        <v>25</v>
      </c>
      <c r="D881" s="58" t="s">
        <v>33</v>
      </c>
      <c r="E881" s="62">
        <v>2.2000000000000006E-3</v>
      </c>
    </row>
    <row r="882" spans="2:5" x14ac:dyDescent="0.25">
      <c r="B882" s="56" t="s">
        <v>45</v>
      </c>
      <c r="C882" s="57" t="s">
        <v>26</v>
      </c>
      <c r="D882" s="58" t="s">
        <v>33</v>
      </c>
      <c r="E882" s="62">
        <v>7.8199999999999988E-3</v>
      </c>
    </row>
    <row r="883" spans="2:5" x14ac:dyDescent="0.25">
      <c r="B883" s="56" t="s">
        <v>45</v>
      </c>
      <c r="C883" s="57" t="s">
        <v>26</v>
      </c>
      <c r="D883" s="58" t="s">
        <v>31</v>
      </c>
      <c r="E883" s="62">
        <v>2.3999999999999994E-3</v>
      </c>
    </row>
    <row r="884" spans="2:5" x14ac:dyDescent="0.25">
      <c r="B884" s="56" t="s">
        <v>45</v>
      </c>
      <c r="C884" s="57" t="s">
        <v>26</v>
      </c>
      <c r="D884" s="58" t="s">
        <v>31</v>
      </c>
      <c r="E884" s="62">
        <v>1.0040000000000004E-2</v>
      </c>
    </row>
    <row r="885" spans="2:5" x14ac:dyDescent="0.25">
      <c r="B885" s="56" t="s">
        <v>45</v>
      </c>
      <c r="C885" s="57" t="s">
        <v>36</v>
      </c>
      <c r="D885" s="58" t="s">
        <v>35</v>
      </c>
      <c r="E885" s="62">
        <v>3.2999999999999987E-3</v>
      </c>
    </row>
    <row r="886" spans="2:5" x14ac:dyDescent="0.25">
      <c r="B886" s="56" t="s">
        <v>45</v>
      </c>
      <c r="C886" s="57" t="s">
        <v>26</v>
      </c>
      <c r="D886" s="58" t="s">
        <v>37</v>
      </c>
      <c r="E886" s="62">
        <v>7.930000000000003E-3</v>
      </c>
    </row>
    <row r="887" spans="2:5" x14ac:dyDescent="0.25">
      <c r="B887" s="56" t="s">
        <v>45</v>
      </c>
      <c r="C887" s="57" t="s">
        <v>26</v>
      </c>
      <c r="D887" s="58" t="s">
        <v>32</v>
      </c>
      <c r="E887" s="62">
        <v>6.5999999999999974E-3</v>
      </c>
    </row>
    <row r="888" spans="2:5" x14ac:dyDescent="0.25">
      <c r="B888" s="56" t="s">
        <v>45</v>
      </c>
      <c r="C888" s="57" t="s">
        <v>25</v>
      </c>
      <c r="D888" s="58" t="s">
        <v>31</v>
      </c>
      <c r="E888" s="62">
        <v>7.139999999999997E-3</v>
      </c>
    </row>
    <row r="889" spans="2:5" x14ac:dyDescent="0.25">
      <c r="B889" s="56" t="s">
        <v>45</v>
      </c>
      <c r="C889" s="57" t="s">
        <v>26</v>
      </c>
      <c r="D889" s="58" t="s">
        <v>31</v>
      </c>
      <c r="E889" s="62">
        <v>2.6200000000000012E-3</v>
      </c>
    </row>
    <row r="890" spans="2:5" x14ac:dyDescent="0.25">
      <c r="B890" s="56" t="s">
        <v>45</v>
      </c>
      <c r="C890" s="57" t="s">
        <v>34</v>
      </c>
      <c r="D890" s="58" t="s">
        <v>35</v>
      </c>
      <c r="E890" s="62">
        <v>1.0210000000000004E-2</v>
      </c>
    </row>
    <row r="891" spans="2:5" x14ac:dyDescent="0.25">
      <c r="B891" s="56" t="s">
        <v>45</v>
      </c>
      <c r="C891" s="57" t="s">
        <v>26</v>
      </c>
      <c r="D891" s="58" t="s">
        <v>31</v>
      </c>
      <c r="E891" s="62">
        <v>3.5400000000000015E-3</v>
      </c>
    </row>
    <row r="892" spans="2:5" x14ac:dyDescent="0.25">
      <c r="B892" s="56" t="s">
        <v>45</v>
      </c>
      <c r="C892" s="57" t="s">
        <v>25</v>
      </c>
      <c r="D892" s="58" t="s">
        <v>22</v>
      </c>
      <c r="E892" s="62">
        <v>6.3699999999999981E-3</v>
      </c>
    </row>
    <row r="893" spans="2:5" x14ac:dyDescent="0.25">
      <c r="B893" s="56" t="s">
        <v>45</v>
      </c>
      <c r="C893" s="57" t="s">
        <v>26</v>
      </c>
      <c r="D893" s="58" t="s">
        <v>28</v>
      </c>
      <c r="E893" s="62">
        <v>6.2900000000000013E-3</v>
      </c>
    </row>
    <row r="894" spans="2:5" x14ac:dyDescent="0.25">
      <c r="B894" s="56" t="s">
        <v>45</v>
      </c>
      <c r="C894" s="57" t="s">
        <v>26</v>
      </c>
      <c r="D894" s="58" t="s">
        <v>24</v>
      </c>
      <c r="E894" s="62">
        <v>8.2400000000000008E-3</v>
      </c>
    </row>
    <row r="895" spans="2:5" x14ac:dyDescent="0.25">
      <c r="B895" s="56" t="s">
        <v>45</v>
      </c>
      <c r="C895" s="57" t="s">
        <v>25</v>
      </c>
      <c r="D895" s="58" t="s">
        <v>27</v>
      </c>
      <c r="E895" s="62">
        <v>4.4000000000000011E-3</v>
      </c>
    </row>
    <row r="896" spans="2:5" x14ac:dyDescent="0.25">
      <c r="B896" s="56" t="s">
        <v>45</v>
      </c>
      <c r="C896" s="57" t="s">
        <v>25</v>
      </c>
      <c r="D896" s="58" t="s">
        <v>28</v>
      </c>
      <c r="E896" s="62">
        <v>1.2679999999999995E-2</v>
      </c>
    </row>
    <row r="897" spans="2:5" x14ac:dyDescent="0.25">
      <c r="B897" s="56" t="s">
        <v>45</v>
      </c>
      <c r="C897" s="57" t="s">
        <v>26</v>
      </c>
      <c r="D897" s="58" t="s">
        <v>32</v>
      </c>
      <c r="E897" s="62">
        <v>6.9700000000000005E-3</v>
      </c>
    </row>
    <row r="898" spans="2:5" x14ac:dyDescent="0.25">
      <c r="B898" s="56" t="s">
        <v>45</v>
      </c>
      <c r="C898" s="57" t="s">
        <v>26</v>
      </c>
      <c r="D898" s="58" t="s">
        <v>24</v>
      </c>
      <c r="E898" s="62">
        <v>8.490000000000001E-3</v>
      </c>
    </row>
    <row r="899" spans="2:5" x14ac:dyDescent="0.25">
      <c r="B899" s="56" t="s">
        <v>45</v>
      </c>
      <c r="C899" s="57" t="s">
        <v>26</v>
      </c>
      <c r="D899" s="58" t="s">
        <v>33</v>
      </c>
      <c r="E899" s="62">
        <v>5.7499999999999999E-3</v>
      </c>
    </row>
    <row r="900" spans="2:5" x14ac:dyDescent="0.25">
      <c r="B900" s="56" t="s">
        <v>45</v>
      </c>
      <c r="C900" s="57" t="s">
        <v>26</v>
      </c>
      <c r="D900" s="58" t="s">
        <v>37</v>
      </c>
      <c r="E900" s="62">
        <v>7.700000000000002E-3</v>
      </c>
    </row>
    <row r="901" spans="2:5" x14ac:dyDescent="0.25">
      <c r="B901" s="56" t="s">
        <v>45</v>
      </c>
      <c r="C901" s="57" t="s">
        <v>25</v>
      </c>
      <c r="D901" s="58" t="s">
        <v>22</v>
      </c>
      <c r="E901" s="62">
        <v>3.4099999999999998E-3</v>
      </c>
    </row>
    <row r="902" spans="2:5" x14ac:dyDescent="0.25">
      <c r="B902" s="56" t="s">
        <v>45</v>
      </c>
      <c r="C902" s="57" t="s">
        <v>25</v>
      </c>
      <c r="D902" s="58" t="s">
        <v>33</v>
      </c>
      <c r="E902" s="62">
        <v>6.1899999999999993E-3</v>
      </c>
    </row>
    <row r="903" spans="2:5" x14ac:dyDescent="0.25">
      <c r="B903" s="56" t="s">
        <v>45</v>
      </c>
      <c r="C903" s="57" t="s">
        <v>25</v>
      </c>
      <c r="D903" s="58" t="s">
        <v>28</v>
      </c>
      <c r="E903" s="62">
        <v>8.9400000000000018E-3</v>
      </c>
    </row>
    <row r="904" spans="2:5" x14ac:dyDescent="0.25">
      <c r="B904" s="56" t="s">
        <v>45</v>
      </c>
      <c r="C904" s="57" t="s">
        <v>25</v>
      </c>
      <c r="D904" s="58" t="s">
        <v>31</v>
      </c>
      <c r="E904" s="62">
        <v>5.3799999999999994E-3</v>
      </c>
    </row>
    <row r="905" spans="2:5" x14ac:dyDescent="0.25">
      <c r="B905" s="56" t="s">
        <v>45</v>
      </c>
      <c r="C905" s="57" t="s">
        <v>26</v>
      </c>
      <c r="D905" s="58" t="s">
        <v>24</v>
      </c>
      <c r="E905" s="62">
        <v>9.2900000000000031E-3</v>
      </c>
    </row>
    <row r="906" spans="2:5" x14ac:dyDescent="0.25">
      <c r="B906" s="56" t="s">
        <v>45</v>
      </c>
      <c r="C906" s="57" t="s">
        <v>26</v>
      </c>
      <c r="D906" s="58" t="s">
        <v>31</v>
      </c>
      <c r="E906" s="62">
        <v>5.7499999999999999E-3</v>
      </c>
    </row>
    <row r="907" spans="2:5" x14ac:dyDescent="0.25">
      <c r="B907" s="56" t="s">
        <v>45</v>
      </c>
      <c r="C907" s="57" t="s">
        <v>26</v>
      </c>
      <c r="D907" s="58" t="s">
        <v>22</v>
      </c>
      <c r="E907" s="62">
        <v>7.8799999999999999E-3</v>
      </c>
    </row>
    <row r="908" spans="2:5" x14ac:dyDescent="0.25">
      <c r="B908" s="56" t="s">
        <v>45</v>
      </c>
      <c r="C908" s="57" t="s">
        <v>26</v>
      </c>
      <c r="D908" s="58" t="s">
        <v>31</v>
      </c>
      <c r="E908" s="62">
        <v>5.0500000000000007E-3</v>
      </c>
    </row>
    <row r="909" spans="2:5" x14ac:dyDescent="0.25">
      <c r="B909" s="56" t="s">
        <v>45</v>
      </c>
      <c r="C909" s="57" t="s">
        <v>26</v>
      </c>
      <c r="D909" s="58" t="s">
        <v>24</v>
      </c>
      <c r="E909" s="62">
        <v>9.5099999999999976E-3</v>
      </c>
    </row>
    <row r="910" spans="2:5" x14ac:dyDescent="0.25">
      <c r="B910" s="56" t="s">
        <v>45</v>
      </c>
      <c r="C910" s="57" t="s">
        <v>26</v>
      </c>
      <c r="D910" s="58" t="s">
        <v>24</v>
      </c>
      <c r="E910" s="62">
        <v>1.1189999999999995E-2</v>
      </c>
    </row>
    <row r="911" spans="2:5" x14ac:dyDescent="0.25">
      <c r="B911" s="56" t="s">
        <v>45</v>
      </c>
      <c r="C911" s="57" t="s">
        <v>26</v>
      </c>
      <c r="D911" s="58" t="s">
        <v>31</v>
      </c>
      <c r="E911" s="62">
        <v>2.2800000000000003E-3</v>
      </c>
    </row>
    <row r="912" spans="2:5" x14ac:dyDescent="0.25">
      <c r="B912" s="56" t="s">
        <v>45</v>
      </c>
      <c r="C912" s="57" t="s">
        <v>26</v>
      </c>
      <c r="D912" s="58" t="s">
        <v>27</v>
      </c>
      <c r="E912" s="62">
        <v>5.1599999999999988E-3</v>
      </c>
    </row>
    <row r="913" spans="2:5" x14ac:dyDescent="0.25">
      <c r="B913" s="56" t="s">
        <v>45</v>
      </c>
      <c r="C913" s="57" t="s">
        <v>36</v>
      </c>
      <c r="D913" s="58" t="s">
        <v>31</v>
      </c>
      <c r="E913" s="62">
        <v>8.8999999999999982E-3</v>
      </c>
    </row>
    <row r="914" spans="2:5" x14ac:dyDescent="0.25">
      <c r="B914" s="56" t="s">
        <v>45</v>
      </c>
      <c r="C914" s="57" t="s">
        <v>26</v>
      </c>
      <c r="D914" s="58" t="s">
        <v>28</v>
      </c>
      <c r="E914" s="62">
        <v>1.055E-2</v>
      </c>
    </row>
    <row r="915" spans="2:5" x14ac:dyDescent="0.25">
      <c r="B915" s="56" t="s">
        <v>45</v>
      </c>
      <c r="C915" s="57" t="s">
        <v>26</v>
      </c>
      <c r="D915" s="58" t="s">
        <v>32</v>
      </c>
      <c r="E915" s="62">
        <v>8.1300000000000018E-3</v>
      </c>
    </row>
    <row r="916" spans="2:5" x14ac:dyDescent="0.25">
      <c r="B916" s="56" t="s">
        <v>45</v>
      </c>
      <c r="C916" s="57" t="s">
        <v>26</v>
      </c>
      <c r="D916" s="58" t="s">
        <v>32</v>
      </c>
      <c r="E916" s="62">
        <v>1.3420000000000001E-2</v>
      </c>
    </row>
    <row r="917" spans="2:5" x14ac:dyDescent="0.25">
      <c r="B917" s="56" t="s">
        <v>45</v>
      </c>
      <c r="C917" s="57" t="s">
        <v>25</v>
      </c>
      <c r="D917" s="58" t="s">
        <v>37</v>
      </c>
      <c r="E917" s="62">
        <v>2.0400000000000006E-3</v>
      </c>
    </row>
    <row r="918" spans="2:5" x14ac:dyDescent="0.25">
      <c r="B918" s="56" t="s">
        <v>45</v>
      </c>
      <c r="C918" s="57" t="s">
        <v>38</v>
      </c>
      <c r="D918" s="58" t="s">
        <v>32</v>
      </c>
      <c r="E918" s="62">
        <v>7.2400000000000025E-3</v>
      </c>
    </row>
    <row r="919" spans="2:5" x14ac:dyDescent="0.25">
      <c r="B919" s="56" t="s">
        <v>45</v>
      </c>
      <c r="C919" s="57" t="s">
        <v>26</v>
      </c>
      <c r="D919" s="58" t="s">
        <v>22</v>
      </c>
      <c r="E919" s="62">
        <v>1.0930000000000002E-2</v>
      </c>
    </row>
    <row r="920" spans="2:5" x14ac:dyDescent="0.25">
      <c r="B920" s="56" t="s">
        <v>45</v>
      </c>
      <c r="C920" s="57" t="s">
        <v>26</v>
      </c>
      <c r="D920" s="58" t="s">
        <v>28</v>
      </c>
      <c r="E920" s="62">
        <v>4.5100000000000001E-3</v>
      </c>
    </row>
    <row r="921" spans="2:5" x14ac:dyDescent="0.25">
      <c r="B921" s="56" t="s">
        <v>45</v>
      </c>
      <c r="C921" s="57" t="s">
        <v>25</v>
      </c>
      <c r="D921" s="58" t="s">
        <v>24</v>
      </c>
      <c r="E921" s="62">
        <v>7.7800000000000031E-3</v>
      </c>
    </row>
    <row r="922" spans="2:5" x14ac:dyDescent="0.25">
      <c r="B922" s="56" t="s">
        <v>45</v>
      </c>
      <c r="C922" s="57" t="s">
        <v>25</v>
      </c>
      <c r="D922" s="58" t="s">
        <v>28</v>
      </c>
      <c r="E922" s="62">
        <v>4.7400000000000012E-3</v>
      </c>
    </row>
    <row r="923" spans="2:5" x14ac:dyDescent="0.25">
      <c r="B923" s="56" t="s">
        <v>45</v>
      </c>
      <c r="C923" s="57" t="s">
        <v>25</v>
      </c>
      <c r="D923" s="58" t="s">
        <v>22</v>
      </c>
      <c r="E923" s="62">
        <v>5.6600000000000001E-3</v>
      </c>
    </row>
    <row r="924" spans="2:5" x14ac:dyDescent="0.25">
      <c r="B924" s="56" t="s">
        <v>45</v>
      </c>
      <c r="C924" s="57" t="s">
        <v>25</v>
      </c>
      <c r="D924" s="58" t="s">
        <v>37</v>
      </c>
      <c r="E924" s="62">
        <v>2.1400000000000008E-3</v>
      </c>
    </row>
    <row r="925" spans="2:5" x14ac:dyDescent="0.25">
      <c r="B925" s="56" t="s">
        <v>45</v>
      </c>
      <c r="C925" s="57" t="s">
        <v>25</v>
      </c>
      <c r="D925" s="58" t="s">
        <v>37</v>
      </c>
      <c r="E925" s="62">
        <v>1.2489999999999996E-2</v>
      </c>
    </row>
    <row r="926" spans="2:5" x14ac:dyDescent="0.25">
      <c r="B926" s="56" t="s">
        <v>45</v>
      </c>
      <c r="C926" s="57" t="s">
        <v>25</v>
      </c>
      <c r="D926" s="58" t="s">
        <v>31</v>
      </c>
      <c r="E926" s="62">
        <v>2.6200000000000012E-3</v>
      </c>
    </row>
    <row r="927" spans="2:5" x14ac:dyDescent="0.25">
      <c r="B927" s="56" t="s">
        <v>45</v>
      </c>
      <c r="C927" s="57" t="s">
        <v>25</v>
      </c>
      <c r="D927" s="58" t="s">
        <v>22</v>
      </c>
      <c r="E927" s="62">
        <v>2.8899999999999998E-3</v>
      </c>
    </row>
    <row r="928" spans="2:5" x14ac:dyDescent="0.25">
      <c r="B928" s="56" t="s">
        <v>45</v>
      </c>
      <c r="C928" s="57" t="s">
        <v>25</v>
      </c>
      <c r="D928" s="58" t="s">
        <v>29</v>
      </c>
      <c r="E928" s="62">
        <v>5.77E-3</v>
      </c>
    </row>
    <row r="929" spans="2:5" x14ac:dyDescent="0.25">
      <c r="B929" s="56" t="s">
        <v>45</v>
      </c>
      <c r="C929" s="57" t="s">
        <v>25</v>
      </c>
      <c r="D929" s="58" t="s">
        <v>24</v>
      </c>
      <c r="E929" s="62">
        <v>1.4979999999999995E-2</v>
      </c>
    </row>
    <row r="930" spans="2:5" x14ac:dyDescent="0.25">
      <c r="B930" s="56" t="s">
        <v>45</v>
      </c>
      <c r="C930" s="57" t="s">
        <v>25</v>
      </c>
      <c r="D930" s="58" t="s">
        <v>31</v>
      </c>
      <c r="E930" s="62">
        <v>7.7800000000000031E-3</v>
      </c>
    </row>
    <row r="931" spans="2:5" x14ac:dyDescent="0.25">
      <c r="B931" s="56" t="s">
        <v>45</v>
      </c>
      <c r="C931" s="57" t="s">
        <v>25</v>
      </c>
      <c r="D931" s="58" t="s">
        <v>31</v>
      </c>
      <c r="E931" s="62">
        <v>6.579999999999999E-3</v>
      </c>
    </row>
    <row r="932" spans="2:5" x14ac:dyDescent="0.25">
      <c r="B932" s="56" t="s">
        <v>45</v>
      </c>
      <c r="C932" s="57" t="s">
        <v>25</v>
      </c>
      <c r="D932" s="58" t="s">
        <v>22</v>
      </c>
      <c r="E932" s="62">
        <v>2.4200000000000003E-3</v>
      </c>
    </row>
    <row r="933" spans="2:5" x14ac:dyDescent="0.25">
      <c r="B933" s="56" t="s">
        <v>45</v>
      </c>
      <c r="C933" s="57" t="s">
        <v>25</v>
      </c>
      <c r="D933" s="58" t="s">
        <v>27</v>
      </c>
      <c r="E933" s="62">
        <v>6.9299999999999987E-3</v>
      </c>
    </row>
    <row r="934" spans="2:5" x14ac:dyDescent="0.25">
      <c r="B934" s="56" t="s">
        <v>45</v>
      </c>
      <c r="C934" s="57" t="s">
        <v>25</v>
      </c>
      <c r="D934" s="58" t="s">
        <v>31</v>
      </c>
      <c r="E934" s="62">
        <v>1.1290000000000005E-2</v>
      </c>
    </row>
    <row r="935" spans="2:5" x14ac:dyDescent="0.25">
      <c r="B935" s="56" t="s">
        <v>45</v>
      </c>
      <c r="C935" s="57" t="s">
        <v>25</v>
      </c>
      <c r="D935" s="58" t="s">
        <v>28</v>
      </c>
      <c r="E935" s="62">
        <v>1.1110000000000002E-2</v>
      </c>
    </row>
    <row r="936" spans="2:5" x14ac:dyDescent="0.25">
      <c r="B936" s="56" t="s">
        <v>45</v>
      </c>
      <c r="C936" s="57" t="s">
        <v>25</v>
      </c>
      <c r="D936" s="58" t="s">
        <v>31</v>
      </c>
      <c r="E936" s="62">
        <v>9.9699999999999962E-3</v>
      </c>
    </row>
    <row r="937" spans="2:5" x14ac:dyDescent="0.25">
      <c r="B937" s="56" t="s">
        <v>45</v>
      </c>
      <c r="C937" s="57" t="s">
        <v>25</v>
      </c>
      <c r="D937" s="58" t="s">
        <v>24</v>
      </c>
      <c r="E937" s="62">
        <v>1.0359999999999996E-2</v>
      </c>
    </row>
    <row r="938" spans="2:5" x14ac:dyDescent="0.25">
      <c r="B938" s="56" t="s">
        <v>45</v>
      </c>
      <c r="C938" s="57" t="s">
        <v>25</v>
      </c>
      <c r="D938" s="58" t="s">
        <v>24</v>
      </c>
      <c r="E938" s="62">
        <v>7.6100000000000004E-3</v>
      </c>
    </row>
    <row r="939" spans="2:5" x14ac:dyDescent="0.25">
      <c r="B939" s="56" t="s">
        <v>45</v>
      </c>
      <c r="C939" s="57" t="s">
        <v>25</v>
      </c>
      <c r="D939" s="58" t="s">
        <v>22</v>
      </c>
      <c r="E939" s="62">
        <v>3.7000000000000015E-3</v>
      </c>
    </row>
    <row r="940" spans="2:5" x14ac:dyDescent="0.25">
      <c r="B940" s="56" t="s">
        <v>45</v>
      </c>
      <c r="C940" s="57" t="s">
        <v>25</v>
      </c>
      <c r="D940" s="58" t="s">
        <v>35</v>
      </c>
      <c r="E940" s="62">
        <v>4.749999999999999E-3</v>
      </c>
    </row>
    <row r="941" spans="2:5" x14ac:dyDescent="0.25">
      <c r="B941" s="56" t="s">
        <v>45</v>
      </c>
      <c r="C941" s="57" t="s">
        <v>25</v>
      </c>
      <c r="D941" s="58" t="s">
        <v>32</v>
      </c>
      <c r="E941" s="62">
        <v>5.3599999999999984E-3</v>
      </c>
    </row>
    <row r="942" spans="2:5" x14ac:dyDescent="0.25">
      <c r="B942" s="56" t="s">
        <v>45</v>
      </c>
      <c r="C942" s="57" t="s">
        <v>25</v>
      </c>
      <c r="D942" s="58" t="s">
        <v>31</v>
      </c>
      <c r="E942" s="62">
        <v>3.3299999999999996E-3</v>
      </c>
    </row>
    <row r="943" spans="2:5" x14ac:dyDescent="0.25">
      <c r="B943" s="56" t="s">
        <v>45</v>
      </c>
      <c r="C943" s="57" t="s">
        <v>25</v>
      </c>
      <c r="D943" s="58" t="s">
        <v>37</v>
      </c>
      <c r="E943" s="62">
        <v>6.3100000000000014E-3</v>
      </c>
    </row>
    <row r="944" spans="2:5" x14ac:dyDescent="0.25">
      <c r="B944" s="56" t="s">
        <v>45</v>
      </c>
      <c r="C944" s="57" t="s">
        <v>25</v>
      </c>
      <c r="D944" s="58" t="s">
        <v>31</v>
      </c>
      <c r="E944" s="62">
        <v>5.0500000000000007E-3</v>
      </c>
    </row>
    <row r="945" spans="2:5" x14ac:dyDescent="0.25">
      <c r="B945" s="56" t="s">
        <v>45</v>
      </c>
      <c r="C945" s="57" t="s">
        <v>25</v>
      </c>
      <c r="D945" s="58" t="s">
        <v>24</v>
      </c>
      <c r="E945" s="62">
        <v>1.299E-2</v>
      </c>
    </row>
    <row r="946" spans="2:5" x14ac:dyDescent="0.25">
      <c r="B946" s="56" t="s">
        <v>45</v>
      </c>
      <c r="C946" s="57" t="s">
        <v>25</v>
      </c>
      <c r="D946" s="58" t="s">
        <v>33</v>
      </c>
      <c r="E946" s="62">
        <v>3.4200000000000012E-3</v>
      </c>
    </row>
    <row r="947" spans="2:5" x14ac:dyDescent="0.25">
      <c r="B947" s="56" t="s">
        <v>45</v>
      </c>
      <c r="C947" s="57" t="s">
        <v>25</v>
      </c>
      <c r="D947" s="58" t="s">
        <v>37</v>
      </c>
      <c r="E947" s="62">
        <v>6.3999999999999977E-3</v>
      </c>
    </row>
    <row r="948" spans="2:5" x14ac:dyDescent="0.25">
      <c r="B948" s="56" t="s">
        <v>45</v>
      </c>
      <c r="C948" s="57" t="s">
        <v>25</v>
      </c>
      <c r="D948" s="58" t="s">
        <v>24</v>
      </c>
      <c r="E948" s="62">
        <v>9.9300000000000013E-3</v>
      </c>
    </row>
    <row r="949" spans="2:5" x14ac:dyDescent="0.25">
      <c r="B949" s="56" t="s">
        <v>45</v>
      </c>
      <c r="C949" s="57" t="s">
        <v>25</v>
      </c>
      <c r="D949" s="58" t="s">
        <v>37</v>
      </c>
      <c r="E949" s="62">
        <v>6.5700000000000021E-3</v>
      </c>
    </row>
    <row r="950" spans="2:5" x14ac:dyDescent="0.25">
      <c r="B950" s="56" t="s">
        <v>45</v>
      </c>
      <c r="C950" s="57" t="s">
        <v>25</v>
      </c>
      <c r="D950" s="58" t="s">
        <v>31</v>
      </c>
      <c r="E950" s="62">
        <v>2.8999999999999989E-3</v>
      </c>
    </row>
    <row r="951" spans="2:5" x14ac:dyDescent="0.25">
      <c r="B951" s="56" t="s">
        <v>45</v>
      </c>
      <c r="C951" s="57" t="s">
        <v>25</v>
      </c>
      <c r="D951" s="58" t="s">
        <v>33</v>
      </c>
      <c r="E951" s="62">
        <v>3.850000000000001E-3</v>
      </c>
    </row>
    <row r="952" spans="2:5" x14ac:dyDescent="0.25">
      <c r="B952" s="56" t="s">
        <v>45</v>
      </c>
      <c r="C952" s="57" t="s">
        <v>25</v>
      </c>
      <c r="D952" s="58" t="s">
        <v>24</v>
      </c>
      <c r="E952" s="62">
        <v>6.8200000000000005E-3</v>
      </c>
    </row>
    <row r="953" spans="2:5" x14ac:dyDescent="0.25">
      <c r="B953" s="56" t="s">
        <v>45</v>
      </c>
      <c r="C953" s="57" t="s">
        <v>25</v>
      </c>
      <c r="D953" s="58" t="s">
        <v>24</v>
      </c>
      <c r="E953" s="62">
        <v>5.009999999999998E-3</v>
      </c>
    </row>
    <row r="954" spans="2:5" x14ac:dyDescent="0.25">
      <c r="B954" s="56" t="s">
        <v>45</v>
      </c>
      <c r="C954" s="57" t="s">
        <v>25</v>
      </c>
      <c r="D954" s="58" t="s">
        <v>24</v>
      </c>
      <c r="E954" s="62">
        <v>1.0599999999999998E-2</v>
      </c>
    </row>
    <row r="955" spans="2:5" x14ac:dyDescent="0.25">
      <c r="B955" s="56" t="s">
        <v>45</v>
      </c>
      <c r="C955" s="57" t="s">
        <v>25</v>
      </c>
      <c r="D955" s="58" t="s">
        <v>33</v>
      </c>
      <c r="E955" s="62">
        <v>8.4100000000000008E-3</v>
      </c>
    </row>
    <row r="956" spans="2:5" x14ac:dyDescent="0.25">
      <c r="B956" s="56" t="s">
        <v>45</v>
      </c>
      <c r="C956" s="57" t="s">
        <v>26</v>
      </c>
      <c r="D956" s="58" t="s">
        <v>28</v>
      </c>
      <c r="E956" s="62">
        <v>1.4799999999999995E-2</v>
      </c>
    </row>
    <row r="957" spans="2:5" x14ac:dyDescent="0.25">
      <c r="B957" s="56" t="s">
        <v>45</v>
      </c>
      <c r="C957" s="57" t="s">
        <v>25</v>
      </c>
      <c r="D957" s="58" t="s">
        <v>37</v>
      </c>
      <c r="E957" s="62">
        <v>1.0699999999999996E-2</v>
      </c>
    </row>
    <row r="958" spans="2:5" x14ac:dyDescent="0.25">
      <c r="B958" s="56" t="s">
        <v>45</v>
      </c>
      <c r="C958" s="57" t="s">
        <v>25</v>
      </c>
      <c r="D958" s="58" t="s">
        <v>31</v>
      </c>
      <c r="E958" s="62">
        <v>4.0599999999999985E-3</v>
      </c>
    </row>
    <row r="959" spans="2:5" x14ac:dyDescent="0.25">
      <c r="B959" s="56" t="s">
        <v>45</v>
      </c>
      <c r="C959" s="57" t="s">
        <v>25</v>
      </c>
      <c r="D959" s="58" t="s">
        <v>24</v>
      </c>
      <c r="E959" s="62">
        <v>1.0140000000000001E-2</v>
      </c>
    </row>
    <row r="960" spans="2:5" x14ac:dyDescent="0.25">
      <c r="B960" s="56" t="s">
        <v>45</v>
      </c>
      <c r="C960" s="57" t="s">
        <v>25</v>
      </c>
      <c r="D960" s="58" t="s">
        <v>28</v>
      </c>
      <c r="E960" s="62">
        <v>8.3999999999999977E-3</v>
      </c>
    </row>
    <row r="961" spans="2:5" x14ac:dyDescent="0.25">
      <c r="B961" s="56" t="s">
        <v>45</v>
      </c>
      <c r="C961" s="57" t="s">
        <v>26</v>
      </c>
      <c r="D961" s="58" t="s">
        <v>28</v>
      </c>
      <c r="E961" s="62">
        <v>2.8100000000000009E-3</v>
      </c>
    </row>
    <row r="962" spans="2:5" x14ac:dyDescent="0.25">
      <c r="B962" s="56" t="s">
        <v>45</v>
      </c>
      <c r="C962" s="57" t="s">
        <v>25</v>
      </c>
      <c r="D962" s="58" t="s">
        <v>37</v>
      </c>
      <c r="E962" s="62">
        <v>1.3659999999999999E-2</v>
      </c>
    </row>
    <row r="963" spans="2:5" x14ac:dyDescent="0.25">
      <c r="B963" s="56" t="s">
        <v>45</v>
      </c>
      <c r="C963" s="57" t="s">
        <v>25</v>
      </c>
      <c r="D963" s="58" t="s">
        <v>31</v>
      </c>
      <c r="E963" s="62">
        <v>3.5999999999999999E-3</v>
      </c>
    </row>
    <row r="964" spans="2:5" x14ac:dyDescent="0.25">
      <c r="B964" s="56" t="s">
        <v>45</v>
      </c>
      <c r="C964" s="57" t="s">
        <v>26</v>
      </c>
      <c r="D964" s="58" t="s">
        <v>28</v>
      </c>
      <c r="E964" s="62">
        <v>8.3800000000000038E-3</v>
      </c>
    </row>
    <row r="965" spans="2:5" x14ac:dyDescent="0.25">
      <c r="B965" s="56" t="s">
        <v>45</v>
      </c>
      <c r="C965" s="57" t="s">
        <v>25</v>
      </c>
      <c r="D965" s="58" t="s">
        <v>22</v>
      </c>
      <c r="E965" s="62">
        <v>5.510000000000001E-3</v>
      </c>
    </row>
    <row r="966" spans="2:5" x14ac:dyDescent="0.25">
      <c r="B966" s="56" t="s">
        <v>45</v>
      </c>
      <c r="C966" s="57" t="s">
        <v>25</v>
      </c>
      <c r="D966" s="58" t="s">
        <v>37</v>
      </c>
      <c r="E966" s="62">
        <v>1.133E-2</v>
      </c>
    </row>
    <row r="967" spans="2:5" x14ac:dyDescent="0.25">
      <c r="B967" s="56" t="s">
        <v>45</v>
      </c>
      <c r="C967" s="57" t="s">
        <v>25</v>
      </c>
      <c r="D967" s="58" t="s">
        <v>37</v>
      </c>
      <c r="E967" s="62">
        <v>1.9099999999999996E-3</v>
      </c>
    </row>
    <row r="968" spans="2:5" x14ac:dyDescent="0.25">
      <c r="B968" s="56" t="s">
        <v>45</v>
      </c>
      <c r="C968" s="57" t="s">
        <v>25</v>
      </c>
      <c r="D968" s="58" t="s">
        <v>31</v>
      </c>
      <c r="E968" s="62">
        <v>5.8899999999999977E-3</v>
      </c>
    </row>
    <row r="969" spans="2:5" x14ac:dyDescent="0.25">
      <c r="B969" s="56" t="s">
        <v>45</v>
      </c>
      <c r="C969" s="57" t="s">
        <v>25</v>
      </c>
      <c r="D969" s="58" t="s">
        <v>31</v>
      </c>
      <c r="E969" s="62">
        <v>5.8600000000000015E-3</v>
      </c>
    </row>
    <row r="970" spans="2:5" x14ac:dyDescent="0.25">
      <c r="B970" s="56" t="s">
        <v>45</v>
      </c>
      <c r="C970" s="57" t="s">
        <v>25</v>
      </c>
      <c r="D970" s="58" t="s">
        <v>37</v>
      </c>
      <c r="E970" s="62">
        <v>2.7200000000000006E-3</v>
      </c>
    </row>
    <row r="971" spans="2:5" x14ac:dyDescent="0.25">
      <c r="B971" s="56" t="s">
        <v>45</v>
      </c>
      <c r="C971" s="57" t="s">
        <v>25</v>
      </c>
      <c r="D971" s="58" t="s">
        <v>22</v>
      </c>
      <c r="E971" s="62">
        <v>3.7200000000000011E-3</v>
      </c>
    </row>
    <row r="972" spans="2:5" x14ac:dyDescent="0.25">
      <c r="B972" s="56" t="s">
        <v>45</v>
      </c>
      <c r="C972" s="57" t="s">
        <v>25</v>
      </c>
      <c r="D972" s="58" t="s">
        <v>22</v>
      </c>
      <c r="E972" s="62">
        <v>9.0500000000000025E-3</v>
      </c>
    </row>
    <row r="973" spans="2:5" x14ac:dyDescent="0.25">
      <c r="B973" s="56" t="s">
        <v>45</v>
      </c>
      <c r="C973" s="57" t="s">
        <v>25</v>
      </c>
      <c r="D973" s="58" t="s">
        <v>24</v>
      </c>
      <c r="E973" s="62">
        <v>1.2759999999999997E-2</v>
      </c>
    </row>
    <row r="974" spans="2:5" x14ac:dyDescent="0.25">
      <c r="B974" s="56" t="s">
        <v>45</v>
      </c>
      <c r="C974" s="57" t="s">
        <v>25</v>
      </c>
      <c r="D974" s="58" t="s">
        <v>31</v>
      </c>
      <c r="E974" s="62">
        <v>7.9000000000000008E-3</v>
      </c>
    </row>
    <row r="975" spans="2:5" x14ac:dyDescent="0.25">
      <c r="B975" s="56" t="s">
        <v>45</v>
      </c>
      <c r="C975" s="57" t="s">
        <v>25</v>
      </c>
      <c r="D975" s="58" t="s">
        <v>37</v>
      </c>
      <c r="E975" s="62">
        <v>8.2299999999999977E-3</v>
      </c>
    </row>
    <row r="976" spans="2:5" x14ac:dyDescent="0.25">
      <c r="B976" s="56" t="s">
        <v>45</v>
      </c>
      <c r="C976" s="57" t="s">
        <v>25</v>
      </c>
      <c r="D976" s="58" t="s">
        <v>32</v>
      </c>
      <c r="E976" s="62">
        <v>7.8499999999999959E-3</v>
      </c>
    </row>
    <row r="977" spans="2:5" x14ac:dyDescent="0.25">
      <c r="B977" s="56" t="s">
        <v>45</v>
      </c>
      <c r="C977" s="57" t="s">
        <v>25</v>
      </c>
      <c r="D977" s="58" t="s">
        <v>22</v>
      </c>
      <c r="E977" s="62">
        <v>6.499999999999998E-3</v>
      </c>
    </row>
    <row r="978" spans="2:5" x14ac:dyDescent="0.25">
      <c r="B978" s="56" t="s">
        <v>45</v>
      </c>
      <c r="C978" s="57" t="s">
        <v>25</v>
      </c>
      <c r="D978" s="58" t="s">
        <v>24</v>
      </c>
      <c r="E978" s="62">
        <v>1.0070000000000003E-2</v>
      </c>
    </row>
    <row r="979" spans="2:5" x14ac:dyDescent="0.25">
      <c r="B979" s="56" t="s">
        <v>45</v>
      </c>
      <c r="C979" s="57" t="s">
        <v>25</v>
      </c>
      <c r="D979" s="58" t="s">
        <v>37</v>
      </c>
      <c r="E979" s="62">
        <v>1.0499999999999997E-2</v>
      </c>
    </row>
    <row r="980" spans="2:5" x14ac:dyDescent="0.25">
      <c r="B980" s="56" t="s">
        <v>45</v>
      </c>
      <c r="C980" s="57" t="s">
        <v>25</v>
      </c>
      <c r="D980" s="58" t="s">
        <v>37</v>
      </c>
      <c r="E980" s="62">
        <v>5.5499999999999985E-3</v>
      </c>
    </row>
    <row r="981" spans="2:5" x14ac:dyDescent="0.25">
      <c r="B981" s="56" t="s">
        <v>45</v>
      </c>
      <c r="C981" s="57" t="s">
        <v>25</v>
      </c>
      <c r="D981" s="58" t="s">
        <v>27</v>
      </c>
      <c r="E981" s="62">
        <v>1.1480000000000002E-2</v>
      </c>
    </row>
    <row r="982" spans="2:5" x14ac:dyDescent="0.25">
      <c r="B982" s="56" t="s">
        <v>45</v>
      </c>
      <c r="C982" s="57" t="s">
        <v>25</v>
      </c>
      <c r="D982" s="58" t="s">
        <v>22</v>
      </c>
      <c r="E982" s="62">
        <v>7.8900000000000029E-3</v>
      </c>
    </row>
    <row r="983" spans="2:5" x14ac:dyDescent="0.25">
      <c r="B983" s="56" t="s">
        <v>45</v>
      </c>
      <c r="C983" s="57" t="s">
        <v>25</v>
      </c>
      <c r="D983" s="58" t="s">
        <v>31</v>
      </c>
      <c r="E983" s="62">
        <v>4.9300000000000021E-3</v>
      </c>
    </row>
    <row r="984" spans="2:5" x14ac:dyDescent="0.25">
      <c r="B984" s="56" t="s">
        <v>45</v>
      </c>
      <c r="C984" s="57" t="s">
        <v>25</v>
      </c>
      <c r="D984" s="58" t="s">
        <v>24</v>
      </c>
      <c r="E984" s="62">
        <v>5.4800000000000005E-3</v>
      </c>
    </row>
    <row r="985" spans="2:5" x14ac:dyDescent="0.25">
      <c r="B985" s="56" t="s">
        <v>45</v>
      </c>
      <c r="C985" s="57" t="s">
        <v>25</v>
      </c>
      <c r="D985" s="58" t="s">
        <v>24</v>
      </c>
      <c r="E985" s="62">
        <v>4.5300000000000002E-3</v>
      </c>
    </row>
    <row r="986" spans="2:5" x14ac:dyDescent="0.25">
      <c r="B986" s="56" t="s">
        <v>45</v>
      </c>
      <c r="C986" s="57" t="s">
        <v>25</v>
      </c>
      <c r="D986" s="58" t="s">
        <v>31</v>
      </c>
      <c r="E986" s="62">
        <v>6.9700000000000005E-3</v>
      </c>
    </row>
    <row r="987" spans="2:5" x14ac:dyDescent="0.25">
      <c r="B987" s="56" t="s">
        <v>45</v>
      </c>
      <c r="C987" s="57" t="s">
        <v>23</v>
      </c>
      <c r="D987" s="58" t="s">
        <v>28</v>
      </c>
      <c r="E987" s="62">
        <v>3.0800000000000007E-3</v>
      </c>
    </row>
    <row r="988" spans="2:5" x14ac:dyDescent="0.25">
      <c r="B988" s="56" t="s">
        <v>45</v>
      </c>
      <c r="C988" s="57" t="s">
        <v>23</v>
      </c>
      <c r="D988" s="58" t="s">
        <v>27</v>
      </c>
      <c r="E988" s="62">
        <v>8.879999999999999E-3</v>
      </c>
    </row>
    <row r="989" spans="2:5" x14ac:dyDescent="0.25">
      <c r="B989" s="56" t="s">
        <v>45</v>
      </c>
      <c r="C989" s="57" t="s">
        <v>23</v>
      </c>
      <c r="D989" s="58" t="s">
        <v>27</v>
      </c>
      <c r="E989" s="62">
        <v>4.859999999999998E-3</v>
      </c>
    </row>
    <row r="990" spans="2:5" x14ac:dyDescent="0.25">
      <c r="B990" s="56" t="s">
        <v>45</v>
      </c>
      <c r="C990" s="57" t="s">
        <v>23</v>
      </c>
      <c r="D990" s="58" t="s">
        <v>32</v>
      </c>
      <c r="E990" s="62">
        <v>6.0800000000000003E-3</v>
      </c>
    </row>
    <row r="991" spans="2:5" x14ac:dyDescent="0.25">
      <c r="B991" s="56" t="s">
        <v>45</v>
      </c>
      <c r="C991" s="57" t="s">
        <v>23</v>
      </c>
      <c r="D991" s="58" t="s">
        <v>27</v>
      </c>
      <c r="E991" s="62">
        <v>3.9200000000000016E-3</v>
      </c>
    </row>
    <row r="992" spans="2:5" x14ac:dyDescent="0.25">
      <c r="B992" s="56" t="s">
        <v>45</v>
      </c>
      <c r="C992" s="57" t="s">
        <v>23</v>
      </c>
      <c r="D992" s="58" t="s">
        <v>28</v>
      </c>
      <c r="E992" s="62">
        <v>3.4399999999999986E-3</v>
      </c>
    </row>
    <row r="993" spans="2:5" x14ac:dyDescent="0.25">
      <c r="B993" s="56" t="s">
        <v>45</v>
      </c>
      <c r="C993" s="57" t="s">
        <v>23</v>
      </c>
      <c r="D993" s="58" t="s">
        <v>28</v>
      </c>
      <c r="E993" s="62">
        <v>4.3599999999999984E-3</v>
      </c>
    </row>
    <row r="994" spans="2:5" x14ac:dyDescent="0.25">
      <c r="B994" s="56" t="s">
        <v>45</v>
      </c>
      <c r="C994" s="57" t="s">
        <v>23</v>
      </c>
      <c r="D994" s="58" t="s">
        <v>29</v>
      </c>
      <c r="E994" s="62">
        <v>4.239999999999999E-3</v>
      </c>
    </row>
    <row r="995" spans="2:5" x14ac:dyDescent="0.25">
      <c r="B995" s="56" t="s">
        <v>45</v>
      </c>
      <c r="C995" s="57" t="s">
        <v>25</v>
      </c>
      <c r="D995" s="58" t="s">
        <v>31</v>
      </c>
      <c r="E995" s="62">
        <v>1.3310000000000002E-2</v>
      </c>
    </row>
    <row r="996" spans="2:5" x14ac:dyDescent="0.25">
      <c r="B996" s="56" t="s">
        <v>45</v>
      </c>
      <c r="C996" s="57" t="s">
        <v>25</v>
      </c>
      <c r="D996" s="58" t="s">
        <v>28</v>
      </c>
      <c r="E996" s="62">
        <v>2.7400000000000002E-3</v>
      </c>
    </row>
    <row r="997" spans="2:5" x14ac:dyDescent="0.25">
      <c r="B997" s="56" t="s">
        <v>45</v>
      </c>
      <c r="C997" s="57" t="s">
        <v>25</v>
      </c>
      <c r="D997" s="58" t="s">
        <v>24</v>
      </c>
      <c r="E997" s="62">
        <v>8.0700000000000008E-3</v>
      </c>
    </row>
    <row r="998" spans="2:5" x14ac:dyDescent="0.25">
      <c r="B998" s="56" t="s">
        <v>45</v>
      </c>
      <c r="C998" s="57" t="s">
        <v>25</v>
      </c>
      <c r="D998" s="58" t="s">
        <v>22</v>
      </c>
      <c r="E998" s="62">
        <v>4.5100000000000001E-3</v>
      </c>
    </row>
    <row r="999" spans="2:5" x14ac:dyDescent="0.25">
      <c r="B999" s="56" t="s">
        <v>45</v>
      </c>
      <c r="C999" s="57" t="s">
        <v>25</v>
      </c>
      <c r="D999" s="58" t="s">
        <v>28</v>
      </c>
      <c r="E999" s="62">
        <v>9.8900000000000012E-3</v>
      </c>
    </row>
    <row r="1000" spans="2:5" x14ac:dyDescent="0.25">
      <c r="B1000" s="56" t="s">
        <v>45</v>
      </c>
      <c r="C1000" s="57" t="s">
        <v>25</v>
      </c>
      <c r="D1000" s="58" t="s">
        <v>33</v>
      </c>
      <c r="E1000" s="62">
        <v>7.2799999999999983E-3</v>
      </c>
    </row>
    <row r="1001" spans="2:5" x14ac:dyDescent="0.25">
      <c r="B1001" s="56" t="s">
        <v>45</v>
      </c>
      <c r="C1001" s="57" t="s">
        <v>21</v>
      </c>
      <c r="D1001" s="58" t="s">
        <v>31</v>
      </c>
      <c r="E1001" s="62">
        <v>1.0909999999999996E-2</v>
      </c>
    </row>
    <row r="1002" spans="2:5" x14ac:dyDescent="0.25">
      <c r="B1002" s="56" t="s">
        <v>45</v>
      </c>
      <c r="C1002" s="57" t="s">
        <v>25</v>
      </c>
      <c r="D1002" s="58" t="s">
        <v>37</v>
      </c>
      <c r="E1002" s="62">
        <v>4.0500000000000015E-3</v>
      </c>
    </row>
    <row r="1003" spans="2:5" x14ac:dyDescent="0.25">
      <c r="B1003" s="56" t="s">
        <v>45</v>
      </c>
      <c r="C1003" s="57" t="s">
        <v>25</v>
      </c>
      <c r="D1003" s="58" t="s">
        <v>31</v>
      </c>
      <c r="E1003" s="62">
        <v>9.8900000000000012E-3</v>
      </c>
    </row>
    <row r="1004" spans="2:5" x14ac:dyDescent="0.25">
      <c r="B1004" s="56" t="s">
        <v>45</v>
      </c>
      <c r="C1004" s="57" t="s">
        <v>25</v>
      </c>
      <c r="D1004" s="58" t="s">
        <v>22</v>
      </c>
      <c r="E1004" s="62">
        <v>6.069999999999999E-3</v>
      </c>
    </row>
    <row r="1005" spans="2:5" x14ac:dyDescent="0.25">
      <c r="B1005" s="56" t="s">
        <v>45</v>
      </c>
      <c r="C1005" s="57" t="s">
        <v>25</v>
      </c>
      <c r="D1005" s="58" t="s">
        <v>28</v>
      </c>
      <c r="E1005" s="62">
        <v>2.8400000000000001E-3</v>
      </c>
    </row>
    <row r="1006" spans="2:5" x14ac:dyDescent="0.25">
      <c r="B1006" s="56" t="s">
        <v>45</v>
      </c>
      <c r="C1006" s="57" t="s">
        <v>25</v>
      </c>
      <c r="D1006" s="58" t="s">
        <v>33</v>
      </c>
      <c r="E1006" s="62">
        <v>1.141E-2</v>
      </c>
    </row>
    <row r="1007" spans="2:5" x14ac:dyDescent="0.25">
      <c r="B1007" s="56" t="s">
        <v>45</v>
      </c>
      <c r="C1007" s="57" t="s">
        <v>25</v>
      </c>
      <c r="D1007" s="58" t="s">
        <v>28</v>
      </c>
      <c r="E1007" s="62">
        <v>2.0400000000000006E-3</v>
      </c>
    </row>
    <row r="1008" spans="2:5" x14ac:dyDescent="0.25">
      <c r="B1008" s="56" t="s">
        <v>45</v>
      </c>
      <c r="C1008" s="57" t="s">
        <v>25</v>
      </c>
      <c r="D1008" s="58" t="s">
        <v>31</v>
      </c>
      <c r="E1008" s="62">
        <v>8.1199999999999987E-3</v>
      </c>
    </row>
    <row r="1009" spans="2:5" x14ac:dyDescent="0.25">
      <c r="B1009" s="56" t="s">
        <v>45</v>
      </c>
      <c r="C1009" s="57" t="s">
        <v>25</v>
      </c>
      <c r="D1009" s="58" t="s">
        <v>28</v>
      </c>
      <c r="E1009" s="62">
        <v>1.0919999999999999E-2</v>
      </c>
    </row>
    <row r="1010" spans="2:5" x14ac:dyDescent="0.25">
      <c r="B1010" s="56" t="s">
        <v>45</v>
      </c>
      <c r="C1010" s="57" t="s">
        <v>34</v>
      </c>
      <c r="D1010" s="58" t="s">
        <v>22</v>
      </c>
      <c r="E1010" s="62">
        <v>9.6099999999999988E-3</v>
      </c>
    </row>
    <row r="1011" spans="2:5" x14ac:dyDescent="0.25">
      <c r="B1011" s="56" t="s">
        <v>45</v>
      </c>
      <c r="C1011" s="57" t="s">
        <v>34</v>
      </c>
      <c r="D1011" s="58" t="s">
        <v>37</v>
      </c>
      <c r="E1011" s="62">
        <v>1.2389999999999995E-2</v>
      </c>
    </row>
    <row r="1012" spans="2:5" x14ac:dyDescent="0.25">
      <c r="B1012" s="56" t="s">
        <v>45</v>
      </c>
      <c r="C1012" s="57" t="s">
        <v>34</v>
      </c>
      <c r="D1012" s="58" t="s">
        <v>27</v>
      </c>
      <c r="E1012" s="62">
        <v>1.1189999999999995E-2</v>
      </c>
    </row>
    <row r="1013" spans="2:5" x14ac:dyDescent="0.25">
      <c r="B1013" s="56" t="s">
        <v>45</v>
      </c>
      <c r="C1013" s="57" t="s">
        <v>38</v>
      </c>
      <c r="D1013" s="58" t="s">
        <v>32</v>
      </c>
      <c r="E1013" s="62">
        <v>9.219999999999999E-3</v>
      </c>
    </row>
    <row r="1014" spans="2:5" x14ac:dyDescent="0.25">
      <c r="B1014" s="56" t="s">
        <v>45</v>
      </c>
      <c r="C1014" s="57" t="s">
        <v>38</v>
      </c>
      <c r="D1014" s="58" t="s">
        <v>33</v>
      </c>
      <c r="E1014" s="62">
        <v>6.2900000000000013E-3</v>
      </c>
    </row>
    <row r="1015" spans="2:5" x14ac:dyDescent="0.25">
      <c r="B1015" s="56" t="s">
        <v>45</v>
      </c>
      <c r="C1015" s="57" t="s">
        <v>38</v>
      </c>
      <c r="D1015" s="58" t="s">
        <v>37</v>
      </c>
      <c r="E1015" s="62">
        <v>4.2600000000000008E-3</v>
      </c>
    </row>
    <row r="1016" spans="2:5" x14ac:dyDescent="0.25">
      <c r="B1016" s="56" t="s">
        <v>45</v>
      </c>
      <c r="C1016" s="57" t="s">
        <v>38</v>
      </c>
      <c r="D1016" s="58" t="s">
        <v>31</v>
      </c>
      <c r="E1016" s="62">
        <v>1.2449999999999996E-2</v>
      </c>
    </row>
    <row r="1017" spans="2:5" x14ac:dyDescent="0.25">
      <c r="B1017" s="56" t="s">
        <v>45</v>
      </c>
      <c r="C1017" s="57" t="s">
        <v>38</v>
      </c>
      <c r="D1017" s="58" t="s">
        <v>31</v>
      </c>
      <c r="E1017" s="62">
        <v>1.157E-2</v>
      </c>
    </row>
    <row r="1018" spans="2:5" x14ac:dyDescent="0.25">
      <c r="B1018" s="56" t="s">
        <v>45</v>
      </c>
      <c r="C1018" s="57" t="s">
        <v>38</v>
      </c>
      <c r="D1018" s="58" t="s">
        <v>37</v>
      </c>
      <c r="E1018" s="62">
        <v>6.5299999999999985E-3</v>
      </c>
    </row>
    <row r="1019" spans="2:5" x14ac:dyDescent="0.25">
      <c r="B1019" s="56" t="s">
        <v>45</v>
      </c>
      <c r="C1019" s="57" t="s">
        <v>25</v>
      </c>
      <c r="D1019" s="58" t="s">
        <v>24</v>
      </c>
      <c r="E1019" s="62">
        <v>1.1090000000000001E-2</v>
      </c>
    </row>
    <row r="1020" spans="2:5" x14ac:dyDescent="0.25">
      <c r="B1020" s="56" t="s">
        <v>45</v>
      </c>
      <c r="C1020" s="57" t="s">
        <v>25</v>
      </c>
      <c r="D1020" s="58" t="s">
        <v>31</v>
      </c>
      <c r="E1020" s="62">
        <v>1.4179999999999998E-2</v>
      </c>
    </row>
    <row r="1021" spans="2:5" x14ac:dyDescent="0.25">
      <c r="B1021" s="56" t="s">
        <v>45</v>
      </c>
      <c r="C1021" s="57" t="s">
        <v>25</v>
      </c>
      <c r="D1021" s="58" t="s">
        <v>24</v>
      </c>
      <c r="E1021" s="62">
        <v>3.4899999999999987E-3</v>
      </c>
    </row>
    <row r="1022" spans="2:5" x14ac:dyDescent="0.25">
      <c r="B1022" s="56" t="s">
        <v>45</v>
      </c>
      <c r="C1022" s="57" t="s">
        <v>25</v>
      </c>
      <c r="D1022" s="58" t="s">
        <v>22</v>
      </c>
      <c r="E1022" s="62">
        <v>5.3099999999999987E-3</v>
      </c>
    </row>
    <row r="1023" spans="2:5" x14ac:dyDescent="0.25">
      <c r="B1023" s="56" t="s">
        <v>45</v>
      </c>
      <c r="C1023" s="57" t="s">
        <v>25</v>
      </c>
      <c r="D1023" s="58" t="s">
        <v>24</v>
      </c>
      <c r="E1023" s="62">
        <v>1.1500000000000002E-2</v>
      </c>
    </row>
    <row r="1024" spans="2:5" x14ac:dyDescent="0.25">
      <c r="B1024" s="56" t="s">
        <v>45</v>
      </c>
      <c r="C1024" s="57" t="s">
        <v>25</v>
      </c>
      <c r="D1024" s="58" t="s">
        <v>24</v>
      </c>
      <c r="E1024" s="62">
        <v>1.1030000000000002E-2</v>
      </c>
    </row>
    <row r="1025" spans="2:5" x14ac:dyDescent="0.25">
      <c r="B1025" s="56" t="s">
        <v>45</v>
      </c>
      <c r="C1025" s="57" t="s">
        <v>26</v>
      </c>
      <c r="D1025" s="58" t="s">
        <v>29</v>
      </c>
      <c r="E1025" s="62">
        <v>4.8499999999999993E-3</v>
      </c>
    </row>
    <row r="1026" spans="2:5" x14ac:dyDescent="0.25">
      <c r="B1026" s="56" t="s">
        <v>45</v>
      </c>
      <c r="C1026" s="57" t="s">
        <v>26</v>
      </c>
      <c r="D1026" s="58" t="s">
        <v>29</v>
      </c>
      <c r="E1026" s="62">
        <v>9.389999999999999E-3</v>
      </c>
    </row>
    <row r="1027" spans="2:5" x14ac:dyDescent="0.25">
      <c r="B1027" s="56" t="s">
        <v>45</v>
      </c>
      <c r="C1027" s="57" t="s">
        <v>25</v>
      </c>
      <c r="D1027" s="58" t="s">
        <v>31</v>
      </c>
      <c r="E1027" s="62">
        <v>5.9100000000000003E-3</v>
      </c>
    </row>
    <row r="1028" spans="2:5" x14ac:dyDescent="0.25">
      <c r="B1028" s="56" t="s">
        <v>45</v>
      </c>
      <c r="C1028" s="57" t="s">
        <v>25</v>
      </c>
      <c r="D1028" s="58" t="s">
        <v>33</v>
      </c>
      <c r="E1028" s="62">
        <v>3.4300000000000008E-3</v>
      </c>
    </row>
    <row r="1029" spans="2:5" x14ac:dyDescent="0.25">
      <c r="B1029" s="56" t="s">
        <v>45</v>
      </c>
      <c r="C1029" s="57" t="s">
        <v>25</v>
      </c>
      <c r="D1029" s="58" t="s">
        <v>22</v>
      </c>
      <c r="E1029" s="62">
        <v>2.8100000000000009E-3</v>
      </c>
    </row>
    <row r="1030" spans="2:5" x14ac:dyDescent="0.25">
      <c r="B1030" s="56" t="s">
        <v>45</v>
      </c>
      <c r="C1030" s="57" t="s">
        <v>25</v>
      </c>
      <c r="D1030" s="58" t="s">
        <v>24</v>
      </c>
      <c r="E1030" s="62">
        <v>1.3199999999999996E-2</v>
      </c>
    </row>
    <row r="1031" spans="2:5" x14ac:dyDescent="0.25">
      <c r="B1031" s="56" t="s">
        <v>45</v>
      </c>
      <c r="C1031" s="57" t="s">
        <v>25</v>
      </c>
      <c r="D1031" s="58" t="s">
        <v>22</v>
      </c>
      <c r="E1031" s="62">
        <v>5.6700000000000014E-3</v>
      </c>
    </row>
    <row r="1032" spans="2:5" x14ac:dyDescent="0.25">
      <c r="B1032" s="56" t="s">
        <v>45</v>
      </c>
      <c r="C1032" s="57" t="s">
        <v>39</v>
      </c>
      <c r="D1032" s="58" t="s">
        <v>35</v>
      </c>
      <c r="E1032" s="62">
        <v>1.1740000000000002E-2</v>
      </c>
    </row>
    <row r="1033" spans="2:5" x14ac:dyDescent="0.25">
      <c r="B1033" s="56" t="s">
        <v>45</v>
      </c>
      <c r="C1033" s="57" t="s">
        <v>39</v>
      </c>
      <c r="D1033" s="58" t="s">
        <v>24</v>
      </c>
      <c r="E1033" s="62">
        <v>1.3899999999999997E-2</v>
      </c>
    </row>
    <row r="1034" spans="2:5" x14ac:dyDescent="0.25">
      <c r="B1034" s="56" t="s">
        <v>45</v>
      </c>
      <c r="C1034" s="57" t="s">
        <v>39</v>
      </c>
      <c r="D1034" s="58" t="s">
        <v>32</v>
      </c>
      <c r="E1034" s="62">
        <v>1.2449999999999996E-2</v>
      </c>
    </row>
    <row r="1035" spans="2:5" x14ac:dyDescent="0.25">
      <c r="B1035" s="56" t="s">
        <v>45</v>
      </c>
      <c r="C1035" s="57" t="s">
        <v>39</v>
      </c>
      <c r="D1035" s="58" t="s">
        <v>24</v>
      </c>
      <c r="E1035" s="62">
        <v>1.3609999999999995E-2</v>
      </c>
    </row>
    <row r="1036" spans="2:5" x14ac:dyDescent="0.25">
      <c r="B1036" s="56" t="s">
        <v>45</v>
      </c>
      <c r="C1036" s="57" t="s">
        <v>39</v>
      </c>
      <c r="D1036" s="58" t="s">
        <v>32</v>
      </c>
      <c r="E1036" s="62">
        <v>1.0880000000000004E-2</v>
      </c>
    </row>
    <row r="1037" spans="2:5" x14ac:dyDescent="0.25">
      <c r="B1037" s="56" t="s">
        <v>45</v>
      </c>
      <c r="C1037" s="57" t="s">
        <v>39</v>
      </c>
      <c r="D1037" s="58" t="s">
        <v>35</v>
      </c>
      <c r="E1037" s="62">
        <v>6.5299999999999985E-3</v>
      </c>
    </row>
    <row r="1038" spans="2:5" x14ac:dyDescent="0.25">
      <c r="B1038" s="56" t="s">
        <v>45</v>
      </c>
      <c r="C1038" s="57" t="s">
        <v>25</v>
      </c>
      <c r="D1038" s="58" t="s">
        <v>27</v>
      </c>
      <c r="E1038" s="62">
        <v>5.5299999999999993E-3</v>
      </c>
    </row>
    <row r="1039" spans="2:5" x14ac:dyDescent="0.25">
      <c r="B1039" s="56" t="s">
        <v>45</v>
      </c>
      <c r="C1039" s="57" t="s">
        <v>39</v>
      </c>
      <c r="D1039" s="58" t="s">
        <v>32</v>
      </c>
      <c r="E1039" s="62">
        <v>1.1669999999999996E-2</v>
      </c>
    </row>
    <row r="1040" spans="2:5" x14ac:dyDescent="0.25">
      <c r="B1040" s="56" t="s">
        <v>45</v>
      </c>
      <c r="C1040" s="57" t="s">
        <v>25</v>
      </c>
      <c r="D1040" s="58" t="s">
        <v>24</v>
      </c>
      <c r="E1040" s="62">
        <v>1.2200000000000003E-2</v>
      </c>
    </row>
    <row r="1041" spans="2:5" x14ac:dyDescent="0.25">
      <c r="B1041" s="56" t="s">
        <v>45</v>
      </c>
      <c r="C1041" s="57" t="s">
        <v>25</v>
      </c>
      <c r="D1041" s="58" t="s">
        <v>31</v>
      </c>
      <c r="E1041" s="62">
        <v>4.6699999999999997E-3</v>
      </c>
    </row>
    <row r="1042" spans="2:5" x14ac:dyDescent="0.25">
      <c r="B1042" s="56" t="s">
        <v>45</v>
      </c>
      <c r="C1042" s="57" t="s">
        <v>25</v>
      </c>
      <c r="D1042" s="58" t="s">
        <v>33</v>
      </c>
      <c r="E1042" s="62">
        <v>1.1489999999999997E-2</v>
      </c>
    </row>
    <row r="1043" spans="2:5" x14ac:dyDescent="0.25">
      <c r="B1043" s="56" t="s">
        <v>45</v>
      </c>
      <c r="C1043" s="57" t="s">
        <v>25</v>
      </c>
      <c r="D1043" s="58" t="s">
        <v>22</v>
      </c>
      <c r="E1043" s="62">
        <v>4.9799999999999983E-3</v>
      </c>
    </row>
    <row r="1044" spans="2:5" x14ac:dyDescent="0.25">
      <c r="B1044" s="56" t="s">
        <v>45</v>
      </c>
      <c r="C1044" s="57" t="s">
        <v>36</v>
      </c>
      <c r="D1044" s="58" t="s">
        <v>31</v>
      </c>
      <c r="E1044" s="62">
        <v>6.8399999999999971E-3</v>
      </c>
    </row>
    <row r="1045" spans="2:5" x14ac:dyDescent="0.25">
      <c r="B1045" s="56" t="s">
        <v>45</v>
      </c>
      <c r="C1045" s="57" t="s">
        <v>36</v>
      </c>
      <c r="D1045" s="58" t="s">
        <v>32</v>
      </c>
      <c r="E1045" s="62">
        <v>4.0500000000000015E-3</v>
      </c>
    </row>
    <row r="1046" spans="2:5" x14ac:dyDescent="0.25">
      <c r="B1046" s="56" t="s">
        <v>45</v>
      </c>
      <c r="C1046" s="57" t="s">
        <v>36</v>
      </c>
      <c r="D1046" s="58" t="s">
        <v>24</v>
      </c>
      <c r="E1046" s="62">
        <v>3.9299999999999986E-3</v>
      </c>
    </row>
    <row r="1047" spans="2:5" x14ac:dyDescent="0.25">
      <c r="B1047" s="56" t="s">
        <v>45</v>
      </c>
      <c r="C1047" s="57" t="s">
        <v>36</v>
      </c>
      <c r="D1047" s="58" t="s">
        <v>33</v>
      </c>
      <c r="E1047" s="62">
        <v>5.510000000000001E-3</v>
      </c>
    </row>
    <row r="1048" spans="2:5" x14ac:dyDescent="0.25">
      <c r="B1048" s="56" t="s">
        <v>45</v>
      </c>
      <c r="C1048" s="57" t="s">
        <v>36</v>
      </c>
      <c r="D1048" s="58" t="s">
        <v>32</v>
      </c>
      <c r="E1048" s="62">
        <v>3.9599999999999991E-3</v>
      </c>
    </row>
    <row r="1049" spans="2:5" x14ac:dyDescent="0.25">
      <c r="B1049" s="56" t="s">
        <v>45</v>
      </c>
      <c r="C1049" s="57" t="s">
        <v>36</v>
      </c>
      <c r="D1049" s="58" t="s">
        <v>28</v>
      </c>
      <c r="E1049" s="62">
        <v>7.4600000000000022E-3</v>
      </c>
    </row>
    <row r="1050" spans="2:5" x14ac:dyDescent="0.25">
      <c r="B1050" s="56" t="s">
        <v>45</v>
      </c>
      <c r="C1050" s="57" t="s">
        <v>36</v>
      </c>
      <c r="D1050" s="58" t="s">
        <v>27</v>
      </c>
      <c r="E1050" s="62">
        <v>4.4799999999999979E-3</v>
      </c>
    </row>
    <row r="1051" spans="2:5" x14ac:dyDescent="0.25">
      <c r="B1051" s="56" t="s">
        <v>45</v>
      </c>
      <c r="C1051" s="57" t="s">
        <v>36</v>
      </c>
      <c r="D1051" s="58" t="s">
        <v>30</v>
      </c>
      <c r="E1051" s="62">
        <v>1.0230000000000003E-2</v>
      </c>
    </row>
    <row r="1052" spans="2:5" x14ac:dyDescent="0.25">
      <c r="B1052" s="56" t="s">
        <v>45</v>
      </c>
      <c r="C1052" s="57" t="s">
        <v>36</v>
      </c>
      <c r="D1052" s="58" t="s">
        <v>32</v>
      </c>
      <c r="E1052" s="62">
        <v>6.0399999999999994E-3</v>
      </c>
    </row>
    <row r="1053" spans="2:5" x14ac:dyDescent="0.25">
      <c r="B1053" s="56" t="s">
        <v>45</v>
      </c>
      <c r="C1053" s="57" t="s">
        <v>36</v>
      </c>
      <c r="D1053" s="58" t="s">
        <v>24</v>
      </c>
      <c r="E1053" s="62">
        <v>4.6600000000000018E-3</v>
      </c>
    </row>
    <row r="1054" spans="2:5" x14ac:dyDescent="0.25">
      <c r="B1054" s="56" t="s">
        <v>45</v>
      </c>
      <c r="C1054" s="57" t="s">
        <v>26</v>
      </c>
      <c r="D1054" s="58" t="s">
        <v>40</v>
      </c>
      <c r="E1054" s="62">
        <v>1.3339999999999994E-2</v>
      </c>
    </row>
    <row r="1055" spans="2:5" x14ac:dyDescent="0.25">
      <c r="B1055" s="56" t="s">
        <v>45</v>
      </c>
      <c r="C1055" s="57" t="s">
        <v>26</v>
      </c>
      <c r="D1055" s="58" t="s">
        <v>40</v>
      </c>
      <c r="E1055" s="62">
        <v>8.5200000000000033E-3</v>
      </c>
    </row>
    <row r="1056" spans="2:5" x14ac:dyDescent="0.25">
      <c r="B1056" s="56" t="s">
        <v>45</v>
      </c>
      <c r="C1056" s="57" t="s">
        <v>26</v>
      </c>
      <c r="D1056" s="58" t="s">
        <v>40</v>
      </c>
      <c r="E1056" s="62">
        <v>1.4269999999999998E-2</v>
      </c>
    </row>
    <row r="1057" spans="2:5" x14ac:dyDescent="0.25">
      <c r="B1057" s="56" t="s">
        <v>45</v>
      </c>
      <c r="C1057" s="57" t="s">
        <v>26</v>
      </c>
      <c r="D1057" s="58" t="s">
        <v>40</v>
      </c>
      <c r="E1057" s="62">
        <v>1.3709999999999995E-2</v>
      </c>
    </row>
    <row r="1058" spans="2:5" x14ac:dyDescent="0.25">
      <c r="B1058" s="56" t="s">
        <v>45</v>
      </c>
      <c r="C1058" s="57" t="s">
        <v>26</v>
      </c>
      <c r="D1058" s="58" t="s">
        <v>40</v>
      </c>
      <c r="E1058" s="62">
        <v>7.4800000000000014E-3</v>
      </c>
    </row>
    <row r="1059" spans="2:5" x14ac:dyDescent="0.25">
      <c r="B1059" s="56" t="s">
        <v>45</v>
      </c>
      <c r="C1059" s="57" t="s">
        <v>26</v>
      </c>
      <c r="D1059" s="58" t="s">
        <v>40</v>
      </c>
      <c r="E1059" s="62">
        <v>7.7999999999999996E-3</v>
      </c>
    </row>
    <row r="1060" spans="2:5" x14ac:dyDescent="0.25">
      <c r="B1060" s="56" t="s">
        <v>45</v>
      </c>
      <c r="C1060" s="57" t="s">
        <v>26</v>
      </c>
      <c r="D1060" s="58" t="s">
        <v>40</v>
      </c>
      <c r="E1060" s="62">
        <v>1.2610000000000003E-2</v>
      </c>
    </row>
    <row r="1061" spans="2:5" x14ac:dyDescent="0.25">
      <c r="B1061" s="56" t="s">
        <v>46</v>
      </c>
      <c r="C1061" s="57" t="s">
        <v>26</v>
      </c>
      <c r="D1061" s="58" t="s">
        <v>32</v>
      </c>
      <c r="E1061" s="62">
        <v>0.15098</v>
      </c>
    </row>
    <row r="1062" spans="2:5" x14ac:dyDescent="0.25">
      <c r="B1062" s="56" t="s">
        <v>46</v>
      </c>
      <c r="C1062" s="57" t="s">
        <v>26</v>
      </c>
      <c r="D1062" s="58" t="s">
        <v>32</v>
      </c>
      <c r="E1062" s="62">
        <v>6.1230000000000014E-2</v>
      </c>
    </row>
    <row r="1063" spans="2:5" x14ac:dyDescent="0.25">
      <c r="B1063" s="56" t="s">
        <v>46</v>
      </c>
      <c r="C1063" s="57" t="s">
        <v>26</v>
      </c>
      <c r="D1063" s="58" t="s">
        <v>29</v>
      </c>
      <c r="E1063" s="62">
        <v>0.15817000000000001</v>
      </c>
    </row>
    <row r="1064" spans="2:5" x14ac:dyDescent="0.25">
      <c r="B1064" s="56" t="s">
        <v>46</v>
      </c>
      <c r="C1064" s="57" t="s">
        <v>26</v>
      </c>
      <c r="D1064" s="58" t="s">
        <v>28</v>
      </c>
      <c r="E1064" s="62">
        <v>0.16902999999999999</v>
      </c>
    </row>
    <row r="1065" spans="2:5" x14ac:dyDescent="0.25">
      <c r="B1065" s="56" t="s">
        <v>46</v>
      </c>
      <c r="C1065" s="57" t="s">
        <v>26</v>
      </c>
      <c r="D1065" s="58" t="s">
        <v>28</v>
      </c>
      <c r="E1065" s="62">
        <v>0.17453000000000002</v>
      </c>
    </row>
    <row r="1066" spans="2:5" x14ac:dyDescent="0.25">
      <c r="B1066" s="56" t="s">
        <v>46</v>
      </c>
      <c r="C1066" s="57" t="s">
        <v>26</v>
      </c>
      <c r="D1066" s="58" t="s">
        <v>24</v>
      </c>
      <c r="E1066" s="62">
        <v>5.5230000000000001E-2</v>
      </c>
    </row>
    <row r="1067" spans="2:5" x14ac:dyDescent="0.25">
      <c r="B1067" s="56" t="s">
        <v>46</v>
      </c>
      <c r="C1067" s="57" t="s">
        <v>26</v>
      </c>
      <c r="D1067" s="58" t="s">
        <v>37</v>
      </c>
      <c r="E1067" s="62">
        <v>0.11857000000000002</v>
      </c>
    </row>
    <row r="1068" spans="2:5" x14ac:dyDescent="0.25">
      <c r="B1068" s="56" t="s">
        <v>46</v>
      </c>
      <c r="C1068" s="57" t="s">
        <v>26</v>
      </c>
      <c r="D1068" s="58" t="s">
        <v>37</v>
      </c>
      <c r="E1068" s="62">
        <v>0.27826000000000001</v>
      </c>
    </row>
    <row r="1069" spans="2:5" x14ac:dyDescent="0.25">
      <c r="B1069" s="56" t="s">
        <v>46</v>
      </c>
      <c r="C1069" s="57" t="s">
        <v>26</v>
      </c>
      <c r="D1069" s="58" t="s">
        <v>37</v>
      </c>
      <c r="E1069" s="62">
        <v>4.0500000000000001E-2</v>
      </c>
    </row>
    <row r="1070" spans="2:5" x14ac:dyDescent="0.25">
      <c r="B1070" s="56" t="s">
        <v>46</v>
      </c>
      <c r="C1070" s="57" t="s">
        <v>26</v>
      </c>
      <c r="D1070" s="58" t="s">
        <v>37</v>
      </c>
      <c r="E1070" s="62">
        <v>0.10505999999999999</v>
      </c>
    </row>
    <row r="1071" spans="2:5" x14ac:dyDescent="0.25">
      <c r="B1071" s="56" t="s">
        <v>46</v>
      </c>
      <c r="C1071" s="57" t="s">
        <v>26</v>
      </c>
      <c r="D1071" s="58" t="s">
        <v>24</v>
      </c>
      <c r="E1071" s="62">
        <v>8.5900000000000004E-2</v>
      </c>
    </row>
    <row r="1072" spans="2:5" x14ac:dyDescent="0.25">
      <c r="B1072" s="56" t="s">
        <v>46</v>
      </c>
      <c r="C1072" s="57" t="s">
        <v>26</v>
      </c>
      <c r="D1072" s="58" t="s">
        <v>37</v>
      </c>
      <c r="E1072" s="62">
        <v>1.8319999999999999E-2</v>
      </c>
    </row>
    <row r="1073" spans="2:5" ht="13.8" thickBot="1" x14ac:dyDescent="0.3">
      <c r="B1073" s="59" t="s">
        <v>46</v>
      </c>
      <c r="C1073" s="60" t="s">
        <v>25</v>
      </c>
      <c r="D1073" s="61" t="s">
        <v>37</v>
      </c>
      <c r="E1073" s="63">
        <v>3.3759999999999998E-2</v>
      </c>
    </row>
  </sheetData>
  <autoFilter ref="B1:E1073" xr:uid="{59E90BA7-EDB7-4987-8B43-6EA6C1190EF8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28</vt:i4>
      </vt:variant>
    </vt:vector>
  </HeadingPairs>
  <TitlesOfParts>
    <vt:vector size="33" baseType="lpstr">
      <vt:lpstr>CDSCalibration</vt:lpstr>
      <vt:lpstr>CIR</vt:lpstr>
      <vt:lpstr>IndexBasis</vt:lpstr>
      <vt:lpstr>Proxy Regression</vt:lpstr>
      <vt:lpstr>Data</vt:lpstr>
      <vt:lpstr>IndexBasis!AvSpread</vt:lpstr>
      <vt:lpstr>CIR_a</vt:lpstr>
      <vt:lpstr>CIR_b</vt:lpstr>
      <vt:lpstr>CIR_h0</vt:lpstr>
      <vt:lpstr>CIR_vol</vt:lpstr>
      <vt:lpstr>CIRparams</vt:lpstr>
      <vt:lpstr>CntrptySP</vt:lpstr>
      <vt:lpstr>CntrtyCurve</vt:lpstr>
      <vt:lpstr>CDSCalibration!Collateral</vt:lpstr>
      <vt:lpstr>CDSCalibration!CollateralisedExposure</vt:lpstr>
      <vt:lpstr>'Proxy Regression'!CollateralisedExposure</vt:lpstr>
      <vt:lpstr>CurveTenors</vt:lpstr>
      <vt:lpstr>CDSCalibration!Exposure</vt:lpstr>
      <vt:lpstr>IndexBasis!HazardRate</vt:lpstr>
      <vt:lpstr>CDSCalibration!HazardRates</vt:lpstr>
      <vt:lpstr>CDSCalibration!HRs</vt:lpstr>
      <vt:lpstr>Intercept</vt:lpstr>
      <vt:lpstr>IndexBasis!IntRate</vt:lpstr>
      <vt:lpstr>CDSCalibration!IRate</vt:lpstr>
      <vt:lpstr>LGD</vt:lpstr>
      <vt:lpstr>IndexBasis!Maturity</vt:lpstr>
      <vt:lpstr>CDSCalibration!Method</vt:lpstr>
      <vt:lpstr>CDSCalibration!MTMVals</vt:lpstr>
      <vt:lpstr>CDSCalibration!PathNum</vt:lpstr>
      <vt:lpstr>CDSCalibration!Recovery</vt:lpstr>
      <vt:lpstr>IndexBasis!RecRate</vt:lpstr>
      <vt:lpstr>CDSCalibration!Spreads</vt:lpstr>
      <vt:lpstr>CDSCalibration!Tenors</vt:lpstr>
    </vt:vector>
  </TitlesOfParts>
  <Company>Home 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Gregory</dc:creator>
  <cp:lastModifiedBy>Jon Gregory</cp:lastModifiedBy>
  <dcterms:created xsi:type="dcterms:W3CDTF">2009-11-27T11:14:55Z</dcterms:created>
  <dcterms:modified xsi:type="dcterms:W3CDTF">2022-06-28T16:27:30Z</dcterms:modified>
</cp:coreProperties>
</file>